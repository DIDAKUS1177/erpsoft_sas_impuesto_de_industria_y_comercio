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RED\ARIS\EMPRESAS\ROSALBA GARCIA. SANJO\AÑO 2026\EXOGENA 1001\PAIPA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19200" windowHeight="11295"/>
  </bookViews>
  <sheets>
    <sheet name="PFE5" sheetId="1" r:id="rId1"/>
    <sheet name="Actividades" sheetId="2" r:id="rId2"/>
    <sheet name="Municipios" sheetId="3" r:id="rId3"/>
  </sheets>
  <externalReferences>
    <externalReference r:id="rId4"/>
  </externalReferences>
  <definedNames>
    <definedName name="MiLista">#REF!</definedName>
  </definedNames>
  <calcPr calcId="15251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H34" i="1" l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6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6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6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6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<sst xmlns="http://schemas.openxmlformats.org/spreadsheetml/2006/main" count="2496" uniqueCount="2336">
  <si>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</si>
  <si>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</si>
  <si>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</si>
  <si>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</si>
  <si>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</si>
  <si>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</si>
  <si>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</si>
  <si>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</si>
  <si>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</si>
  <si>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</si>
  <si>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</si>
  <si>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</si>
  <si>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</si>
  <si>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</si>
  <si>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</si>
  <si>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</si>
  <si>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</si>
  <si>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</si>
  <si>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</si>
  <si>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</si>
  <si>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</si>
  <si>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</si>
  <si>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</si>
  <si>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</si>
  <si>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</si>
  <si>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</si>
  <si>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</si>
  <si>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</si>
  <si>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</si>
  <si>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</si>
  <si>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</si>
  <si>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</si>
  <si>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</si>
  <si>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</si>
  <si>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</si>
  <si>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</si>
  <si>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</si>
  <si>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</si>
  <si>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</si>
  <si>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</si>
  <si>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</si>
  <si>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</si>
  <si>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</si>
  <si>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</si>
  <si>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</si>
  <si>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</si>
  <si>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</si>
  <si>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</si>
  <si>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</si>
  <si>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</si>
  <si>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</si>
  <si>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</si>
  <si>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</si>
  <si>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</si>
  <si>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</si>
  <si>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</si>
  <si>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</si>
  <si>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</si>
  <si>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</si>
  <si>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</si>
  <si>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</si>
  <si>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</si>
  <si>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</si>
  <si>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</si>
  <si>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</si>
  <si>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</si>
  <si>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</si>
  <si>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</si>
  <si>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</si>
  <si>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</si>
  <si>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</si>
  <si>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</si>
  <si>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</si>
  <si>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</si>
  <si>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</si>
  <si>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</si>
  <si>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</si>
  <si>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</si>
  <si>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</si>
  <si>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</si>
  <si>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</si>
  <si>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</si>
  <si>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</si>
  <si>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</si>
  <si>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</si>
  <si>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</si>
  <si>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</si>
  <si>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</si>
  <si>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</si>
  <si>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</si>
  <si>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</si>
  <si>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</si>
  <si>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</si>
  <si>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</si>
  <si>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</si>
  <si>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</si>
  <si>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</si>
  <si>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</si>
  <si>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</si>
  <si>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</si>
  <si>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</si>
  <si>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</si>
  <si>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</si>
  <si>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</si>
  <si>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</si>
  <si>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</si>
  <si>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</si>
  <si>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</si>
  <si>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</si>
  <si>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</si>
  <si>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</si>
  <si>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</si>
  <si>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</si>
  <si>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</si>
  <si>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</si>
  <si>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</si>
  <si>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</si>
  <si>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</si>
  <si>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</si>
  <si>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</si>
  <si>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</si>
  <si>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</si>
  <si>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</si>
  <si>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</si>
  <si>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</si>
  <si>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</si>
  <si>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</si>
  <si>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</si>
  <si>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</si>
  <si>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</si>
  <si>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</si>
  <si>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</si>
  <si>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</si>
  <si>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</si>
  <si>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</si>
  <si>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</si>
  <si>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</si>
  <si>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</si>
  <si>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</si>
  <si>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</si>
  <si>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</si>
  <si>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</si>
  <si>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</si>
  <si>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</si>
  <si>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</si>
  <si>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</si>
  <si>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</si>
  <si>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</si>
  <si>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</si>
  <si>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</si>
  <si>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</si>
  <si>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</si>
  <si>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</si>
  <si>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</si>
  <si>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</si>
  <si>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</si>
  <si>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</si>
  <si>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</si>
  <si>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</si>
  <si>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</si>
  <si>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</si>
  <si>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</si>
  <si>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</si>
  <si>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</si>
  <si>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</si>
  <si>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</si>
  <si>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</si>
  <si>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</si>
  <si>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</si>
  <si>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</si>
  <si>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</si>
  <si>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</si>
  <si>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</si>
  <si>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</si>
  <si>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</si>
  <si>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</si>
  <si>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</si>
  <si>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</si>
  <si>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</si>
  <si>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</si>
  <si>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</si>
  <si>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</si>
  <si>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</si>
  <si>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</si>
  <si>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</si>
  <si>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</si>
  <si>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</si>
  <si>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</si>
  <si>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</si>
  <si>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</si>
  <si>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</si>
  <si>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</si>
  <si>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</si>
  <si>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</si>
  <si>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</si>
  <si>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</si>
  <si>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</si>
  <si>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</si>
  <si>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</si>
  <si>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</si>
  <si>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</si>
  <si>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</si>
  <si>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</si>
  <si>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</si>
  <si>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</si>
  <si>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</si>
  <si>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</si>
  <si>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</si>
  <si>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</si>
  <si>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</si>
  <si>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</si>
  <si>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</si>
  <si>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</si>
  <si>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</si>
  <si>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</si>
  <si>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</si>
  <si>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</si>
  <si>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</si>
  <si>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</si>
  <si>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</si>
  <si>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</si>
  <si>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</si>
  <si>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</si>
  <si>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</si>
  <si>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</si>
  <si>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</si>
  <si>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</si>
  <si>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</si>
  <si>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</si>
  <si>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</si>
  <si>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</si>
  <si>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</si>
  <si>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</si>
  <si>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</si>
  <si>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</si>
  <si>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</si>
  <si>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</si>
  <si>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</si>
  <si>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</si>
  <si>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</si>
  <si>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</si>
  <si>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</si>
  <si>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</si>
  <si>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</si>
  <si>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</si>
  <si>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</si>
  <si>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</si>
  <si>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</si>
  <si>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</si>
  <si>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</si>
  <si>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</si>
  <si>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</si>
  <si>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</si>
  <si>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</si>
  <si>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</si>
  <si>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</si>
  <si>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</si>
  <si>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</si>
  <si>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</si>
  <si>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</si>
  <si>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</si>
  <si>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</si>
  <si>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</si>
  <si>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</si>
  <si>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</si>
  <si>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</si>
  <si>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</si>
  <si>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</si>
  <si>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</si>
  <si>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</si>
  <si>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</si>
  <si>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</si>
  <si>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</si>
  <si>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</si>
  <si>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</si>
  <si>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</si>
  <si>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</si>
  <si>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</si>
  <si>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</si>
  <si>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</si>
  <si>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</si>
  <si>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</si>
  <si>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</si>
  <si>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</si>
  <si>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</si>
  <si>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</si>
  <si>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</si>
  <si>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</si>
  <si>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</si>
  <si>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</si>
  <si>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</si>
  <si>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</si>
  <si>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</si>
  <si>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</si>
  <si>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</si>
  <si>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</si>
  <si>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</si>
  <si>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</si>
  <si>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</si>
  <si>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</si>
  <si>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</si>
  <si>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</si>
  <si>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</si>
  <si>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</si>
  <si>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</si>
  <si>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</si>
  <si>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</si>
  <si>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</si>
  <si>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</si>
  <si>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</si>
  <si>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</si>
  <si>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</si>
  <si>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</si>
  <si>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</si>
  <si>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</si>
  <si>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</si>
  <si>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</si>
  <si>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</si>
  <si>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</si>
  <si>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</si>
  <si>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</si>
  <si>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</si>
  <si>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</si>
  <si>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</si>
  <si>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</si>
  <si>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</si>
  <si>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</si>
  <si>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</si>
  <si>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</si>
  <si>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</si>
  <si>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</si>
  <si>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</si>
  <si>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</si>
  <si>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</si>
  <si>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</si>
  <si>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</si>
  <si>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</si>
  <si>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</si>
  <si>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</si>
  <si>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</si>
  <si>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</si>
  <si>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</si>
  <si>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</si>
  <si>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</si>
  <si>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</si>
  <si>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</si>
  <si>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</si>
  <si>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</si>
  <si>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</si>
  <si>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</si>
  <si>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</si>
  <si>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</si>
  <si>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</si>
  <si>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</si>
  <si>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</si>
  <si>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</si>
  <si>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</si>
  <si>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</si>
  <si>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</si>
  <si>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</si>
  <si>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</si>
  <si>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</si>
  <si>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</si>
  <si>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</si>
  <si>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</si>
  <si>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</si>
  <si>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</si>
  <si>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</si>
  <si>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</si>
  <si>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</si>
  <si>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</si>
  <si>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</si>
  <si>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</si>
  <si>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</si>
  <si>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</si>
  <si>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</si>
  <si>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</si>
  <si>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</si>
  <si>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</si>
  <si>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</si>
  <si>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</si>
  <si>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</si>
  <si>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</si>
  <si>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</si>
  <si>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</si>
  <si>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</si>
  <si>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</si>
  <si>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</si>
  <si>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</si>
  <si>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</si>
  <si>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</si>
  <si>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</si>
  <si>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</si>
  <si>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</si>
  <si>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</si>
  <si>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</si>
  <si>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</si>
  <si>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</si>
  <si>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</si>
  <si>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</si>
  <si>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</si>
  <si>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</si>
  <si>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</si>
  <si>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</si>
  <si>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</si>
  <si>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</si>
  <si>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</si>
  <si>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</si>
  <si>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</si>
  <si>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</si>
  <si>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</si>
  <si>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</si>
  <si>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</si>
  <si>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</si>
  <si>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</si>
  <si>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</si>
  <si>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</si>
  <si>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</si>
  <si>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</si>
  <si>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</si>
  <si>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</si>
  <si>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</si>
  <si>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</si>
  <si>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</si>
  <si>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</si>
  <si>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</si>
  <si>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</si>
  <si>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</si>
  <si>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</si>
  <si>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</si>
  <si>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</si>
  <si>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</si>
  <si>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</si>
  <si>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</si>
  <si>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</si>
  <si>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</si>
  <si>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</si>
  <si>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</si>
  <si>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</si>
  <si>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</si>
  <si>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</si>
  <si>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</si>
  <si>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</si>
  <si>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</si>
  <si>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</si>
  <si>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</si>
  <si>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</si>
  <si>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</si>
  <si>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</si>
  <si>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</si>
  <si>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</si>
  <si>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</si>
  <si>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</si>
  <si>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</si>
  <si>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</si>
  <si>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</si>
  <si>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</si>
  <si>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</si>
  <si>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</si>
  <si>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</si>
  <si>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</si>
  <si>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</si>
  <si>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</si>
  <si>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</si>
  <si>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</si>
  <si>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</si>
  <si>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</si>
  <si>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</si>
  <si>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</si>
  <si>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</si>
  <si>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</si>
  <si>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</si>
  <si>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</si>
  <si>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</si>
  <si>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</si>
  <si>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</si>
  <si>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</si>
  <si>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</si>
  <si>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</si>
  <si>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</si>
  <si>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</si>
  <si>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</si>
  <si>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</si>
  <si>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</si>
  <si>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</si>
  <si>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</si>
  <si>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</si>
  <si>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</si>
  <si>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</si>
  <si>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</si>
  <si>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</si>
  <si>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</si>
  <si>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</si>
  <si>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</si>
  <si>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</si>
  <si>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</si>
  <si>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</si>
  <si>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</si>
  <si>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</si>
  <si>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</si>
  <si>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</si>
  <si>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</si>
  <si>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</si>
  <si>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</si>
  <si>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</si>
  <si>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</si>
  <si>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</si>
  <si>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</si>
  <si>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</si>
  <si>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</si>
  <si>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</si>
  <si>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</si>
  <si>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</si>
  <si>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</si>
  <si>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</si>
  <si>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</si>
  <si>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</si>
  <si>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</si>
  <si>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</si>
  <si>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</si>
  <si>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</si>
  <si>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</si>
  <si>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</si>
  <si>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</si>
  <si>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</si>
  <si>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</si>
  <si>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</si>
  <si>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</si>
  <si>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</si>
  <si>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</si>
  <si>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</si>
  <si>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</si>
  <si>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</si>
  <si>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</si>
  <si>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</si>
  <si>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</si>
  <si>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</si>
  <si>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</si>
  <si>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</si>
  <si>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</si>
  <si>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</si>
  <si>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</si>
  <si>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</si>
  <si>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</si>
  <si>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</si>
  <si>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</si>
  <si>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</si>
  <si>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</si>
  <si>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</si>
  <si>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</si>
  <si>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</si>
  <si>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</si>
  <si>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</si>
  <si>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</si>
  <si>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</si>
  <si>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</si>
  <si>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</si>
  <si>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</si>
  <si>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</si>
  <si>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</si>
  <si>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</si>
  <si>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</si>
  <si>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</si>
  <si>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</si>
  <si>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</si>
  <si>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</si>
  <si>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</si>
  <si>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</si>
  <si>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</si>
  <si>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</si>
  <si>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</si>
  <si>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</si>
  <si>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</si>
  <si>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</si>
  <si>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</si>
  <si>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</si>
  <si>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</si>
  <si>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</si>
  <si>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</si>
  <si>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</si>
  <si>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</si>
  <si>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</si>
  <si>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</si>
  <si>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</si>
  <si>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</si>
  <si>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</si>
  <si>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</si>
  <si>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</si>
  <si>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</si>
  <si>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</si>
  <si>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</si>
  <si>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</si>
  <si>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</si>
  <si>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</si>
  <si>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</si>
  <si>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</si>
  <si>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</si>
  <si>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</si>
  <si>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</si>
  <si>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</si>
  <si>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</si>
  <si>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</si>
  <si>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</si>
  <si>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</si>
  <si>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</si>
  <si>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</si>
  <si>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</si>
  <si>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</si>
  <si>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</si>
  <si>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</si>
  <si>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</si>
  <si>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</si>
  <si>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</si>
  <si>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</si>
  <si>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</si>
  <si>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</si>
  <si>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</si>
  <si>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</si>
  <si>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</si>
  <si>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</si>
  <si>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</si>
  <si>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</si>
  <si>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</si>
  <si>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</si>
  <si>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</si>
  <si>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</si>
  <si>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</si>
  <si>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</si>
  <si>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</si>
  <si>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</si>
  <si>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</si>
  <si>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</si>
  <si>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</si>
  <si>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</si>
  <si>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</si>
  <si>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</si>
  <si>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</si>
  <si>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</si>
  <si>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</si>
  <si>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</si>
  <si>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</si>
  <si>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</si>
  <si>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</si>
  <si>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</si>
  <si>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</si>
  <si>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</si>
  <si>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</si>
  <si>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</si>
  <si>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</si>
  <si>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</si>
  <si>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</si>
  <si>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</si>
  <si>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</si>
  <si>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</si>
  <si>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</si>
  <si>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</si>
  <si>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</si>
  <si>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</si>
  <si>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</si>
  <si>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</si>
  <si>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</si>
  <si>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</si>
  <si>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</si>
  <si>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</si>
  <si>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</si>
  <si>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</si>
  <si>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</si>
  <si>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</si>
  <si>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</si>
  <si>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</si>
  <si>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</si>
  <si>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</si>
  <si>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</si>
  <si>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</si>
  <si>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</si>
  <si>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</si>
  <si>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</si>
  <si>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</si>
  <si>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</si>
  <si>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</si>
  <si>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</si>
  <si>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</si>
  <si>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</si>
  <si>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</si>
  <si>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</si>
  <si>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</si>
  <si>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</si>
  <si>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</si>
  <si>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</si>
  <si>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</si>
  <si>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</si>
  <si>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</si>
  <si>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</si>
  <si>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</si>
  <si>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</si>
  <si>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</si>
  <si>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</si>
  <si>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</si>
  <si>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</si>
  <si>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</si>
  <si>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</si>
  <si>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</si>
  <si>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</si>
  <si>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</si>
  <si>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</si>
  <si>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</si>
  <si>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</si>
  <si>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</si>
  <si>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</si>
  <si>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</si>
  <si>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</si>
  <si>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</si>
  <si>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</si>
  <si>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</si>
  <si>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</si>
  <si>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</si>
  <si>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</si>
  <si>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</si>
  <si>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</si>
  <si>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</si>
  <si>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</si>
  <si>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</si>
  <si>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</si>
  <si>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</si>
  <si>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</si>
  <si>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</si>
  <si>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</si>
  <si>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</si>
  <si>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</si>
  <si>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</si>
  <si>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</si>
  <si>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</si>
  <si>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</si>
  <si>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</si>
  <si>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</si>
  <si>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</si>
  <si>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</si>
  <si>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</si>
  <si>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</si>
  <si>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</si>
  <si>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</si>
  <si>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</si>
  <si>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</si>
  <si>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</si>
  <si>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</si>
  <si>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</si>
  <si>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</si>
  <si>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</si>
  <si>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</si>
  <si>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</si>
  <si>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</si>
  <si>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</si>
  <si>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</si>
  <si>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</si>
  <si>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</si>
  <si>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</si>
  <si>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</si>
  <si>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</si>
  <si>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</si>
  <si>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</si>
  <si>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</si>
  <si>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</si>
  <si>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</si>
  <si>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</si>
  <si>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</si>
  <si>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</si>
  <si>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</si>
  <si>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</si>
  <si>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</si>
  <si>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</si>
  <si>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</si>
  <si>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</si>
  <si>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</si>
  <si>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</si>
  <si>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</si>
  <si>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</si>
  <si>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</si>
  <si>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</si>
  <si>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</si>
  <si>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</si>
  <si>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</si>
  <si>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</si>
  <si>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</si>
  <si>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</si>
  <si>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</si>
  <si>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</si>
  <si>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</si>
  <si>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</si>
  <si>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</si>
  <si>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</si>
  <si>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</si>
  <si>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</si>
  <si>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</si>
  <si>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</si>
  <si>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</si>
  <si>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</si>
  <si>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</si>
  <si>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</si>
  <si>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</si>
  <si>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</si>
  <si>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</si>
  <si>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</si>
  <si>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</si>
  <si>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</si>
  <si>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</si>
  <si>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</si>
  <si>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</si>
  <si>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</si>
  <si>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</si>
  <si>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</si>
  <si>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</si>
  <si>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</si>
  <si>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</si>
  <si>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</si>
  <si>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</si>
  <si>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</si>
  <si>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</si>
  <si>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</si>
  <si>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</si>
  <si>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</si>
  <si>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</si>
  <si>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</si>
  <si>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</si>
  <si>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</si>
  <si>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</si>
  <si>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</si>
  <si>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</si>
  <si>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</si>
  <si>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</si>
  <si>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</si>
  <si>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</si>
  <si>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</si>
  <si>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</si>
  <si>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</si>
  <si>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</si>
  <si>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</si>
  <si>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</si>
  <si>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</si>
  <si>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</si>
  <si>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</si>
  <si>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</si>
  <si>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</si>
  <si>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</si>
  <si>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</si>
  <si>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</si>
  <si>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</si>
  <si>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</si>
  <si>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</si>
  <si>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</si>
  <si>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</si>
  <si>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</si>
  <si>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</si>
  <si>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</si>
  <si>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</si>
  <si>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</si>
  <si>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</si>
  <si>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</si>
  <si>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</si>
  <si>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</si>
  <si>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</si>
  <si>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</si>
  <si>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</si>
  <si>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</si>
  <si>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</si>
  <si>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</si>
  <si>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</si>
  <si>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</si>
  <si>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</si>
  <si>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</si>
  <si>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</si>
  <si>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</si>
  <si>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</si>
  <si>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</si>
  <si>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</si>
  <si>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</si>
  <si>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</si>
  <si>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</si>
  <si>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</si>
  <si>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</si>
  <si>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</si>
  <si>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</si>
  <si>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</si>
  <si>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</si>
  <si>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</si>
  <si>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</si>
  <si>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</si>
  <si>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</si>
  <si>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</si>
  <si>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</si>
  <si>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</si>
  <si>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</si>
  <si>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</si>
  <si>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</si>
  <si>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</si>
  <si>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</si>
  <si>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</si>
  <si>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</si>
  <si>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</si>
  <si>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</si>
  <si>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</si>
  <si>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</si>
  <si>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</si>
  <si>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</si>
  <si>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</si>
  <si>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</si>
  <si>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</si>
  <si>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</si>
  <si>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</si>
  <si>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</si>
  <si>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</si>
  <si>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</si>
  <si>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</si>
  <si>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</si>
  <si>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</si>
  <si>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</si>
  <si>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</si>
  <si>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</si>
  <si>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</si>
  <si>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</si>
  <si>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</si>
  <si>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</si>
  <si>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</si>
  <si>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</si>
  <si>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</si>
  <si>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</si>
  <si>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</si>
  <si>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</si>
  <si>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</si>
  <si>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</si>
  <si>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</si>
  <si>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</si>
  <si>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</si>
  <si>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</si>
  <si>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</si>
  <si>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</si>
  <si>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</si>
  <si>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</si>
  <si>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</si>
  <si>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</si>
  <si>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</si>
  <si>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</si>
  <si>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</si>
  <si>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</si>
  <si>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</si>
  <si>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</si>
  <si>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</si>
  <si>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</si>
  <si>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</si>
  <si>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</si>
  <si>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</si>
  <si>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</si>
  <si>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</si>
  <si>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</si>
  <si>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</si>
  <si>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</si>
  <si>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</si>
  <si>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</si>
  <si>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</si>
  <si>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</si>
  <si>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</si>
  <si>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</si>
  <si>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</si>
  <si>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</si>
  <si>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</si>
  <si>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</si>
  <si>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</si>
  <si>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</si>
  <si>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</si>
  <si>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</si>
  <si>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</si>
  <si>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</si>
  <si>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</si>
  <si>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</si>
  <si>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</si>
  <si>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</si>
  <si>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</si>
  <si>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</si>
  <si>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</si>
  <si>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</si>
  <si>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</si>
  <si>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</si>
  <si>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</si>
  <si>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</si>
  <si>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</si>
  <si>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</si>
  <si>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</si>
  <si>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</si>
  <si>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</si>
  <si>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</si>
  <si>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</si>
  <si>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</si>
  <si>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</si>
  <si>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</si>
  <si>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</si>
  <si>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</si>
  <si>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</si>
  <si>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</si>
  <si>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</si>
  <si>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</si>
  <si>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</si>
  <si>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</si>
  <si>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</si>
  <si>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</si>
  <si>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</si>
  <si>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</si>
  <si>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</si>
  <si>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</si>
  <si>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</si>
  <si>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</si>
  <si>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</si>
  <si>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</si>
  <si>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</si>
  <si>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</si>
  <si>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</si>
  <si>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</si>
  <si>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</si>
  <si>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</si>
  <si>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</si>
  <si>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</si>
  <si>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</si>
  <si>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</si>
  <si>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</si>
  <si>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</si>
  <si>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</si>
  <si>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</si>
  <si>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</si>
  <si>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</si>
  <si>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</si>
  <si>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</si>
  <si>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</si>
  <si>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</si>
  <si>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</si>
  <si>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</si>
  <si>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</si>
  <si>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</si>
  <si>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</si>
  <si>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</si>
  <si>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</si>
  <si>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</si>
  <si>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</si>
  <si>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</si>
  <si>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</si>
  <si>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</si>
  <si>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</si>
  <si>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</si>
  <si>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</si>
  <si>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</si>
  <si>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</si>
  <si>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</si>
  <si>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</si>
  <si>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</si>
  <si>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</si>
  <si>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</si>
  <si>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</si>
  <si>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</si>
  <si>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</si>
  <si>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</si>
  <si>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</si>
  <si>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</si>
  <si>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</si>
  <si>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</si>
  <si>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</si>
  <si>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</si>
  <si>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</si>
  <si>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</si>
  <si>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</si>
  <si>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</si>
  <si>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</si>
  <si>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</si>
  <si>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</si>
  <si>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</si>
  <si>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</si>
  <si>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</si>
  <si>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</si>
  <si>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</si>
  <si>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</si>
  <si>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</si>
  <si>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</si>
  <si>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</si>
  <si>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</si>
  <si>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</si>
  <si>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</si>
  <si>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</si>
  <si>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</si>
  <si>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</si>
  <si>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</si>
  <si>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</si>
  <si>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</si>
  <si>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</si>
  <si>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</si>
  <si>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</si>
  <si>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</si>
  <si>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</si>
  <si>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</si>
  <si>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</si>
  <si>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</si>
  <si>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</si>
  <si>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</si>
  <si>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</si>
  <si>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</si>
  <si>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</si>
  <si>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</si>
  <si>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</si>
  <si>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</si>
  <si>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</si>
  <si>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</si>
  <si>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</si>
  <si>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</si>
  <si>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</si>
  <si>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</si>
  <si>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</si>
  <si>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</si>
  <si>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</si>
  <si>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</si>
  <si>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</si>
  <si>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</si>
  <si>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</si>
  <si>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</si>
  <si>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</si>
  <si>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</si>
  <si>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</si>
  <si>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</si>
  <si>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</si>
  <si>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</si>
  <si>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</si>
  <si>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</si>
  <si>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</si>
  <si>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</si>
  <si>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</si>
  <si>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</si>
  <si>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</si>
  <si>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</si>
  <si>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</si>
  <si>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</si>
  <si>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</si>
  <si>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</si>
  <si>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</si>
  <si>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</si>
  <si>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</si>
  <si>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</si>
  <si>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</si>
  <si>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</si>
  <si>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</si>
  <si>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</si>
  <si>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</si>
  <si>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</si>
  <si>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</si>
  <si>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</si>
  <si>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</si>
  <si>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</si>
  <si>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</si>
  <si>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</si>
  <si>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</si>
  <si>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</si>
  <si>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</si>
  <si>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</si>
  <si>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</si>
  <si>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</si>
  <si>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</si>
  <si>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</si>
  <si>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</si>
  <si>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</si>
  <si>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</si>
  <si>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</si>
  <si>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</si>
  <si>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</si>
  <si>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</si>
  <si>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</si>
  <si>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</si>
  <si>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</si>
  <si>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</si>
  <si>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</si>
  <si>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</si>
  <si>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</si>
  <si>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</si>
  <si>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</si>
  <si>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</si>
  <si>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</si>
  <si>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</si>
  <si>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</si>
  <si>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</si>
  <si>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</si>
  <si>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</si>
  <si>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</si>
  <si>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</si>
  <si>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</si>
  <si>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</si>
  <si>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</si>
  <si>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</si>
  <si>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</si>
  <si>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</si>
  <si>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</si>
  <si>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</si>
  <si>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</si>
  <si>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</si>
  <si>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</si>
  <si>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</si>
  <si>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</si>
  <si>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</si>
  <si>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</si>
  <si>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</si>
  <si>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</si>
  <si>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</si>
  <si>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</si>
  <si>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</si>
  <si>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</si>
  <si>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</si>
  <si>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</si>
  <si>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</si>
  <si>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</si>
  <si>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</si>
  <si>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</si>
  <si>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</si>
  <si>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</si>
  <si>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</si>
  <si>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</si>
  <si>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</si>
  <si>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</si>
  <si>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</si>
  <si>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</si>
  <si>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</si>
  <si>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</si>
  <si>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</si>
  <si>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</si>
  <si>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</si>
  <si>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</si>
  <si>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</si>
  <si>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</si>
  <si>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</si>
  <si>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</si>
  <si>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</si>
  <si>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</si>
  <si>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</si>
  <si>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</si>
  <si>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</si>
  <si>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</si>
  <si>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</si>
  <si>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</si>
  <si>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</si>
  <si>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</si>
  <si>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</si>
  <si>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</si>
  <si>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</si>
  <si>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</si>
  <si>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</si>
  <si>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</si>
  <si>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</si>
  <si>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</si>
  <si>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</si>
  <si>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</si>
  <si>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</si>
  <si>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</si>
  <si>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</si>
  <si>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</si>
  <si>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</si>
  <si>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</si>
  <si>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</si>
  <si>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</si>
  <si>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</si>
  <si>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</si>
  <si>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</si>
  <si>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</si>
  <si>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</si>
  <si>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</si>
  <si>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</si>
  <si>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</si>
  <si>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</si>
  <si>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</si>
  <si>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</si>
  <si>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</si>
  <si>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</si>
  <si>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</si>
  <si>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</si>
  <si>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</si>
  <si>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</si>
  <si>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</si>
  <si>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</si>
  <si>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</si>
  <si>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</si>
  <si>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</si>
  <si>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</si>
  <si>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</si>
  <si>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</si>
  <si>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</si>
  <si>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</si>
  <si>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</si>
  <si>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</si>
  <si>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</si>
  <si>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</si>
  <si>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</si>
  <si>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</si>
  <si>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</si>
  <si>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</si>
  <si>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</si>
  <si>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</si>
  <si>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</si>
  <si>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</si>
  <si>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</si>
  <si>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</si>
  <si>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</si>
  <si>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</si>
  <si>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</si>
  <si>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</si>
  <si>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</si>
  <si>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</si>
  <si>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</si>
  <si>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</si>
  <si>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</si>
  <si>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</si>
  <si>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</si>
  <si>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</si>
  <si>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</si>
  <si>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</si>
  <si>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</si>
  <si>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</si>
  <si>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</si>
  <si>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</si>
  <si>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</si>
  <si>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</si>
  <si>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</si>
  <si>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</si>
  <si>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</si>
  <si>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</si>
  <si>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</si>
  <si>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</si>
  <si>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</si>
  <si>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</si>
  <si>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</si>
  <si>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</si>
  <si>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</si>
  <si>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</si>
  <si>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</si>
  <si>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</si>
  <si>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</si>
  <si>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</si>
  <si>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</si>
  <si>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</si>
  <si>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</si>
  <si>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</si>
  <si>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</si>
  <si>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</si>
  <si>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</si>
  <si>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</si>
  <si>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</si>
  <si>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</si>
  <si>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</si>
  <si>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</si>
  <si>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</si>
  <si>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</si>
  <si>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</si>
  <si>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</si>
  <si>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</si>
  <si>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</si>
  <si>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</si>
  <si>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</si>
  <si>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</si>
  <si>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</si>
  <si>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</si>
  <si>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</si>
  <si>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</si>
  <si>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</si>
  <si>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</si>
  <si>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</si>
  <si>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</si>
  <si>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</si>
  <si>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</si>
  <si>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</si>
  <si>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</si>
  <si>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</si>
  <si>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</si>
  <si>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</si>
  <si>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</si>
  <si>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</si>
  <si>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</si>
  <si>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</si>
  <si>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</si>
  <si>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</si>
  <si>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</si>
  <si>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</si>
  <si>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</si>
  <si>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</si>
  <si>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</si>
  <si>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</si>
  <si>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</si>
  <si>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</si>
  <si>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</si>
  <si>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</si>
  <si>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</si>
  <si>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</si>
  <si>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</si>
  <si>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</si>
  <si>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</si>
  <si>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</si>
  <si>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</si>
  <si>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</si>
  <si>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</si>
  <si>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</si>
  <si>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</si>
  <si>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</si>
  <si>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</si>
  <si>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</si>
  <si>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</si>
  <si>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</si>
  <si>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</si>
  <si>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</si>
  <si>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</si>
  <si>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</si>
  <si>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</si>
  <si>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</si>
  <si>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</si>
  <si>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</si>
  <si>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</si>
  <si>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</si>
  <si>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</si>
  <si>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</si>
  <si>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</si>
  <si>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</si>
  <si>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</si>
  <si>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</si>
  <si>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</si>
  <si>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</si>
  <si>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</si>
  <si>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</si>
  <si>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</si>
  <si>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</si>
  <si>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</si>
  <si>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</si>
  <si>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</si>
  <si>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</si>
  <si>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</si>
  <si>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</si>
  <si>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</si>
  <si>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</si>
  <si>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</si>
  <si>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</si>
  <si>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</si>
  <si>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</si>
  <si>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</si>
  <si>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</si>
  <si>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</si>
  <si>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</si>
  <si>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</si>
  <si>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</si>
  <si>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</si>
  <si>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</si>
  <si>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</si>
  <si>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</si>
  <si>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</si>
  <si>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</si>
  <si>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</si>
  <si>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</si>
  <si>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</si>
  <si>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</si>
  <si>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</si>
  <si>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</si>
  <si>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</si>
  <si>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</si>
  <si>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</si>
  <si>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</si>
  <si>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</si>
  <si>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</si>
  <si>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</si>
  <si>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</si>
  <si>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</si>
  <si>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</si>
  <si>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</si>
  <si>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</si>
  <si>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</si>
  <si>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</si>
  <si>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</si>
  <si>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</si>
  <si>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</si>
  <si>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</si>
  <si>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</si>
  <si>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</si>
  <si>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</si>
  <si>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</si>
  <si>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</si>
  <si>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</si>
  <si>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</si>
  <si>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</si>
  <si>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</si>
  <si>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</si>
  <si>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</si>
  <si>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</si>
  <si>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</si>
  <si>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</si>
  <si>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</si>
  <si>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</si>
  <si>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</si>
  <si>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</si>
  <si>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</si>
  <si>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</si>
  <si>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</si>
  <si>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</si>
  <si>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</si>
  <si>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</si>
  <si>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</si>
  <si>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</si>
  <si>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</si>
  <si>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</si>
  <si>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</si>
  <si>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</si>
  <si>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</si>
  <si>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</si>
  <si>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</si>
  <si>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</si>
  <si>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</si>
  <si>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</si>
  <si>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</si>
  <si>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</si>
  <si>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</si>
  <si>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</si>
  <si>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</si>
  <si>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</si>
  <si>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</si>
  <si>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</si>
  <si>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</si>
  <si>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</si>
  <si>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</si>
  <si>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</si>
  <si>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</si>
  <si>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</si>
  <si>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</si>
  <si>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</si>
  <si>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</si>
  <si>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</si>
  <si>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</si>
  <si>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</si>
  <si>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</si>
  <si>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</si>
  <si>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</si>
  <si>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</si>
  <si>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</si>
  <si>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</si>
  <si>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</si>
  <si>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</si>
  <si>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</si>
  <si>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</si>
  <si>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</si>
  <si>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</si>
  <si>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</si>
  <si>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</si>
  <si>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</si>
  <si>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</si>
  <si>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</si>
  <si>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</si>
  <si>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</si>
  <si>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</si>
  <si>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</si>
  <si>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</si>
  <si>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</si>
  <si>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</si>
  <si>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</si>
  <si>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</si>
  <si>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</si>
  <si>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</si>
  <si>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</si>
  <si>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</si>
  <si>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</si>
  <si>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</si>
  <si>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</si>
  <si>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</si>
  <si>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</si>
  <si>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</si>
  <si>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</si>
  <si>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</si>
  <si>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</si>
  <si>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</si>
  <si>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</si>
  <si>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</si>
  <si>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</si>
  <si>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</si>
  <si>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</si>
  <si>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</si>
  <si>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</si>
  <si>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</si>
  <si>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</si>
  <si>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</si>
  <si>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</si>
  <si>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</si>
  <si>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</si>
  <si>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</si>
  <si>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</si>
  <si>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</si>
  <si>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</si>
  <si>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</si>
  <si>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</si>
  <si>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</si>
  <si>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</si>
  <si>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</si>
  <si>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</si>
  <si>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</si>
  <si>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</si>
  <si>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</si>
  <si>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</si>
  <si>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</si>
  <si>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</si>
  <si>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</si>
  <si>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</si>
  <si>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</si>
  <si>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</si>
  <si>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</si>
  <si>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</si>
  <si>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</si>
  <si>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</si>
  <si>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</si>
  <si>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</si>
  <si>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</si>
  <si>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</si>
  <si>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</si>
  <si>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</si>
  <si>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</si>
  <si>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</si>
  <si>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</si>
  <si>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</si>
  <si>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</si>
  <si>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</si>
  <si>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</si>
  <si>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</si>
  <si>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</si>
  <si>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</si>
  <si>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</si>
  <si>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</si>
  <si>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</si>
  <si>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</si>
  <si>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</si>
  <si>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</si>
  <si>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</si>
  <si>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</si>
  <si>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</si>
  <si>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</si>
  <si>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</si>
  <si>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</si>
  <si>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</si>
  <si>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</si>
  <si>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</si>
  <si>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</si>
  <si>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</si>
  <si>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</si>
  <si>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</si>
  <si>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</si>
  <si>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</si>
  <si>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</si>
  <si>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</si>
  <si>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</si>
  <si>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</si>
  <si>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</si>
  <si>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</si>
  <si>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</si>
  <si>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</si>
  <si>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</si>
  <si>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</si>
  <si>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</si>
  <si>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</si>
  <si>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</si>
  <si>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</si>
  <si>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</si>
  <si>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</si>
  <si>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</si>
  <si>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</si>
  <si>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</si>
  <si>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</si>
  <si>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</si>
  <si>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</si>
  <si>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</si>
  <si>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</si>
  <si>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</si>
  <si>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</si>
  <si>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</si>
  <si>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</si>
  <si>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</si>
  <si>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</si>
  <si>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</si>
  <si>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</si>
  <si>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</si>
  <si>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</si>
  <si>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</si>
  <si>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</si>
  <si>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</si>
  <si>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</si>
  <si>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</si>
  <si>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</si>
  <si>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</si>
  <si>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</si>
  <si>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</si>
  <si>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</si>
  <si>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</si>
  <si>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</si>
  <si>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</si>
  <si>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</si>
  <si>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</si>
  <si>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</si>
  <si>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</si>
  <si>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</si>
  <si>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</si>
  <si>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</si>
  <si>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</si>
  <si>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</si>
  <si>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</si>
  <si>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</si>
  <si>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</si>
  <si>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</si>
  <si>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</si>
  <si>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</si>
  <si>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</si>
  <si>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</si>
  <si>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</si>
  <si>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</si>
  <si>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</si>
  <si>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</si>
  <si>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</si>
  <si>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</si>
  <si>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</si>
  <si>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</si>
  <si>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</si>
  <si>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</si>
  <si>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</si>
  <si>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</si>
  <si>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</si>
  <si>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</si>
  <si>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</si>
  <si>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</si>
  <si>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</si>
  <si>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</si>
  <si>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</si>
  <si>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</si>
  <si>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</si>
  <si>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</si>
  <si>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</si>
  <si>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</si>
  <si>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</si>
  <si>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</si>
  <si>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</si>
  <si>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</si>
  <si>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</si>
  <si>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</si>
  <si>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</si>
  <si>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</si>
  <si>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</si>
  <si>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</si>
  <si>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</si>
  <si>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</si>
  <si>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</si>
  <si>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</si>
  <si>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</si>
  <si>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</si>
  <si>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</si>
  <si>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</si>
  <si>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</si>
  <si>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</si>
  <si>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</si>
  <si>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</si>
  <si>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</si>
  <si>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</si>
  <si>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</si>
  <si>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</si>
  <si>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</si>
  <si>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</si>
  <si>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</si>
  <si>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</si>
  <si>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</si>
  <si>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</si>
  <si>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</si>
  <si>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</si>
  <si>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</si>
  <si>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</si>
  <si>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</si>
  <si>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</si>
  <si>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</si>
  <si>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</si>
  <si>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</si>
  <si>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</si>
  <si>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</si>
  <si>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</si>
  <si>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</si>
  <si>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</si>
  <si>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</si>
  <si>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</si>
  <si>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</si>
  <si>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</si>
  <si>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</si>
  <si>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</si>
  <si>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</si>
  <si>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</si>
  <si>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</si>
  <si>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</si>
  <si>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</si>
  <si>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</si>
  <si>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</si>
  <si>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</si>
  <si>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</si>
  <si>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</si>
  <si>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</si>
  <si>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</si>
  <si>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</si>
  <si>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</si>
  <si>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</si>
  <si>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</si>
  <si>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</si>
  <si>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</si>
  <si>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</si>
  <si>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</si>
  <si>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</si>
  <si>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</si>
  <si>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</si>
  <si>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</si>
  <si>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</si>
  <si>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</si>
  <si>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</si>
  <si>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</si>
  <si>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</si>
  <si>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</si>
  <si>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</si>
  <si>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</si>
  <si>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</si>
  <si>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</si>
  <si>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</si>
  <si>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</si>
  <si>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</si>
  <si>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</si>
  <si>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</si>
  <si>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</si>
  <si>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</si>
  <si>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</si>
  <si>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</si>
  <si>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</si>
  <si>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</si>
  <si>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</si>
  <si>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</si>
  <si>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</si>
  <si>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</si>
  <si>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</si>
  <si>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</si>
  <si>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</si>
  <si>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</si>
  <si>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</si>
  <si>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</si>
  <si>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</si>
  <si>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</si>
  <si>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</si>
  <si>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</si>
  <si>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</si>
  <si>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</si>
  <si>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</si>
  <si>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</si>
  <si>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</si>
  <si>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</si>
  <si>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</si>
  <si>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</si>
  <si>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</si>
  <si>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</si>
  <si>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</si>
  <si>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</si>
  <si>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</si>
  <si>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</si>
  <si>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</si>
  <si>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</si>
  <si>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</si>
  <si>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</si>
  <si>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</si>
  <si>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</si>
  <si>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</si>
  <si>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</si>
  <si>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</si>
  <si>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</si>
  <si>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</si>
  <si>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</si>
  <si>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</si>
  <si>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</si>
  <si>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</si>
  <si>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</si>
  <si>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</si>
  <si>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</si>
  <si>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</si>
  <si>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</si>
  <si>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</si>
  <si>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</si>
  <si>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</si>
  <si>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</si>
  <si>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</si>
  <si>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</si>
  <si>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</si>
  <si>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</si>
  <si>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</si>
  <si>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</si>
  <si>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</si>
  <si>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</si>
  <si>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</si>
  <si>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</si>
  <si>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</si>
  <si>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</si>
  <si>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</si>
  <si>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</si>
  <si>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</si>
  <si>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</si>
  <si>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</si>
  <si>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</si>
  <si>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</si>
  <si>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</si>
  <si>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</si>
  <si>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</si>
  <si>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</si>
  <si>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</si>
  <si>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</si>
  <si>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</si>
  <si>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</si>
  <si>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</si>
  <si>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</si>
  <si>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</si>
  <si>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</si>
  <si>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</si>
  <si>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</si>
  <si>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</si>
  <si>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</si>
  <si>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</si>
  <si>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</si>
  <si>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</si>
  <si>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</si>
  <si>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</si>
  <si>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</si>
  <si>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</si>
  <si>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</si>
  <si>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</si>
  <si>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</si>
  <si>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</si>
  <si>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</si>
  <si>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</si>
  <si>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</si>
  <si>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</si>
  <si>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</si>
  <si>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</si>
  <si>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</si>
  <si>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</si>
  <si>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</si>
  <si>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</si>
  <si>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</si>
  <si>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</si>
  <si>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</si>
  <si>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</si>
  <si>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</si>
  <si>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</si>
  <si>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</si>
  <si>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</si>
  <si>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</si>
  <si>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</si>
  <si>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</si>
  <si>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</si>
  <si>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</si>
  <si>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</si>
  <si>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</si>
  <si>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</si>
  <si>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</si>
  <si>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</si>
  <si>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</si>
  <si>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</si>
  <si>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</si>
  <si>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</si>
  <si>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</si>
  <si>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</si>
  <si>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</si>
  <si>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</si>
  <si>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</si>
  <si>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</si>
  <si>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</si>
  <si>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</si>
  <si>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</si>
  <si>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</si>
  <si>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</si>
  <si>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</si>
  <si>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</si>
  <si>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</si>
  <si>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</si>
  <si>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</si>
  <si>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</si>
  <si>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</si>
  <si>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</si>
  <si>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</si>
  <si>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</si>
  <si>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</si>
  <si>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</si>
  <si>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</si>
  <si>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</si>
  <si>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</si>
  <si>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</si>
  <si>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</si>
  <si>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</si>
  <si>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</si>
  <si>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</si>
  <si>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</si>
  <si>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</si>
  <si>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</si>
  <si>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</si>
  <si>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</si>
  <si>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</si>
  <si>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</si>
  <si>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</si>
  <si>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</si>
  <si>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</si>
  <si>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</si>
  <si>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</si>
  <si>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</si>
  <si>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</si>
  <si>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</si>
  <si>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</si>
  <si>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</si>
  <si>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</si>
  <si>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</si>
  <si>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</si>
  <si>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</si>
  <si>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</si>
  <si>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</si>
  <si>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</si>
  <si>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</si>
  <si>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</si>
  <si>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</si>
  <si>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</si>
  <si>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</si>
  <si>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</si>
  <si>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</si>
  <si>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</si>
  <si>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</si>
  <si>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</si>
  <si>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</si>
  <si>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</si>
  <si>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</si>
  <si>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</si>
  <si>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</si>
  <si>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</si>
  <si>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</si>
  <si>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</si>
  <si>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</si>
  <si>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</si>
  <si>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</si>
  <si>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</si>
  <si>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</si>
  <si>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</si>
  <si>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</si>
  <si>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</si>
  <si>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</si>
  <si>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</si>
  <si>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</si>
  <si>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</si>
  <si>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</si>
  <si>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</si>
  <si>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</si>
  <si>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</si>
  <si>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</si>
  <si>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</si>
  <si>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</si>
  <si>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</si>
  <si>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</si>
  <si>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</si>
  <si>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</si>
  <si>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</si>
  <si>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</si>
  <si>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</si>
  <si>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</si>
  <si>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</si>
  <si>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</si>
  <si>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</si>
  <si>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</si>
  <si>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</si>
  <si>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</si>
  <si>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</si>
  <si>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</si>
  <si>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</si>
  <si>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</si>
  <si>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</si>
  <si>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</si>
  <si>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</si>
  <si>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</si>
  <si>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</si>
  <si>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</si>
  <si>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</si>
  <si>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</si>
  <si>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</si>
  <si>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</si>
  <si>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</si>
  <si>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</si>
  <si>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</si>
  <si>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</si>
  <si>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</si>
  <si>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</si>
  <si>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</si>
  <si>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</si>
  <si>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</si>
  <si>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</si>
  <si>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</si>
  <si>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</si>
  <si>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</si>
  <si>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</si>
  <si>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</si>
  <si>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</si>
  <si>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</si>
  <si>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</si>
  <si>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</si>
  <si>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</si>
  <si>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</si>
  <si>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</si>
  <si>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</si>
  <si>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</si>
  <si>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</si>
  <si>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</si>
  <si>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</si>
  <si>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</si>
  <si>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</si>
  <si>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</si>
  <si>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</si>
  <si>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</si>
  <si>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</si>
  <si>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</si>
  <si>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</si>
  <si>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</si>
  <si>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</si>
  <si>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</si>
  <si>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</si>
  <si>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</si>
  <si>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</si>
  <si>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</si>
  <si>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</si>
  <si>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</si>
  <si>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</si>
  <si>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</si>
  <si>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</si>
  <si>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</si>
  <si>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</si>
  <si>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</si>
  <si>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</si>
  <si>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</si>
  <si>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</si>
  <si>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</si>
  <si>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</si>
  <si>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</si>
  <si>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</si>
  <si>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</si>
  <si>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</si>
  <si>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</si>
  <si>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</si>
  <si>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</si>
  <si>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</si>
  <si>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</si>
  <si>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</si>
  <si>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</si>
  <si>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</si>
  <si>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</si>
  <si>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</si>
  <si>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</si>
  <si>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</si>
  <si>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</si>
  <si>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</si>
  <si>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</si>
  <si>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</si>
  <si>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</si>
  <si>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</si>
  <si>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</si>
  <si>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</si>
  <si>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</si>
  <si>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</si>
  <si>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</si>
  <si>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</si>
  <si>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</si>
  <si>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</si>
  <si>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</si>
  <si>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</si>
  <si>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</si>
  <si>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</si>
  <si>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</si>
  <si>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</si>
  <si>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</si>
  <si>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</si>
  <si>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</si>
  <si>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</si>
  <si>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</si>
  <si>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</si>
  <si>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</si>
  <si>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</si>
  <si>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</si>
  <si>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</si>
  <si>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</si>
  <si>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</si>
  <si>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</si>
  <si>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</si>
  <si>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</si>
  <si>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</si>
  <si>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</si>
  <si>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</si>
  <si>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</si>
  <si>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</si>
  <si>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</si>
  <si>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</si>
  <si>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</si>
  <si>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</si>
  <si>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</si>
  <si>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</si>
  <si>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</si>
  <si>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</si>
  <si>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</si>
  <si>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</si>
  <si>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</si>
  <si>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</si>
  <si>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</si>
  <si>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</si>
  <si>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</si>
  <si>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</si>
  <si>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</si>
  <si>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</si>
  <si>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</si>
  <si>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</si>
  <si>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</si>
  <si>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</si>
  <si>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</si>
  <si>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</si>
  <si>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</si>
  <si>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</si>
  <si>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</si>
  <si>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</si>
  <si>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</si>
  <si>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</si>
  <si>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</si>
  <si>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</si>
  <si>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</si>
  <si>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</si>
  <si>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</si>
  <si>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</si>
  <si>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</si>
  <si>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</si>
  <si>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</si>
  <si>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</si>
  <si>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</si>
  <si>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</si>
  <si>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</si>
  <si>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</si>
  <si>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</si>
  <si>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</si>
  <si>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</si>
  <si>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</si>
  <si>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</si>
  <si>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</si>
  <si>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</si>
  <si>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</si>
  <si>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</si>
  <si>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</si>
  <si>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</si>
  <si>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</si>
  <si>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</si>
  <si>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</si>
  <si>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</si>
  <si>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</si>
  <si>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ROSALBA GARCIA GUARIN</t>
  </si>
  <si>
    <t>860002541</t>
  </si>
  <si>
    <t>S.A. CLINICA MARLY</t>
  </si>
  <si>
    <t>celypinedahotmail.com</t>
  </si>
  <si>
    <t>311275943</t>
  </si>
  <si>
    <t>Calle 50 No. 9-67</t>
  </si>
  <si>
    <t>830024974</t>
  </si>
  <si>
    <t>NATURA COSMETICOS LTDA</t>
  </si>
  <si>
    <t>Cra 19 #100 45</t>
  </si>
  <si>
    <t>800060704</t>
  </si>
  <si>
    <t>KAMEX INTERNATIONAL</t>
  </si>
  <si>
    <t>Carrera 8E N 6-10</t>
  </si>
  <si>
    <t>900824186</t>
  </si>
  <si>
    <t>ORTOPEDICOS FUTURO COLOMBIA S A S</t>
  </si>
  <si>
    <t>CARRERA 14 79 71 BOGOTA BOGOTA</t>
  </si>
  <si>
    <t>891409291</t>
  </si>
  <si>
    <t>EVE DISTRIBUCIONES SAS</t>
  </si>
  <si>
    <t>CALLE 22 9-63</t>
  </si>
  <si>
    <t>830054041</t>
  </si>
  <si>
    <t>COMERCIALIZADORA ALTIMAX LTDA</t>
  </si>
  <si>
    <t>CL 42 # 26 B - 08 </t>
  </si>
  <si>
    <t>830127490</t>
  </si>
  <si>
    <t>APOTECARIUM LTDA</t>
  </si>
  <si>
    <t>Cl. 83 #19-36</t>
  </si>
  <si>
    <t>830110109</t>
  </si>
  <si>
    <t>PHARMAPLUS S.A.S</t>
  </si>
  <si>
    <t>CALLE 86 27 54 BARRIO EL POLO</t>
  </si>
  <si>
    <t>79323956</t>
  </si>
  <si>
    <t>GAVIRIA RICARDO</t>
  </si>
  <si>
    <t>CR A 19B 150-35</t>
  </si>
  <si>
    <t>830033494</t>
  </si>
  <si>
    <t>HEEL COLOMBIA LTDA</t>
  </si>
  <si>
    <t>Ak 7 #43 113</t>
  </si>
  <si>
    <t>900415105</t>
  </si>
  <si>
    <t>VISION Y HEALT</t>
  </si>
  <si>
    <t>CL 22 1 112 CA 3</t>
  </si>
  <si>
    <t>860026123</t>
  </si>
  <si>
    <t>COPIDROGAS</t>
  </si>
  <si>
    <t>autopista bogota medellin km 4,7</t>
  </si>
  <si>
    <t>830012841</t>
  </si>
  <si>
    <t>NO SWEAT DE COLOMBIA</t>
  </si>
  <si>
    <t>KR 145 # 142 F - 59 CS 73</t>
  </si>
  <si>
    <t>900168082</t>
  </si>
  <si>
    <t>INVERSIONES PLAMATECH LTDA</t>
  </si>
  <si>
    <t>Cl. 120a #7-36 Of.801</t>
  </si>
  <si>
    <t>890208788</t>
  </si>
  <si>
    <t>UNIDROGAS</t>
  </si>
  <si>
    <t>CALLE5 18-08</t>
  </si>
  <si>
    <t>800128935</t>
  </si>
  <si>
    <t>NELINCO</t>
  </si>
  <si>
    <t>Cl. 44a #50 96</t>
  </si>
  <si>
    <t>890300466</t>
  </si>
  <si>
    <t>TECNOQUIMICAS S.A.</t>
  </si>
  <si>
    <t>CALLE 23 7 39 BARRIO SAN NICOLAS</t>
  </si>
  <si>
    <t>900701208</t>
  </si>
  <si>
    <t>DERMATOLOGICA ZUE</t>
  </si>
  <si>
    <t>Cra. 15 #11-04</t>
  </si>
  <si>
    <t>830038639</t>
  </si>
  <si>
    <t>FUTUMEDICA SAS</t>
  </si>
  <si>
    <t>Cl. 78 #63-45</t>
  </si>
  <si>
    <t>7227268</t>
  </si>
  <si>
    <t>OZUNA JUAN CARLOS</t>
  </si>
  <si>
    <t>PARQUE LOS LIBERTADORES</t>
  </si>
  <si>
    <t>901432736</t>
  </si>
  <si>
    <t>MELSALUD SAS</t>
  </si>
  <si>
    <t>CARRERA 50 B 64 44 TO 2 AP 2304</t>
  </si>
  <si>
    <t>860001697</t>
  </si>
  <si>
    <t>GASEOSAS LUX S.A.S.</t>
  </si>
  <si>
    <t>Av Americas #53-09</t>
  </si>
  <si>
    <t>900261089</t>
  </si>
  <si>
    <t>IMPORMEDICAL EQUIPOS Y SUMINISTROS MEDICOS S A</t>
  </si>
  <si>
    <t>CALLE 32 A 26 58</t>
  </si>
  <si>
    <t>900403422</t>
  </si>
  <si>
    <t>MEDI VARIC PRODUCTS SAS</t>
  </si>
  <si>
    <t>Cra. 88a #64D 58</t>
  </si>
  <si>
    <t>900569383</t>
  </si>
  <si>
    <t>CONSULTSUPPLIES S A S</t>
  </si>
  <si>
    <t>Cl. 45c Bis #23 -08</t>
  </si>
  <si>
    <t>901671076</t>
  </si>
  <si>
    <t>CONFORT-SALUD S.A.S</t>
  </si>
  <si>
    <t>KR 25 # 45 C BIS - 61</t>
  </si>
  <si>
    <t>890903858</t>
  </si>
  <si>
    <t>INDUSTRIA NACIONAL DE GASEOSAS S.A</t>
  </si>
  <si>
    <t>AVENIDA CARRERA 96 24 C 94 BOGOTA BOGOTA</t>
  </si>
  <si>
    <t>900378652</t>
  </si>
  <si>
    <t>JAL TECH SOLUCIONES S.A.S</t>
  </si>
  <si>
    <t>CARRERA 42 75 367 IN 103 ITAGUI ANTIOQUIA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</si>
</sst>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#,##0_ ;\-#,##0\ "/>
  </numFmts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41" fontId="10" fillId="0" borderId="0" applyFont="0" applyFill="0" applyBorder="0" applyAlignment="0" applyProtection="0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49" fontId="11" fillId="0" borderId="10" xfId="0" applyNumberFormat="1" applyFont="1" applyBorder="1" applyAlignment="1" applyProtection="1">
      <alignment horizontal="left" vertical="center" wrapText="1"/>
    </xf>
    <xf numFmtId="0" fontId="0" fillId="0" borderId="0" xfId="0" applyProtection="1"/>
    <xf numFmtId="164" fontId="11" fillId="0" borderId="10" xfId="2" applyNumberFormat="1" applyFont="1" applyBorder="1" applyAlignment="1" applyProtection="1">
      <alignment horizontal="left" vertical="center" wrapText="1"/>
    </xf>
    <xf numFmtId="0" fontId="3" fillId="0" borderId="0" xfId="0" applyFont="1" applyProtection="1"/>
  </cellXfs>
  <cellStyles count="3">
    <cellStyle name="20% - Énfasis1" xfId="1" builtinId="30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M1" t="str">
            <v>3124379</v>
          </cell>
        </row>
        <row r="2">
          <cell r="M2" t="str">
            <v>2460917</v>
          </cell>
        </row>
        <row r="3">
          <cell r="M3" t="str">
            <v>23178804</v>
          </cell>
        </row>
        <row r="4">
          <cell r="M4" t="str">
            <v>11629558</v>
          </cell>
        </row>
        <row r="5">
          <cell r="M5" t="str">
            <v>6738305</v>
          </cell>
        </row>
        <row r="6">
          <cell r="M6" t="str">
            <v>1321366</v>
          </cell>
        </row>
        <row r="7">
          <cell r="M7" t="str">
            <v>6221150</v>
          </cell>
        </row>
        <row r="8">
          <cell r="M8" t="str">
            <v>724088</v>
          </cell>
        </row>
        <row r="9">
          <cell r="M9" t="str">
            <v>10536049</v>
          </cell>
        </row>
        <row r="10">
          <cell r="M10" t="str">
            <v>2642400</v>
          </cell>
        </row>
        <row r="11">
          <cell r="M11" t="str">
            <v>2498303</v>
          </cell>
        </row>
        <row r="12">
          <cell r="M12" t="str">
            <v>2272829225</v>
          </cell>
        </row>
        <row r="13">
          <cell r="M13" t="str">
            <v>8556207</v>
          </cell>
        </row>
        <row r="14">
          <cell r="M14" t="str">
            <v>1938200</v>
          </cell>
        </row>
        <row r="15">
          <cell r="M15" t="str">
            <v>143700</v>
          </cell>
        </row>
        <row r="16">
          <cell r="M16" t="str">
            <v>4398000</v>
          </cell>
        </row>
        <row r="17">
          <cell r="M17" t="str">
            <v>9469275</v>
          </cell>
        </row>
        <row r="18">
          <cell r="M18" t="str">
            <v>83193</v>
          </cell>
        </row>
        <row r="19">
          <cell r="M19" t="str">
            <v>527600</v>
          </cell>
        </row>
        <row r="20">
          <cell r="M20" t="str">
            <v>3482897</v>
          </cell>
        </row>
        <row r="21">
          <cell r="M21" t="str">
            <v>4400608</v>
          </cell>
        </row>
        <row r="22">
          <cell r="M22" t="str">
            <v>9976457</v>
          </cell>
        </row>
        <row r="23">
          <cell r="M23" t="str">
            <v>15882559</v>
          </cell>
        </row>
        <row r="24">
          <cell r="M24" t="str">
            <v>6729000</v>
          </cell>
        </row>
        <row r="25">
          <cell r="M25" t="str">
            <v>1468818</v>
          </cell>
        </row>
        <row r="26">
          <cell r="M26" t="str">
            <v>579421</v>
          </cell>
        </row>
        <row r="27">
          <cell r="M27" t="str">
            <v>3229370</v>
          </cell>
        </row>
        <row r="28">
          <cell r="M28" t="str">
            <v>1085383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topLeftCell="C22" zoomScaleNormal="100" zoomScalePageLayoutView="80" workbookViewId="0">
      <selection activeCell="E11" sqref="E1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24047992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46198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25.5">
      <c r="A7" s="25" t="s">
        <v>2250</v>
      </c>
      <c r="B7" s="25" t="s">
        <v>2251</v>
      </c>
      <c r="C7" s="25" t="s">
        <v>2252</v>
      </c>
      <c r="D7" s="25" t="s">
        <v>2253</v>
      </c>
      <c r="E7" s="25" t="s">
        <v>2254</v>
      </c>
      <c r="F7" s="25" t="s">
        <v>729</v>
      </c>
      <c r="G7" s="26">
        <v>203</v>
      </c>
      <c r="H7" s="27" t="str">
        <f>+[1]Hoja1!$M$1</f>
        <v>3124379</v>
      </c>
      <c r="I7" s="4">
        <v>0</v>
      </c>
      <c r="J7" s="4">
        <v>0</v>
      </c>
    </row>
    <row r="8" spans="1:10" ht="38.25">
      <c r="A8" s="25" t="s">
        <v>2255</v>
      </c>
      <c r="B8" s="25" t="s">
        <v>2256</v>
      </c>
      <c r="C8" s="25" t="s">
        <v>2252</v>
      </c>
      <c r="D8" s="25" t="s">
        <v>2253</v>
      </c>
      <c r="E8" s="25" t="s">
        <v>2257</v>
      </c>
      <c r="F8" s="25" t="s">
        <v>418</v>
      </c>
      <c r="G8" s="26">
        <v>203</v>
      </c>
      <c r="H8" s="27" t="str">
        <f>+[1]Hoja1!$M$2</f>
        <v>2460917</v>
      </c>
      <c r="I8" s="28">
        <v>0</v>
      </c>
      <c r="J8" s="28">
        <v>0</v>
      </c>
    </row>
    <row r="9" spans="1:10" ht="25.5">
      <c r="A9" s="25" t="s">
        <v>2258</v>
      </c>
      <c r="B9" s="25" t="s">
        <v>2259</v>
      </c>
      <c r="C9" s="25" t="s">
        <v>2252</v>
      </c>
      <c r="D9" s="25" t="s">
        <v>2253</v>
      </c>
      <c r="E9" s="25" t="s">
        <v>2260</v>
      </c>
      <c r="F9" s="25" t="s">
        <v>729</v>
      </c>
      <c r="G9" s="26">
        <v>203</v>
      </c>
      <c r="H9" s="27" t="str">
        <f>+[1]Hoja1!$M$3</f>
        <v>23178804</v>
      </c>
      <c r="I9" s="28">
        <v>0</v>
      </c>
      <c r="J9" s="28">
        <v>0</v>
      </c>
    </row>
    <row r="10" spans="1:10" ht="38.25">
      <c r="A10" s="25" t="s">
        <v>2261</v>
      </c>
      <c r="B10" s="25" t="s">
        <v>2262</v>
      </c>
      <c r="C10" s="25" t="s">
        <v>2252</v>
      </c>
      <c r="D10" s="25" t="s">
        <v>2253</v>
      </c>
      <c r="E10" s="25" t="s">
        <v>2263</v>
      </c>
      <c r="F10" s="25" t="s">
        <v>729</v>
      </c>
      <c r="G10" s="26">
        <v>203</v>
      </c>
      <c r="H10" s="27" t="str">
        <f>+[1]Hoja1!$M$4</f>
        <v>11629558</v>
      </c>
      <c r="I10" s="28">
        <v>0</v>
      </c>
      <c r="J10" s="28">
        <v>0</v>
      </c>
    </row>
    <row r="11" spans="1:10" ht="38.25">
      <c r="A11" s="25" t="s">
        <v>2264</v>
      </c>
      <c r="B11" s="25" t="s">
        <v>2265</v>
      </c>
      <c r="C11" s="25" t="s">
        <v>2252</v>
      </c>
      <c r="D11" s="25" t="s">
        <v>2253</v>
      </c>
      <c r="E11" s="25" t="s">
        <v>2266</v>
      </c>
      <c r="F11" s="25" t="s">
        <v>418</v>
      </c>
      <c r="G11" s="26">
        <v>203</v>
      </c>
      <c r="H11" s="27" t="str">
        <f>+[1]Hoja1!$M$5</f>
        <v>6738305</v>
      </c>
      <c r="I11" s="28">
        <v>0</v>
      </c>
      <c r="J11" s="28">
        <v>0</v>
      </c>
    </row>
    <row r="12" spans="1:10" ht="38.25">
      <c r="A12" s="25" t="s">
        <v>2267</v>
      </c>
      <c r="B12" s="25" t="s">
        <v>2268</v>
      </c>
      <c r="C12" s="25" t="s">
        <v>2252</v>
      </c>
      <c r="D12" s="25" t="s">
        <v>2253</v>
      </c>
      <c r="E12" s="25" t="s">
        <v>2269</v>
      </c>
      <c r="F12" s="25" t="s">
        <v>1825</v>
      </c>
      <c r="G12" s="26">
        <v>203</v>
      </c>
      <c r="H12" s="27" t="str">
        <f>+[1]Hoja1!$M$6</f>
        <v>1321366</v>
      </c>
      <c r="I12" s="28">
        <v>0</v>
      </c>
      <c r="J12" s="28">
        <v>0</v>
      </c>
    </row>
    <row r="13" spans="1:10" ht="25.5">
      <c r="A13" s="25" t="s">
        <v>2270</v>
      </c>
      <c r="B13" s="25" t="s">
        <v>2271</v>
      </c>
      <c r="C13" s="25" t="s">
        <v>2252</v>
      </c>
      <c r="D13" s="25" t="s">
        <v>2253</v>
      </c>
      <c r="E13" s="25" t="s">
        <v>2272</v>
      </c>
      <c r="F13" s="25" t="s">
        <v>418</v>
      </c>
      <c r="G13" s="26">
        <v>203</v>
      </c>
      <c r="H13" s="27" t="str">
        <f>+[1]Hoja1!$M$7</f>
        <v>6221150</v>
      </c>
      <c r="I13" s="28">
        <v>0</v>
      </c>
      <c r="J13" s="28">
        <v>0</v>
      </c>
    </row>
    <row r="14" spans="1:10" ht="25.5">
      <c r="A14" s="25" t="s">
        <v>2273</v>
      </c>
      <c r="B14" s="25" t="s">
        <v>2274</v>
      </c>
      <c r="C14" s="25" t="s">
        <v>2252</v>
      </c>
      <c r="D14" s="25" t="s">
        <v>2253</v>
      </c>
      <c r="E14" s="25" t="s">
        <v>2275</v>
      </c>
      <c r="F14" s="25" t="s">
        <v>418</v>
      </c>
      <c r="G14" s="26">
        <v>203</v>
      </c>
      <c r="H14" s="27" t="str">
        <f>+[1]Hoja1!$M$8</f>
        <v>724088</v>
      </c>
      <c r="I14" s="28">
        <v>0</v>
      </c>
      <c r="J14" s="28">
        <v>0</v>
      </c>
    </row>
    <row r="15" spans="1:10" ht="25.5">
      <c r="A15" s="25" t="s">
        <v>2276</v>
      </c>
      <c r="B15" s="25" t="s">
        <v>2277</v>
      </c>
      <c r="C15" s="25" t="s">
        <v>2252</v>
      </c>
      <c r="D15" s="25" t="s">
        <v>2253</v>
      </c>
      <c r="E15" s="25" t="s">
        <v>2278</v>
      </c>
      <c r="F15" s="25" t="s">
        <v>418</v>
      </c>
      <c r="G15" s="26">
        <v>203</v>
      </c>
      <c r="H15" s="27" t="str">
        <f>+[1]Hoja1!$M$9</f>
        <v>10536049</v>
      </c>
      <c r="I15" s="28">
        <v>0</v>
      </c>
      <c r="J15" s="28">
        <v>0</v>
      </c>
    </row>
    <row r="16" spans="1:10" ht="25.5">
      <c r="A16" s="25" t="s">
        <v>2279</v>
      </c>
      <c r="B16" s="25" t="s">
        <v>2280</v>
      </c>
      <c r="C16" s="25" t="s">
        <v>2252</v>
      </c>
      <c r="D16" s="25" t="s">
        <v>2253</v>
      </c>
      <c r="E16" s="25" t="s">
        <v>2281</v>
      </c>
      <c r="F16" s="25" t="s">
        <v>729</v>
      </c>
      <c r="G16" s="26">
        <v>203</v>
      </c>
      <c r="H16" s="27" t="str">
        <f>+[1]Hoja1!$M$10</f>
        <v>2642400</v>
      </c>
      <c r="I16" s="28">
        <v>0</v>
      </c>
      <c r="J16" s="28">
        <v>0</v>
      </c>
    </row>
    <row r="17" spans="1:10">
      <c r="A17" s="25" t="s">
        <v>2282</v>
      </c>
      <c r="B17" s="25" t="s">
        <v>2283</v>
      </c>
      <c r="C17" s="25" t="s">
        <v>2252</v>
      </c>
      <c r="D17" s="25" t="s">
        <v>2253</v>
      </c>
      <c r="E17" s="25" t="s">
        <v>2284</v>
      </c>
      <c r="F17" s="25" t="s">
        <v>418</v>
      </c>
      <c r="G17" s="26">
        <v>203</v>
      </c>
      <c r="H17" s="27" t="str">
        <f>+[1]Hoja1!$M$11</f>
        <v>2498303</v>
      </c>
      <c r="I17" s="28">
        <v>0</v>
      </c>
      <c r="J17" s="28">
        <v>0</v>
      </c>
    </row>
    <row r="18" spans="1:10" ht="25.5">
      <c r="A18" s="25" t="s">
        <v>2285</v>
      </c>
      <c r="B18" s="25" t="s">
        <v>2286</v>
      </c>
      <c r="C18" s="25" t="s">
        <v>2252</v>
      </c>
      <c r="D18" s="25" t="s">
        <v>2253</v>
      </c>
      <c r="E18" s="25" t="s">
        <v>2287</v>
      </c>
      <c r="F18" s="25" t="s">
        <v>418</v>
      </c>
      <c r="G18" s="26">
        <v>203</v>
      </c>
      <c r="H18" s="27" t="str">
        <f>+[1]Hoja1!$M$12</f>
        <v>2272829225</v>
      </c>
      <c r="I18" s="28">
        <v>0</v>
      </c>
      <c r="J18" s="28">
        <v>0</v>
      </c>
    </row>
    <row r="19" spans="1:10" ht="25.5">
      <c r="A19" s="25" t="s">
        <v>2288</v>
      </c>
      <c r="B19" s="25" t="s">
        <v>2289</v>
      </c>
      <c r="C19" s="25" t="s">
        <v>2252</v>
      </c>
      <c r="D19" s="25" t="s">
        <v>2253</v>
      </c>
      <c r="E19" s="25" t="s">
        <v>2290</v>
      </c>
      <c r="F19" s="25" t="s">
        <v>418</v>
      </c>
      <c r="G19" s="26">
        <v>203</v>
      </c>
      <c r="H19" s="27" t="str">
        <f>+[1]Hoja1!$M$13</f>
        <v>8556207</v>
      </c>
      <c r="I19" s="28">
        <v>0</v>
      </c>
      <c r="J19" s="28">
        <v>0</v>
      </c>
    </row>
    <row r="20" spans="1:10" ht="38.25">
      <c r="A20" s="25" t="s">
        <v>2291</v>
      </c>
      <c r="B20" s="25" t="s">
        <v>2292</v>
      </c>
      <c r="C20" s="25" t="s">
        <v>2252</v>
      </c>
      <c r="D20" s="25" t="s">
        <v>2253</v>
      </c>
      <c r="E20" s="25" t="s">
        <v>2293</v>
      </c>
      <c r="F20" s="25" t="s">
        <v>418</v>
      </c>
      <c r="G20" s="26">
        <v>203</v>
      </c>
      <c r="H20" s="27" t="str">
        <f>+[1]Hoja1!$M$14</f>
        <v>1938200</v>
      </c>
      <c r="I20" s="28">
        <v>0</v>
      </c>
      <c r="J20" s="28">
        <v>0</v>
      </c>
    </row>
    <row r="21" spans="1:10" ht="15.75" customHeight="1">
      <c r="A21" s="25" t="s">
        <v>2294</v>
      </c>
      <c r="B21" s="25" t="s">
        <v>2295</v>
      </c>
      <c r="C21" s="25" t="s">
        <v>2252</v>
      </c>
      <c r="D21" s="25" t="s">
        <v>2253</v>
      </c>
      <c r="E21" s="25" t="s">
        <v>2296</v>
      </c>
      <c r="F21" s="25" t="s">
        <v>418</v>
      </c>
      <c r="G21" s="26">
        <v>203</v>
      </c>
      <c r="H21" s="27" t="str">
        <f>+[1]Hoja1!$M$15</f>
        <v>143700</v>
      </c>
      <c r="I21" s="28">
        <v>0</v>
      </c>
      <c r="J21" s="28">
        <v>0</v>
      </c>
    </row>
    <row r="22" spans="1:10" ht="15.75" customHeight="1">
      <c r="A22" s="25" t="s">
        <v>2297</v>
      </c>
      <c r="B22" s="25" t="s">
        <v>2298</v>
      </c>
      <c r="C22" s="25" t="s">
        <v>2252</v>
      </c>
      <c r="D22" s="25" t="s">
        <v>2253</v>
      </c>
      <c r="E22" s="25" t="s">
        <v>2299</v>
      </c>
      <c r="F22" s="25" t="s">
        <v>729</v>
      </c>
      <c r="G22" s="26">
        <v>203</v>
      </c>
      <c r="H22" s="27" t="str">
        <f>+[1]Hoja1!$M$16</f>
        <v>4398000</v>
      </c>
      <c r="I22" s="28">
        <v>0</v>
      </c>
      <c r="J22" s="28">
        <v>0</v>
      </c>
    </row>
    <row r="23" spans="1:10" ht="15.75" customHeight="1">
      <c r="A23" s="25" t="s">
        <v>2300</v>
      </c>
      <c r="B23" s="25" t="s">
        <v>2301</v>
      </c>
      <c r="C23" s="25" t="s">
        <v>2252</v>
      </c>
      <c r="D23" s="25" t="s">
        <v>2253</v>
      </c>
      <c r="E23" s="25" t="s">
        <v>2302</v>
      </c>
      <c r="F23" s="25" t="s">
        <v>418</v>
      </c>
      <c r="G23" s="26">
        <v>203</v>
      </c>
      <c r="H23" s="27" t="str">
        <f>+[1]Hoja1!$M$17</f>
        <v>9469275</v>
      </c>
      <c r="I23" s="28">
        <v>0</v>
      </c>
      <c r="J23" s="28">
        <v>0</v>
      </c>
    </row>
    <row r="24" spans="1:10" ht="15.75" customHeight="1">
      <c r="A24" s="25" t="s">
        <v>2303</v>
      </c>
      <c r="B24" s="25" t="s">
        <v>2304</v>
      </c>
      <c r="C24" s="25" t="s">
        <v>2252</v>
      </c>
      <c r="D24" s="25" t="s">
        <v>2253</v>
      </c>
      <c r="E24" s="25" t="s">
        <v>2305</v>
      </c>
      <c r="F24" s="25" t="s">
        <v>729</v>
      </c>
      <c r="G24" s="26">
        <v>203</v>
      </c>
      <c r="H24" s="27" t="str">
        <f>+[1]Hoja1!$M$18</f>
        <v>83193</v>
      </c>
      <c r="I24" s="28">
        <v>0</v>
      </c>
      <c r="J24" s="28">
        <v>0</v>
      </c>
    </row>
    <row r="25" spans="1:10" ht="15.75" customHeight="1">
      <c r="A25" s="25" t="s">
        <v>2306</v>
      </c>
      <c r="B25" s="25" t="s">
        <v>2307</v>
      </c>
      <c r="C25" s="25" t="s">
        <v>2252</v>
      </c>
      <c r="D25" s="25" t="s">
        <v>2253</v>
      </c>
      <c r="E25" s="25" t="s">
        <v>2308</v>
      </c>
      <c r="F25" s="25" t="s">
        <v>418</v>
      </c>
      <c r="G25" s="26">
        <v>203</v>
      </c>
      <c r="H25" s="27" t="str">
        <f>+[1]Hoja1!$M$19</f>
        <v>527600</v>
      </c>
      <c r="I25" s="28">
        <v>0</v>
      </c>
      <c r="J25" s="28">
        <v>0</v>
      </c>
    </row>
    <row r="26" spans="1:10" ht="15.75" customHeight="1">
      <c r="A26" s="25" t="s">
        <v>2309</v>
      </c>
      <c r="B26" s="25" t="s">
        <v>2310</v>
      </c>
      <c r="C26" s="25" t="s">
        <v>2252</v>
      </c>
      <c r="D26" s="25" t="s">
        <v>2253</v>
      </c>
      <c r="E26" s="25" t="s">
        <v>2311</v>
      </c>
      <c r="F26" s="25" t="s">
        <v>418</v>
      </c>
      <c r="G26" s="26">
        <v>203</v>
      </c>
      <c r="H26" s="27" t="str">
        <f>+[1]Hoja1!$M$20</f>
        <v>3482897</v>
      </c>
      <c r="I26" s="28">
        <v>0</v>
      </c>
      <c r="J26" s="28">
        <v>0</v>
      </c>
    </row>
    <row r="27" spans="1:10" ht="15.75" customHeight="1">
      <c r="A27" s="25" t="s">
        <v>2312</v>
      </c>
      <c r="B27" s="25" t="s">
        <v>2313</v>
      </c>
      <c r="C27" s="25" t="s">
        <v>2252</v>
      </c>
      <c r="D27" s="25" t="s">
        <v>2253</v>
      </c>
      <c r="E27" s="25" t="s">
        <v>2314</v>
      </c>
      <c r="F27" s="25" t="s">
        <v>729</v>
      </c>
      <c r="G27" s="26">
        <v>203</v>
      </c>
      <c r="H27" s="27" t="str">
        <f>+[1]Hoja1!$M$21</f>
        <v>4400608</v>
      </c>
      <c r="I27" s="28">
        <v>0</v>
      </c>
      <c r="J27" s="28">
        <v>0</v>
      </c>
    </row>
    <row r="28" spans="1:10" ht="15.75" customHeight="1">
      <c r="A28" s="25" t="s">
        <v>2315</v>
      </c>
      <c r="B28" s="25" t="s">
        <v>2316</v>
      </c>
      <c r="C28" s="25" t="s">
        <v>2252</v>
      </c>
      <c r="D28" s="25" t="s">
        <v>2253</v>
      </c>
      <c r="E28" s="25" t="s">
        <v>2317</v>
      </c>
      <c r="F28" s="25" t="s">
        <v>418</v>
      </c>
      <c r="G28" s="26">
        <v>203</v>
      </c>
      <c r="H28" s="27" t="str">
        <f>+[1]Hoja1!$M$22</f>
        <v>9976457</v>
      </c>
      <c r="I28" s="28">
        <v>0</v>
      </c>
      <c r="J28" s="28">
        <v>0</v>
      </c>
    </row>
    <row r="29" spans="1:10" ht="15.75" customHeight="1">
      <c r="A29" s="25" t="s">
        <v>2318</v>
      </c>
      <c r="B29" s="25" t="s">
        <v>2319</v>
      </c>
      <c r="C29" s="25" t="s">
        <v>2252</v>
      </c>
      <c r="D29" s="25" t="s">
        <v>2253</v>
      </c>
      <c r="E29" s="25" t="s">
        <v>2320</v>
      </c>
      <c r="F29" s="25" t="s">
        <v>418</v>
      </c>
      <c r="G29" s="26">
        <v>203</v>
      </c>
      <c r="H29" s="27" t="str">
        <f>+[1]Hoja1!$M$23</f>
        <v>15882559</v>
      </c>
      <c r="I29" s="28">
        <v>0</v>
      </c>
      <c r="J29" s="28">
        <v>0</v>
      </c>
    </row>
    <row r="30" spans="1:10" ht="15.75" customHeight="1">
      <c r="A30" s="25" t="s">
        <v>2321</v>
      </c>
      <c r="B30" s="25" t="s">
        <v>2322</v>
      </c>
      <c r="C30" s="25" t="s">
        <v>2252</v>
      </c>
      <c r="D30" s="25" t="s">
        <v>2253</v>
      </c>
      <c r="E30" s="25" t="s">
        <v>2323</v>
      </c>
      <c r="F30" s="25" t="s">
        <v>534</v>
      </c>
      <c r="G30" s="26">
        <v>203</v>
      </c>
      <c r="H30" s="27" t="str">
        <f>+[1]Hoja1!$M$24</f>
        <v>6729000</v>
      </c>
      <c r="I30" s="28">
        <v>0</v>
      </c>
      <c r="J30" s="28">
        <v>0</v>
      </c>
    </row>
    <row r="31" spans="1:10" ht="15.75" customHeight="1">
      <c r="A31" s="25" t="s">
        <v>2324</v>
      </c>
      <c r="B31" s="25" t="s">
        <v>2325</v>
      </c>
      <c r="C31" s="25" t="s">
        <v>2252</v>
      </c>
      <c r="D31" s="25" t="s">
        <v>2253</v>
      </c>
      <c r="E31" s="25" t="s">
        <v>2326</v>
      </c>
      <c r="F31" s="25" t="s">
        <v>418</v>
      </c>
      <c r="G31" s="26">
        <v>203</v>
      </c>
      <c r="H31" s="27" t="str">
        <f>+[1]Hoja1!$M$25</f>
        <v>1468818</v>
      </c>
      <c r="I31" s="28">
        <v>0</v>
      </c>
      <c r="J31" s="28">
        <v>0</v>
      </c>
    </row>
    <row r="32" spans="1:10" ht="15.75" customHeight="1">
      <c r="A32" s="25" t="s">
        <v>2327</v>
      </c>
      <c r="B32" s="25" t="s">
        <v>2328</v>
      </c>
      <c r="C32" s="25" t="s">
        <v>2252</v>
      </c>
      <c r="D32" s="25" t="s">
        <v>2253</v>
      </c>
      <c r="E32" s="25" t="s">
        <v>2329</v>
      </c>
      <c r="F32" s="25" t="s">
        <v>418</v>
      </c>
      <c r="G32" s="26">
        <v>203</v>
      </c>
      <c r="H32" s="27" t="str">
        <f>+[1]Hoja1!$M$26</f>
        <v>579421</v>
      </c>
      <c r="I32" s="28">
        <v>0</v>
      </c>
      <c r="J32" s="28">
        <v>0</v>
      </c>
    </row>
    <row r="33" spans="1:10" ht="15.75" customHeight="1">
      <c r="A33" s="25" t="s">
        <v>2330</v>
      </c>
      <c r="B33" s="25" t="s">
        <v>2331</v>
      </c>
      <c r="C33" s="25" t="s">
        <v>2252</v>
      </c>
      <c r="D33" s="25" t="s">
        <v>2253</v>
      </c>
      <c r="E33" s="25" t="s">
        <v>2332</v>
      </c>
      <c r="F33" s="25" t="s">
        <v>418</v>
      </c>
      <c r="G33" s="26">
        <v>203</v>
      </c>
      <c r="H33" s="27" t="str">
        <f>+[1]Hoja1!$M$27</f>
        <v>3229370</v>
      </c>
      <c r="I33" s="28">
        <v>0</v>
      </c>
      <c r="J33" s="28">
        <v>0</v>
      </c>
    </row>
    <row r="34" spans="1:10" ht="15.75" customHeight="1">
      <c r="A34" s="25" t="s">
        <v>2333</v>
      </c>
      <c r="B34" s="25" t="s">
        <v>2334</v>
      </c>
      <c r="C34" s="25" t="s">
        <v>2252</v>
      </c>
      <c r="D34" s="25" t="s">
        <v>2253</v>
      </c>
      <c r="E34" s="25" t="s">
        <v>2335</v>
      </c>
      <c r="F34" s="25" t="s">
        <v>418</v>
      </c>
      <c r="G34" s="26">
        <v>203</v>
      </c>
      <c r="H34" s="27" t="str">
        <f>+[1]Hoja1!$M$28</f>
        <v>1085383</v>
      </c>
      <c r="I34" s="28">
        <v>0</v>
      </c>
      <c r="J34" s="28">
        <v>0</v>
      </c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DOS</cp:lastModifiedBy>
  <cp:lastPrinted>2026-03-30T17:32:14Z</cp:lastPrinted>
  <dcterms:created xsi:type="dcterms:W3CDTF">2015-06-05T18:19:34Z</dcterms:created>
  <dcterms:modified xsi:type="dcterms:W3CDTF">2026-06-25T22:05:52Z</dcterms:modified>
</cp:coreProperties>
</file>