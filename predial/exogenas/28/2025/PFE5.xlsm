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SER\Documents\"/>
    </mc:Choice>
  </mc:AlternateContent>
  <xr:revisionPtr revIDLastSave="0" documentId="8_{5F2C20D5-52B0-47E1-AADF-34D40AA239D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externalReferences>
    <externalReference r:id="rId4"/>
  </externalReferences>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D10" i="1" l="1"/>
  <c r="E8" i="1"/>
  <c r="E9" i="1"/>
  <c r="E10" i="1"/>
  <c r="E11" i="1"/>
  <c r="E12" i="1"/>
  <c r="E13" i="1"/>
  <c r="E14" i="1"/>
  <c r="E15" i="1"/>
  <c r="E16" i="1"/>
  <c r="E17" i="1"/>
  <c r="E18" i="1"/>
  <c r="E19" i="1"/>
  <c r="E20" i="1"/>
  <c r="E21" i="1"/>
  <c r="E22" i="1"/>
  <c r="E23" i="1"/>
  <c r="E24" i="1"/>
  <c r="E26" i="1"/>
  <c r="E27" i="1"/>
  <c r="E29" i="1"/>
  <c r="E30" i="1"/>
  <c r="E31" i="1"/>
  <c r="E32" i="1"/>
  <c r="E33" i="1"/>
  <c r="E34" i="1"/>
  <c r="E35" i="1"/>
  <c r="E36" i="1"/>
  <c r="E37" i="1"/>
  <c r="E38" i="1"/>
  <c r="E40" i="1"/>
  <c r="E41" i="1"/>
  <c r="E42" i="1"/>
  <c r="E43" i="1"/>
  <c r="E44" i="1"/>
  <c r="E45" i="1"/>
  <c r="E46" i="1"/>
  <c r="E47" i="1"/>
  <c r="E48" i="1"/>
  <c r="E49" i="1"/>
  <c r="E50" i="1"/>
  <c r="E7" i="1"/>
  <c r="D8" i="1"/>
  <c r="D11" i="1"/>
  <c r="D14" i="1"/>
  <c r="D16" i="1"/>
  <c r="D18" i="1"/>
  <c r="D19" i="1"/>
  <c r="D20" i="1"/>
  <c r="D21" i="1"/>
  <c r="D22" i="1"/>
  <c r="D24" i="1"/>
  <c r="D26" i="1"/>
  <c r="D27" i="1"/>
  <c r="D31" i="1"/>
  <c r="D32" i="1"/>
  <c r="D33" i="1"/>
  <c r="D34" i="1"/>
  <c r="D46" i="1"/>
  <c r="D47" i="1"/>
  <c r="D48" i="1"/>
  <c r="C9" i="1"/>
  <c r="C10" i="1"/>
  <c r="C11" i="1"/>
  <c r="C12" i="1"/>
  <c r="C13" i="1"/>
  <c r="C14" i="1"/>
  <c r="C15" i="1"/>
  <c r="C16" i="1"/>
  <c r="C17" i="1"/>
  <c r="C18" i="1"/>
  <c r="C19" i="1"/>
  <c r="C20" i="1"/>
  <c r="C21" i="1"/>
  <c r="C22" i="1"/>
  <c r="C23" i="1"/>
  <c r="C24" i="1"/>
  <c r="C26" i="1"/>
  <c r="C27" i="1"/>
  <c r="C28" i="1"/>
  <c r="C29" i="1"/>
  <c r="C30" i="1"/>
  <c r="C31" i="1"/>
  <c r="C32" i="1"/>
  <c r="C33" i="1"/>
  <c r="C34" i="1"/>
  <c r="C35" i="1"/>
  <c r="C36" i="1"/>
  <c r="C37" i="1"/>
  <c r="C38" i="1"/>
  <c r="C39" i="1"/>
  <c r="C40" i="1"/>
  <c r="C41" i="1"/>
  <c r="C42" i="1"/>
  <c r="C43" i="1"/>
  <c r="C44" i="1"/>
  <c r="C45" i="1"/>
  <c r="C46" i="1"/>
  <c r="C47" i="1"/>
  <c r="C48" i="1"/>
  <c r="C49" i="1"/>
  <c r="C50"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<sst xmlns="http://schemas.openxmlformats.org/spreadsheetml/2006/main" count="2421" uniqueCount="2299">
  <si>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</si>
  <si>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</si>
  <si>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</si>
  <si>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</si>
  <si>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</si>
  <si>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</si>
  <si>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</si>
  <si>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</si>
  <si>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</si>
  <si>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</si>
  <si>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</si>
  <si>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</si>
  <si>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</si>
  <si>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</si>
  <si>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</si>
  <si>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</si>
  <si>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</si>
  <si>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</si>
  <si>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</si>
  <si>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</si>
  <si>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</si>
  <si>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</si>
  <si>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</si>
  <si>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</si>
  <si>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</si>
  <si>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</si>
  <si>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</si>
  <si>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</si>
  <si>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</si>
  <si>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</si>
  <si>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</si>
  <si>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</si>
  <si>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</si>
  <si>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</si>
  <si>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</si>
  <si>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</si>
  <si>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</si>
  <si>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</si>
  <si>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</si>
  <si>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</si>
  <si>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</si>
  <si>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</si>
  <si>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</si>
  <si>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</si>
  <si>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</si>
  <si>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</si>
  <si>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</si>
  <si>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</si>
  <si>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</si>
  <si>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</si>
  <si>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</si>
  <si>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</si>
  <si>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</si>
  <si>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</si>
  <si>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</si>
  <si>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</si>
  <si>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</si>
  <si>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</si>
  <si>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</si>
  <si>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</si>
  <si>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</si>
  <si>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</si>
  <si>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</si>
  <si>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</si>
  <si>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</si>
  <si>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</si>
  <si>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</si>
  <si>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</si>
  <si>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</si>
  <si>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</si>
  <si>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</si>
  <si>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</si>
  <si>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</si>
  <si>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</si>
  <si>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</si>
  <si>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</si>
  <si>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</si>
  <si>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</si>
  <si>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</si>
  <si>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</si>
  <si>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</si>
  <si>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</si>
  <si>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</si>
  <si>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</si>
  <si>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</si>
  <si>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</si>
  <si>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</si>
  <si>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</si>
  <si>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</si>
  <si>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</si>
  <si>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</si>
  <si>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</si>
  <si>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</si>
  <si>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</si>
  <si>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</si>
  <si>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</si>
  <si>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</si>
  <si>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</si>
  <si>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</si>
  <si>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</si>
  <si>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</si>
  <si>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</si>
  <si>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</si>
  <si>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</si>
  <si>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</si>
  <si>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</si>
  <si>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</si>
  <si>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</si>
  <si>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</si>
  <si>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</si>
  <si>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</si>
  <si>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</si>
  <si>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</si>
  <si>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</si>
  <si>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</si>
  <si>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</si>
  <si>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</si>
  <si>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</si>
  <si>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</si>
  <si>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</si>
  <si>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</si>
  <si>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</si>
  <si>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</si>
  <si>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</si>
  <si>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</si>
  <si>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</si>
  <si>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</si>
  <si>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</si>
  <si>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</si>
  <si>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</si>
  <si>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</si>
  <si>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</si>
  <si>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</si>
  <si>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</si>
  <si>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</si>
  <si>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</si>
  <si>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</si>
  <si>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</si>
  <si>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</si>
  <si>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</si>
  <si>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</si>
  <si>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</si>
  <si>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</si>
  <si>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</si>
  <si>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</si>
  <si>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</si>
  <si>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</si>
  <si>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</si>
  <si>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</si>
  <si>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</si>
  <si>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</si>
  <si>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</si>
  <si>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</si>
  <si>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</si>
  <si>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</si>
  <si>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</si>
  <si>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</si>
  <si>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</si>
  <si>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</si>
  <si>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</si>
  <si>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</si>
  <si>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</si>
  <si>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</si>
  <si>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</si>
  <si>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</si>
  <si>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</si>
  <si>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</si>
  <si>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</si>
  <si>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</si>
  <si>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</si>
  <si>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</si>
  <si>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</si>
  <si>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</si>
  <si>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</si>
  <si>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</si>
  <si>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</si>
  <si>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</si>
  <si>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</si>
  <si>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</si>
  <si>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</si>
  <si>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</si>
  <si>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</si>
  <si>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</si>
  <si>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</si>
  <si>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</si>
  <si>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</si>
  <si>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</si>
  <si>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</si>
  <si>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</si>
  <si>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</si>
  <si>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</si>
  <si>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</si>
  <si>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</si>
  <si>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</si>
  <si>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</si>
  <si>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</si>
  <si>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</si>
  <si>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</si>
  <si>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</si>
  <si>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</si>
  <si>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</si>
  <si>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</si>
  <si>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</si>
  <si>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</si>
  <si>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</si>
  <si>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</si>
  <si>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</si>
  <si>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</si>
  <si>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</si>
  <si>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</si>
  <si>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</si>
  <si>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</si>
  <si>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</si>
  <si>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</si>
  <si>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</si>
  <si>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</si>
  <si>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</si>
  <si>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</si>
  <si>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</si>
  <si>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</si>
  <si>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</si>
  <si>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</si>
  <si>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</si>
  <si>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</si>
  <si>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</si>
  <si>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</si>
  <si>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</si>
  <si>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</si>
  <si>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</si>
  <si>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</si>
  <si>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</si>
  <si>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</si>
  <si>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</si>
  <si>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</si>
  <si>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</si>
  <si>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</si>
  <si>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</si>
  <si>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</si>
  <si>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</si>
  <si>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</si>
  <si>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</si>
  <si>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</si>
  <si>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</si>
  <si>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</si>
  <si>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</si>
  <si>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</si>
  <si>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</si>
  <si>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</si>
  <si>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</si>
  <si>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</si>
  <si>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</si>
  <si>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</si>
  <si>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</si>
  <si>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</si>
  <si>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</si>
  <si>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</si>
  <si>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</si>
  <si>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</si>
  <si>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</si>
  <si>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</si>
  <si>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</si>
  <si>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</si>
  <si>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</si>
  <si>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</si>
  <si>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</si>
  <si>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</si>
  <si>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</si>
  <si>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</si>
  <si>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</si>
  <si>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</si>
  <si>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</si>
  <si>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</si>
  <si>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</si>
  <si>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</si>
  <si>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</si>
  <si>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</si>
  <si>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</si>
  <si>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</si>
  <si>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</si>
  <si>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</si>
  <si>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</si>
  <si>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</si>
  <si>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</si>
  <si>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</si>
  <si>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</si>
  <si>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</si>
  <si>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</si>
  <si>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</si>
  <si>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</si>
  <si>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</si>
  <si>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</si>
  <si>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</si>
  <si>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</si>
  <si>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</si>
  <si>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</si>
  <si>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</si>
  <si>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</si>
  <si>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</si>
  <si>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</si>
  <si>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</si>
  <si>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</si>
  <si>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</si>
  <si>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</si>
  <si>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</si>
  <si>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</si>
  <si>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</si>
  <si>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</si>
  <si>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</si>
  <si>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</si>
  <si>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</si>
  <si>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</si>
  <si>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</si>
  <si>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</si>
  <si>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</si>
  <si>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</si>
  <si>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</si>
  <si>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</si>
  <si>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</si>
  <si>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</si>
  <si>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</si>
  <si>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</si>
  <si>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</si>
  <si>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</si>
  <si>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</si>
  <si>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</si>
  <si>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</si>
  <si>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</si>
  <si>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</si>
  <si>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</si>
  <si>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</si>
  <si>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</si>
  <si>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</si>
  <si>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</si>
  <si>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</si>
  <si>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</si>
  <si>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</si>
  <si>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</si>
  <si>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</si>
  <si>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</si>
  <si>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</si>
  <si>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</si>
  <si>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</si>
  <si>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</si>
  <si>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</si>
  <si>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</si>
  <si>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</si>
  <si>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</si>
  <si>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</si>
  <si>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</si>
  <si>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</si>
  <si>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</si>
  <si>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</si>
  <si>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</si>
  <si>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</si>
  <si>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</si>
  <si>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</si>
  <si>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</si>
  <si>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</si>
  <si>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</si>
  <si>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</si>
  <si>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</si>
  <si>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</si>
  <si>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</si>
  <si>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</si>
  <si>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</si>
  <si>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</si>
  <si>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</si>
  <si>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</si>
  <si>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</si>
  <si>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</si>
  <si>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</si>
  <si>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</si>
  <si>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</si>
  <si>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</si>
  <si>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</si>
  <si>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</si>
  <si>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</si>
  <si>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</si>
  <si>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</si>
  <si>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</si>
  <si>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</si>
  <si>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</si>
  <si>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</si>
  <si>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</si>
  <si>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</si>
  <si>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</si>
  <si>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</si>
  <si>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</si>
  <si>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</si>
  <si>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</si>
  <si>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</si>
  <si>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</si>
  <si>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</si>
  <si>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</si>
  <si>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</si>
  <si>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</si>
  <si>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</si>
  <si>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</si>
  <si>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</si>
  <si>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</si>
  <si>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</si>
  <si>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</si>
  <si>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</si>
  <si>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</si>
  <si>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</si>
  <si>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</si>
  <si>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</si>
  <si>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</si>
  <si>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</si>
  <si>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</si>
  <si>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</si>
  <si>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</si>
  <si>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</si>
  <si>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</si>
  <si>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</si>
  <si>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</si>
  <si>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</si>
  <si>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</si>
  <si>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</si>
  <si>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</si>
  <si>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</si>
  <si>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</si>
  <si>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</si>
  <si>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</si>
  <si>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</si>
  <si>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</si>
  <si>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</si>
  <si>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</si>
  <si>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</si>
  <si>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</si>
  <si>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</si>
  <si>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</si>
  <si>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</si>
  <si>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</si>
  <si>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</si>
  <si>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</si>
  <si>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</si>
  <si>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</si>
  <si>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</si>
  <si>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</si>
  <si>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</si>
  <si>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</si>
  <si>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</si>
  <si>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</si>
  <si>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</si>
  <si>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</si>
  <si>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</si>
  <si>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</si>
  <si>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</si>
  <si>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</si>
  <si>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</si>
  <si>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</si>
  <si>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</si>
  <si>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</si>
  <si>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</si>
  <si>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</si>
  <si>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</si>
  <si>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</si>
  <si>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</si>
  <si>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</si>
  <si>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</si>
  <si>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</si>
  <si>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</si>
  <si>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</si>
  <si>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</si>
  <si>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</si>
  <si>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</si>
  <si>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</si>
  <si>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</si>
  <si>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</si>
  <si>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</si>
  <si>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</si>
  <si>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</si>
  <si>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</si>
  <si>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</si>
  <si>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</si>
  <si>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</si>
  <si>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</si>
  <si>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</si>
  <si>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</si>
  <si>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</si>
  <si>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</si>
  <si>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</si>
  <si>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</si>
  <si>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</si>
  <si>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</si>
  <si>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</si>
  <si>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</si>
  <si>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</si>
  <si>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</si>
  <si>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</si>
  <si>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</si>
  <si>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</si>
  <si>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</si>
  <si>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</si>
  <si>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</si>
  <si>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</si>
  <si>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</si>
  <si>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</si>
  <si>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</si>
  <si>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</si>
  <si>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</si>
  <si>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</si>
  <si>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</si>
  <si>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</si>
  <si>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</si>
  <si>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</si>
  <si>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</si>
  <si>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</si>
  <si>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</si>
  <si>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</si>
  <si>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</si>
  <si>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</si>
  <si>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</si>
  <si>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</si>
  <si>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</si>
  <si>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</si>
  <si>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</si>
  <si>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</si>
  <si>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</si>
  <si>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</si>
  <si>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</si>
  <si>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</si>
  <si>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</si>
  <si>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</si>
  <si>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</si>
  <si>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</si>
  <si>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</si>
  <si>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</si>
  <si>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</si>
  <si>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</si>
  <si>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</si>
  <si>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</si>
  <si>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</si>
  <si>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</si>
  <si>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</si>
  <si>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</si>
  <si>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</si>
  <si>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</si>
  <si>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</si>
  <si>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</si>
  <si>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</si>
  <si>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</si>
  <si>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</si>
  <si>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</si>
  <si>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</si>
  <si>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</si>
  <si>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</si>
  <si>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</si>
  <si>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</si>
  <si>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</si>
  <si>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</si>
  <si>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</si>
  <si>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</si>
  <si>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</si>
  <si>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</si>
  <si>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</si>
  <si>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</si>
  <si>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</si>
  <si>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</si>
  <si>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</si>
  <si>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</si>
  <si>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</si>
  <si>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</si>
  <si>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</si>
  <si>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</si>
  <si>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</si>
  <si>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</si>
  <si>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</si>
  <si>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</si>
  <si>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</si>
  <si>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</si>
  <si>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</si>
  <si>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</si>
  <si>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</si>
  <si>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</si>
  <si>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</si>
  <si>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</si>
  <si>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</si>
  <si>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</si>
  <si>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</si>
  <si>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</si>
  <si>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</si>
  <si>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</si>
  <si>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</si>
  <si>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</si>
  <si>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</si>
  <si>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</si>
  <si>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</si>
  <si>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</si>
  <si>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</si>
  <si>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</si>
  <si>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</si>
  <si>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</si>
  <si>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</si>
  <si>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</si>
  <si>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</si>
  <si>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</si>
  <si>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</si>
  <si>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</si>
  <si>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</si>
  <si>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</si>
  <si>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</si>
  <si>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</si>
  <si>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</si>
  <si>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</si>
  <si>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</si>
  <si>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</si>
  <si>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</si>
  <si>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</si>
  <si>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</si>
  <si>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</si>
  <si>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</si>
  <si>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</si>
  <si>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</si>
  <si>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</si>
  <si>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</si>
  <si>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</si>
  <si>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</si>
  <si>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</si>
  <si>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</si>
  <si>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</si>
  <si>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</si>
  <si>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</si>
  <si>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</si>
  <si>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</si>
  <si>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</si>
  <si>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</si>
  <si>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</si>
  <si>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</si>
  <si>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</si>
  <si>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</si>
  <si>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</si>
  <si>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</si>
  <si>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</si>
  <si>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</si>
  <si>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</si>
  <si>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</si>
  <si>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</si>
  <si>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</si>
  <si>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</si>
  <si>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</si>
  <si>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</si>
  <si>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</si>
  <si>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</si>
  <si>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</si>
  <si>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</si>
  <si>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</si>
  <si>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</si>
  <si>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</si>
  <si>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</si>
  <si>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</si>
  <si>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</si>
  <si>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</si>
  <si>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</si>
  <si>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</si>
  <si>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</si>
  <si>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</si>
  <si>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</si>
  <si>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</si>
  <si>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</si>
  <si>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</si>
  <si>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</si>
  <si>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</si>
  <si>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</si>
  <si>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</si>
  <si>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</si>
  <si>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</si>
  <si>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</si>
  <si>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</si>
  <si>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</si>
  <si>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</si>
  <si>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</si>
  <si>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</si>
  <si>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</si>
  <si>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</si>
  <si>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</si>
  <si>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</si>
  <si>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</si>
  <si>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</si>
  <si>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</si>
  <si>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</si>
  <si>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</si>
  <si>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</si>
  <si>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</si>
  <si>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</si>
  <si>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</si>
  <si>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</si>
  <si>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</si>
  <si>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</si>
  <si>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</si>
  <si>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</si>
  <si>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</si>
  <si>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</si>
  <si>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</si>
  <si>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</si>
  <si>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</si>
  <si>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</si>
  <si>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</si>
  <si>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</si>
  <si>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</si>
  <si>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</si>
  <si>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</si>
  <si>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</si>
  <si>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</si>
  <si>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</si>
  <si>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</si>
  <si>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</si>
  <si>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</si>
  <si>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</si>
  <si>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</si>
  <si>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</si>
  <si>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</si>
  <si>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</si>
  <si>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</si>
  <si>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</si>
  <si>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</si>
  <si>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</si>
  <si>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</si>
  <si>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</si>
  <si>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</si>
  <si>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</si>
  <si>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</si>
  <si>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</si>
  <si>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</si>
  <si>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</si>
  <si>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</si>
  <si>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</si>
  <si>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</si>
  <si>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</si>
  <si>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</si>
  <si>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</si>
  <si>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</si>
  <si>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</si>
  <si>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</si>
  <si>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</si>
  <si>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</si>
  <si>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</si>
  <si>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</si>
  <si>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</si>
  <si>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</si>
  <si>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</si>
  <si>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</si>
  <si>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</si>
  <si>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</si>
  <si>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</si>
  <si>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</si>
  <si>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</si>
  <si>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</si>
  <si>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</si>
  <si>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</si>
  <si>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</si>
  <si>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</si>
  <si>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</si>
  <si>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</si>
  <si>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</si>
  <si>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</si>
  <si>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</si>
  <si>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</si>
  <si>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</si>
  <si>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</si>
  <si>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</si>
  <si>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</si>
  <si>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</si>
  <si>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</si>
  <si>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</si>
  <si>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</si>
  <si>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</si>
  <si>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</si>
  <si>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</si>
  <si>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</si>
  <si>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</si>
  <si>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</si>
  <si>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</si>
  <si>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</si>
  <si>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</si>
  <si>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</si>
  <si>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</si>
  <si>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</si>
  <si>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</si>
  <si>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</si>
  <si>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</si>
  <si>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</si>
  <si>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</si>
  <si>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</si>
  <si>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</si>
  <si>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</si>
  <si>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</si>
  <si>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</si>
  <si>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</si>
  <si>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</si>
  <si>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</si>
  <si>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</si>
  <si>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</si>
  <si>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</si>
  <si>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</si>
  <si>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</si>
  <si>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</si>
  <si>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</si>
  <si>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</si>
  <si>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</si>
  <si>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</si>
  <si>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</si>
  <si>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</si>
  <si>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</si>
  <si>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</si>
  <si>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</si>
  <si>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</si>
  <si>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</si>
  <si>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</si>
  <si>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</si>
  <si>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</si>
  <si>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</si>
  <si>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</si>
  <si>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</si>
  <si>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</si>
  <si>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</si>
  <si>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</si>
  <si>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</si>
  <si>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</si>
  <si>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</si>
  <si>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</si>
  <si>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</si>
  <si>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</si>
  <si>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</si>
  <si>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</si>
  <si>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</si>
  <si>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</si>
  <si>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</si>
  <si>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</si>
  <si>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</si>
  <si>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</si>
  <si>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</si>
  <si>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</si>
  <si>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</si>
  <si>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</si>
  <si>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</si>
  <si>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</si>
  <si>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</si>
  <si>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</si>
  <si>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</si>
  <si>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</si>
  <si>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</si>
  <si>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</si>
  <si>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</si>
  <si>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</si>
  <si>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</si>
  <si>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</si>
  <si>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</si>
  <si>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</si>
  <si>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</si>
  <si>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</si>
  <si>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</si>
  <si>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</si>
  <si>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</si>
  <si>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</si>
  <si>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</si>
  <si>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</si>
  <si>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</si>
  <si>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</si>
  <si>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</si>
  <si>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</si>
  <si>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</si>
  <si>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</si>
  <si>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</si>
  <si>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</si>
  <si>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</si>
  <si>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</si>
  <si>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</si>
  <si>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</si>
  <si>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</si>
  <si>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</si>
  <si>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</si>
  <si>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</si>
  <si>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</si>
  <si>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</si>
  <si>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</si>
  <si>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</si>
  <si>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</si>
  <si>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</si>
  <si>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</si>
  <si>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</si>
  <si>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</si>
  <si>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</si>
  <si>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</si>
  <si>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</si>
  <si>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</si>
  <si>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</si>
  <si>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</si>
  <si>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</si>
  <si>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</si>
  <si>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</si>
  <si>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</si>
  <si>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</si>
  <si>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</si>
  <si>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</si>
  <si>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</si>
  <si>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</si>
  <si>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</si>
  <si>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</si>
  <si>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</si>
  <si>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</si>
  <si>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</si>
  <si>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</si>
  <si>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</si>
  <si>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</si>
  <si>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</si>
  <si>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</si>
  <si>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</si>
  <si>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</si>
  <si>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</si>
  <si>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</si>
  <si>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</si>
  <si>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</si>
  <si>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</si>
  <si>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</si>
  <si>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</si>
  <si>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</si>
  <si>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</si>
  <si>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</si>
  <si>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</si>
  <si>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</si>
  <si>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</si>
  <si>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</si>
  <si>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</si>
  <si>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</si>
  <si>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</si>
  <si>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</si>
  <si>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</si>
  <si>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</si>
  <si>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</si>
  <si>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</si>
  <si>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</si>
  <si>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</si>
  <si>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</si>
  <si>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</si>
  <si>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</si>
  <si>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</si>
  <si>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</si>
  <si>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</si>
  <si>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</si>
  <si>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</si>
  <si>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</si>
  <si>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</si>
  <si>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</si>
  <si>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</si>
  <si>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</si>
  <si>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</si>
  <si>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</si>
  <si>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</si>
  <si>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</si>
  <si>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</si>
  <si>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</si>
  <si>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</si>
  <si>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</si>
  <si>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</si>
  <si>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</si>
  <si>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</si>
  <si>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</si>
  <si>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</si>
  <si>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</si>
  <si>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</si>
  <si>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</si>
  <si>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</si>
  <si>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</si>
  <si>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</si>
  <si>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</si>
  <si>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</si>
  <si>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</si>
  <si>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</si>
  <si>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</si>
  <si>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</si>
  <si>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</si>
  <si>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</si>
  <si>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</si>
  <si>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</si>
  <si>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</si>
  <si>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</si>
  <si>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</si>
  <si>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</si>
  <si>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</si>
  <si>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</si>
  <si>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</si>
  <si>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</si>
  <si>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</si>
  <si>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</si>
  <si>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</si>
  <si>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</si>
  <si>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</si>
  <si>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</si>
  <si>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</si>
  <si>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</si>
  <si>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</si>
  <si>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</si>
  <si>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</si>
  <si>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</si>
  <si>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</si>
  <si>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</si>
  <si>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</si>
  <si>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</si>
  <si>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</si>
  <si>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</si>
  <si>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</si>
  <si>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</si>
  <si>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</si>
  <si>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</si>
  <si>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</si>
  <si>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</si>
  <si>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</si>
  <si>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</si>
  <si>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</si>
  <si>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</si>
  <si>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</si>
  <si>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</si>
  <si>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</si>
  <si>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</si>
  <si>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</si>
  <si>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</si>
  <si>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</si>
  <si>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</si>
  <si>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</si>
  <si>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</si>
  <si>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</si>
  <si>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</si>
  <si>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</si>
  <si>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</si>
  <si>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</si>
  <si>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</si>
  <si>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</si>
  <si>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</si>
  <si>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</si>
  <si>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</si>
  <si>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</si>
  <si>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</si>
  <si>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</si>
  <si>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</si>
  <si>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</si>
  <si>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</si>
  <si>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</si>
  <si>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</si>
  <si>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</si>
  <si>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</si>
  <si>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</si>
  <si>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</si>
  <si>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</si>
  <si>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</si>
  <si>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</si>
  <si>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</si>
  <si>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</si>
  <si>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</si>
  <si>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</si>
  <si>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</si>
  <si>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</si>
  <si>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</si>
  <si>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</si>
  <si>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</si>
  <si>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</si>
  <si>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</si>
  <si>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</si>
  <si>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</si>
  <si>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</si>
  <si>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</si>
  <si>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</si>
  <si>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</si>
  <si>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</si>
  <si>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</si>
  <si>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</si>
  <si>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</si>
  <si>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</si>
  <si>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</si>
  <si>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</si>
  <si>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</si>
  <si>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</si>
  <si>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</si>
  <si>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</si>
  <si>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</si>
  <si>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</si>
  <si>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</si>
  <si>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</si>
  <si>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</si>
  <si>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</si>
  <si>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</si>
  <si>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</si>
  <si>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</si>
  <si>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</si>
  <si>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</si>
  <si>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</si>
  <si>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</si>
  <si>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</si>
  <si>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</si>
  <si>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</si>
  <si>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</si>
  <si>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</si>
  <si>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</si>
  <si>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</si>
  <si>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</si>
  <si>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</si>
  <si>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</si>
  <si>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</si>
  <si>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</si>
  <si>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</si>
  <si>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</si>
  <si>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</si>
  <si>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</si>
  <si>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</si>
  <si>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</si>
  <si>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</si>
  <si>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</si>
  <si>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</si>
  <si>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</si>
  <si>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</si>
  <si>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</si>
  <si>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</si>
  <si>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</si>
  <si>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</si>
  <si>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</si>
  <si>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</si>
  <si>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</si>
  <si>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</si>
  <si>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</si>
  <si>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</si>
  <si>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</si>
  <si>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</si>
  <si>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</si>
  <si>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</si>
  <si>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</si>
  <si>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</si>
  <si>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</si>
  <si>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</si>
  <si>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</si>
  <si>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</si>
  <si>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</si>
  <si>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</si>
  <si>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</si>
  <si>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</si>
  <si>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</si>
  <si>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</si>
  <si>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</si>
  <si>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</si>
  <si>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</si>
  <si>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</si>
  <si>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</si>
  <si>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</si>
  <si>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</si>
  <si>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</si>
  <si>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</si>
  <si>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</si>
  <si>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</si>
  <si>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</si>
  <si>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</si>
  <si>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</si>
  <si>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</si>
  <si>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</si>
  <si>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</si>
  <si>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</si>
  <si>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</si>
  <si>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</si>
  <si>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</si>
  <si>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</si>
  <si>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</si>
  <si>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</si>
  <si>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</si>
  <si>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</si>
  <si>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</si>
  <si>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</si>
  <si>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</si>
  <si>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</si>
  <si>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</si>
  <si>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</si>
  <si>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</si>
  <si>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</si>
  <si>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</si>
  <si>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</si>
  <si>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</si>
  <si>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</si>
  <si>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</si>
  <si>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</si>
  <si>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</si>
  <si>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</si>
  <si>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</si>
  <si>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</si>
  <si>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</si>
  <si>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</si>
  <si>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</si>
  <si>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</si>
  <si>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</si>
  <si>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</si>
  <si>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</si>
  <si>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</si>
  <si>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</si>
  <si>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</si>
  <si>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</si>
  <si>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</si>
  <si>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</si>
  <si>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</si>
  <si>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</si>
  <si>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</si>
  <si>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</si>
  <si>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</si>
  <si>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</si>
  <si>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</si>
  <si>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</si>
  <si>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</si>
  <si>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</si>
  <si>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</si>
  <si>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</si>
  <si>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</si>
  <si>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</si>
  <si>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</si>
  <si>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</si>
  <si>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</si>
  <si>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</si>
  <si>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</si>
  <si>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</si>
  <si>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</si>
  <si>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</si>
  <si>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</si>
  <si>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</si>
  <si>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</si>
  <si>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</si>
  <si>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</si>
  <si>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</si>
  <si>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</si>
  <si>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</si>
  <si>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</si>
  <si>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</si>
  <si>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</si>
  <si>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</si>
  <si>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</si>
  <si>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</si>
  <si>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</si>
  <si>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</si>
  <si>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</si>
  <si>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</si>
  <si>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</si>
  <si>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</si>
  <si>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</si>
  <si>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</si>
  <si>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</si>
  <si>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</si>
  <si>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</si>
  <si>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</si>
  <si>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</si>
  <si>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</si>
  <si>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</si>
  <si>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</si>
  <si>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</si>
  <si>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</si>
  <si>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</si>
  <si>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</si>
  <si>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</si>
  <si>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</si>
  <si>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</si>
  <si>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</si>
  <si>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</si>
  <si>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</si>
  <si>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</si>
  <si>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</si>
  <si>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</si>
  <si>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</si>
  <si>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</si>
  <si>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</si>
  <si>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</si>
  <si>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</si>
  <si>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</si>
  <si>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</si>
  <si>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</si>
  <si>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</si>
  <si>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</si>
  <si>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</si>
  <si>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</si>
  <si>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</si>
  <si>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</si>
  <si>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</si>
  <si>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</si>
  <si>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</si>
  <si>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</si>
  <si>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</si>
  <si>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</si>
  <si>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</si>
  <si>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</si>
  <si>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</si>
  <si>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</si>
  <si>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</si>
  <si>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</si>
  <si>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</si>
  <si>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</si>
  <si>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</si>
  <si>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</si>
  <si>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</si>
  <si>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</si>
  <si>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</si>
  <si>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</si>
  <si>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</si>
  <si>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</si>
  <si>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</si>
  <si>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</si>
  <si>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</si>
  <si>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</si>
  <si>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</si>
  <si>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</si>
  <si>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</si>
  <si>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</si>
  <si>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</si>
  <si>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</si>
  <si>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</si>
  <si>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</si>
  <si>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</si>
  <si>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</si>
  <si>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</si>
  <si>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</si>
  <si>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</si>
  <si>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</si>
  <si>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</si>
  <si>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</si>
  <si>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</si>
  <si>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</si>
  <si>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</si>
  <si>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</si>
  <si>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</si>
  <si>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</si>
  <si>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</si>
  <si>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</si>
  <si>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</si>
  <si>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</si>
  <si>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</si>
  <si>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</si>
  <si>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</si>
  <si>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</si>
  <si>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</si>
  <si>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</si>
  <si>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</si>
  <si>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</si>
  <si>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</si>
  <si>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</si>
  <si>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</si>
  <si>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</si>
  <si>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</si>
  <si>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</si>
  <si>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</si>
  <si>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</si>
  <si>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</si>
  <si>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</si>
  <si>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</si>
  <si>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</si>
  <si>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</si>
  <si>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</si>
  <si>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</si>
  <si>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</si>
  <si>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</si>
  <si>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</si>
  <si>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</si>
  <si>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</si>
  <si>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</si>
  <si>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</si>
  <si>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</si>
  <si>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</si>
  <si>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</si>
  <si>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</si>
  <si>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</si>
  <si>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</si>
  <si>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</si>
  <si>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</si>
  <si>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</si>
  <si>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</si>
  <si>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</si>
  <si>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</si>
  <si>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</si>
  <si>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</si>
  <si>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</si>
  <si>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</si>
  <si>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</si>
  <si>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</si>
  <si>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</si>
  <si>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</si>
  <si>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</si>
  <si>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</si>
  <si>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</si>
  <si>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</si>
  <si>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</si>
  <si>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</si>
  <si>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</si>
  <si>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</si>
  <si>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</si>
  <si>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</si>
  <si>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</si>
  <si>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</si>
  <si>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</si>
  <si>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</si>
  <si>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</si>
  <si>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</si>
  <si>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</si>
  <si>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</si>
  <si>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</si>
  <si>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</si>
  <si>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</si>
  <si>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</si>
  <si>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</si>
  <si>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</si>
  <si>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</si>
  <si>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</si>
  <si>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</si>
  <si>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</si>
  <si>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</si>
  <si>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</si>
  <si>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</si>
  <si>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</si>
  <si>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</si>
  <si>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</si>
  <si>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</si>
  <si>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</si>
  <si>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</si>
  <si>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</si>
  <si>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</si>
  <si>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</si>
  <si>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</si>
  <si>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</si>
  <si>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</si>
  <si>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</si>
  <si>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</si>
  <si>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</si>
  <si>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</si>
  <si>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</si>
  <si>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</si>
  <si>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</si>
  <si>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</si>
  <si>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</si>
  <si>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</si>
  <si>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</si>
  <si>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</si>
  <si>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</si>
  <si>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</si>
  <si>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</si>
  <si>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</si>
  <si>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</si>
  <si>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</si>
  <si>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</si>
  <si>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</si>
  <si>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</si>
  <si>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</si>
  <si>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</si>
  <si>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</si>
  <si>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</si>
  <si>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</si>
  <si>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</si>
  <si>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</si>
  <si>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</si>
  <si>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</si>
  <si>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</si>
  <si>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</si>
  <si>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</si>
  <si>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</si>
  <si>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</si>
  <si>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</si>
  <si>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</si>
  <si>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</si>
  <si>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</si>
  <si>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</si>
  <si>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</si>
  <si>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</si>
  <si>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</si>
  <si>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</si>
  <si>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</si>
  <si>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</si>
  <si>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</si>
  <si>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</si>
  <si>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</si>
  <si>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</si>
  <si>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</si>
  <si>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</si>
  <si>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</si>
  <si>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</si>
  <si>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</si>
  <si>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</si>
  <si>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</si>
  <si>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</si>
  <si>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</si>
  <si>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</si>
  <si>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</si>
  <si>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</si>
  <si>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</si>
  <si>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</si>
  <si>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</si>
  <si>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</si>
  <si>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</si>
  <si>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</si>
  <si>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</si>
  <si>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</si>
  <si>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</si>
  <si>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</si>
  <si>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</si>
  <si>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</si>
  <si>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</si>
  <si>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</si>
  <si>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</si>
  <si>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</si>
  <si>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</si>
  <si>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</si>
  <si>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</si>
  <si>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</si>
  <si>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</si>
  <si>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</si>
  <si>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</si>
  <si>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</si>
  <si>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</si>
  <si>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</si>
  <si>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</si>
  <si>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</si>
  <si>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</si>
  <si>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</si>
  <si>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</si>
  <si>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</si>
  <si>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</si>
  <si>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</si>
  <si>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</si>
  <si>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</si>
  <si>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</si>
  <si>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</si>
  <si>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</si>
  <si>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</si>
  <si>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</si>
  <si>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</si>
  <si>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</si>
  <si>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</si>
  <si>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</si>
  <si>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</si>
  <si>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</si>
  <si>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</si>
  <si>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</si>
  <si>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</si>
  <si>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</si>
  <si>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</si>
  <si>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</si>
  <si>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</si>
  <si>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</si>
  <si>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</si>
  <si>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</si>
  <si>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</si>
  <si>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</si>
  <si>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</si>
  <si>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</si>
  <si>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</si>
  <si>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</si>
  <si>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</si>
  <si>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</si>
  <si>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</si>
  <si>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</si>
  <si>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</si>
  <si>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</si>
  <si>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</si>
  <si>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</si>
  <si>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</si>
  <si>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</si>
  <si>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</si>
  <si>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</si>
  <si>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</si>
  <si>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</si>
  <si>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</si>
  <si>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</si>
  <si>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</si>
  <si>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</si>
  <si>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</si>
  <si>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</si>
  <si>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</si>
  <si>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</si>
  <si>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</si>
  <si>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</si>
  <si>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</si>
  <si>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</si>
  <si>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</si>
  <si>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</si>
  <si>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</si>
  <si>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</si>
  <si>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</si>
  <si>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</si>
  <si>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</si>
  <si>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</si>
  <si>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</si>
  <si>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</si>
  <si>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</si>
  <si>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</si>
  <si>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</si>
  <si>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</si>
  <si>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</si>
  <si>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</si>
  <si>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</si>
  <si>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</si>
  <si>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</si>
  <si>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</si>
  <si>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</si>
  <si>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</si>
  <si>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</si>
  <si>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</si>
  <si>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</si>
  <si>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</si>
  <si>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</si>
  <si>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</si>
  <si>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</si>
  <si>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</si>
  <si>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</si>
  <si>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</si>
  <si>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</si>
  <si>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</si>
  <si>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</si>
  <si>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</si>
  <si>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</si>
  <si>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</si>
  <si>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</si>
  <si>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</si>
  <si>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</si>
  <si>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</si>
  <si>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</si>
  <si>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</si>
  <si>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</si>
  <si>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</si>
  <si>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</si>
  <si>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</si>
  <si>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</si>
  <si>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</si>
  <si>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</si>
  <si>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</si>
  <si>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</si>
  <si>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</si>
  <si>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</si>
  <si>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</si>
  <si>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</si>
  <si>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</si>
  <si>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</si>
  <si>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</si>
  <si>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</si>
  <si>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</si>
  <si>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</si>
  <si>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</si>
  <si>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</si>
  <si>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</si>
  <si>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</si>
  <si>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</si>
  <si>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</si>
  <si>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</si>
  <si>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</si>
  <si>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</si>
  <si>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</si>
  <si>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</si>
  <si>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</si>
  <si>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</si>
  <si>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</si>
  <si>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</si>
  <si>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</si>
  <si>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</si>
  <si>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</si>
  <si>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</si>
  <si>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</si>
  <si>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</si>
  <si>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</si>
  <si>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</si>
  <si>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</si>
  <si>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</si>
  <si>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</si>
  <si>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</si>
  <si>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</si>
  <si>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</si>
  <si>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</si>
  <si>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</si>
  <si>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</si>
  <si>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</si>
  <si>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</si>
  <si>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</si>
  <si>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</si>
  <si>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</si>
  <si>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</si>
  <si>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</si>
  <si>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</si>
  <si>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</si>
  <si>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</si>
  <si>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</si>
  <si>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</si>
  <si>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</si>
  <si>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</si>
  <si>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</si>
  <si>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</si>
  <si>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</si>
  <si>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</si>
  <si>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</si>
  <si>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</si>
  <si>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</si>
  <si>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</si>
  <si>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</si>
  <si>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</si>
  <si>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</si>
  <si>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</si>
  <si>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</si>
  <si>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</si>
  <si>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</si>
  <si>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</si>
  <si>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</si>
  <si>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</si>
  <si>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</si>
  <si>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</si>
  <si>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</si>
  <si>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</si>
  <si>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</si>
  <si>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</si>
  <si>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</si>
  <si>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</si>
  <si>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</si>
  <si>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</si>
  <si>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</si>
  <si>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</si>
  <si>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</si>
  <si>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</si>
  <si>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</si>
  <si>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</si>
  <si>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</si>
  <si>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</si>
  <si>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</si>
  <si>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</si>
  <si>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</si>
  <si>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</si>
  <si>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</si>
  <si>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</si>
  <si>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</si>
  <si>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</si>
  <si>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</si>
  <si>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</si>
  <si>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</si>
  <si>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</si>
  <si>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</si>
  <si>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</si>
  <si>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</si>
  <si>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</si>
  <si>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</si>
  <si>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</si>
  <si>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</si>
  <si>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</si>
  <si>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</si>
  <si>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</si>
  <si>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</si>
  <si>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</si>
  <si>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</si>
  <si>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</si>
  <si>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</si>
  <si>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</si>
  <si>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</si>
  <si>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</si>
  <si>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</si>
  <si>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</si>
  <si>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</si>
  <si>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</si>
  <si>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</si>
  <si>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</si>
  <si>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</si>
  <si>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</si>
  <si>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</si>
  <si>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</si>
  <si>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</si>
  <si>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</si>
  <si>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</si>
  <si>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</si>
  <si>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</si>
  <si>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</si>
  <si>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</si>
  <si>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</si>
  <si>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</si>
  <si>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</si>
  <si>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</si>
  <si>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</si>
  <si>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</si>
  <si>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</si>
  <si>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</si>
  <si>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</si>
  <si>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</si>
  <si>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</si>
  <si>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</si>
  <si>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</si>
  <si>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</si>
  <si>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</si>
  <si>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</si>
  <si>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</si>
  <si>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</si>
  <si>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</si>
  <si>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</si>
  <si>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</si>
  <si>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</si>
  <si>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</si>
  <si>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</si>
  <si>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</si>
  <si>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</si>
  <si>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</si>
  <si>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</si>
  <si>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</si>
  <si>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</si>
  <si>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</si>
  <si>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</si>
  <si>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</si>
  <si>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</si>
  <si>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</si>
  <si>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</si>
  <si>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</si>
  <si>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</si>
  <si>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</si>
  <si>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</si>
  <si>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</si>
  <si>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</si>
  <si>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</si>
  <si>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</si>
  <si>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</si>
  <si>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</si>
  <si>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</si>
  <si>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</si>
  <si>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</si>
  <si>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</si>
  <si>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</si>
  <si>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</si>
  <si>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</si>
  <si>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</si>
  <si>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</si>
  <si>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</si>
  <si>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</si>
  <si>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</si>
  <si>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</si>
  <si>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</si>
  <si>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</si>
  <si>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</si>
  <si>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</si>
  <si>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</si>
  <si>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</si>
  <si>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</si>
  <si>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</si>
  <si>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</si>
  <si>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</si>
  <si>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</si>
  <si>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</si>
  <si>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</si>
  <si>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</si>
  <si>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</si>
  <si>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</si>
  <si>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</si>
  <si>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</si>
  <si>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</si>
  <si>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</si>
  <si>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</si>
  <si>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</si>
  <si>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</si>
  <si>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</si>
  <si>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</si>
  <si>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</si>
  <si>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</si>
  <si>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</si>
  <si>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</si>
  <si>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</si>
  <si>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</si>
  <si>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</si>
  <si>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</si>
  <si>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</si>
  <si>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</si>
  <si>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</si>
  <si>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</si>
  <si>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</si>
  <si>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</si>
  <si>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</si>
  <si>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</si>
  <si>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</si>
  <si>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</si>
  <si>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</si>
  <si>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</si>
  <si>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</si>
  <si>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</si>
  <si>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</si>
  <si>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</si>
  <si>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</si>
  <si>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</si>
  <si>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</si>
  <si>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</si>
  <si>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</si>
  <si>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</si>
  <si>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</si>
  <si>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</si>
  <si>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</si>
  <si>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</si>
  <si>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</si>
  <si>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</si>
  <si>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</si>
  <si>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</si>
  <si>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</si>
  <si>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</si>
  <si>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</si>
  <si>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</si>
  <si>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</si>
  <si>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</si>
  <si>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</si>
  <si>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</si>
  <si>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</si>
  <si>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</si>
  <si>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</si>
  <si>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</si>
  <si>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</si>
  <si>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</si>
  <si>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</si>
  <si>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</si>
  <si>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</si>
  <si>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</si>
  <si>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</si>
  <si>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</si>
  <si>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</si>
  <si>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</si>
  <si>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</si>
  <si>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</si>
  <si>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</si>
  <si>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</si>
  <si>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</si>
  <si>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</si>
  <si>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</si>
  <si>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</si>
  <si>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</si>
  <si>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</si>
  <si>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</si>
  <si>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</si>
  <si>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</si>
  <si>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</si>
  <si>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</si>
  <si>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</si>
  <si>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</si>
  <si>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</si>
  <si>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</si>
  <si>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</si>
  <si>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</si>
  <si>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</si>
  <si>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</si>
  <si>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</si>
  <si>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</si>
  <si>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</si>
  <si>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</si>
  <si>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</si>
  <si>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</si>
  <si>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</si>
  <si>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</si>
  <si>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</si>
  <si>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</si>
  <si>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</si>
  <si>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</si>
  <si>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</si>
  <si>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</si>
  <si>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</si>
  <si>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</si>
  <si>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</si>
  <si>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</si>
  <si>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</si>
  <si>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</si>
  <si>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</si>
  <si>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</si>
  <si>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</si>
  <si>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</si>
  <si>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</si>
  <si>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</si>
  <si>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</si>
  <si>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</si>
  <si>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</si>
  <si>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</si>
  <si>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</si>
  <si>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</si>
  <si>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</si>
  <si>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</si>
  <si>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</si>
  <si>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</si>
  <si>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</si>
  <si>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</si>
  <si>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</si>
  <si>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</si>
  <si>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</si>
  <si>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</si>
  <si>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</si>
  <si>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</si>
  <si>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</si>
  <si>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</si>
  <si>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</si>
  <si>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</si>
  <si>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</si>
  <si>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</si>
  <si>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</si>
  <si>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</si>
  <si>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</si>
  <si>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</si>
  <si>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</si>
  <si>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</si>
  <si>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</si>
  <si>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</si>
  <si>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</si>
  <si>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</si>
  <si>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</si>
  <si>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</si>
  <si>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</si>
  <si>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</si>
  <si>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</si>
  <si>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</si>
  <si>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</si>
  <si>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</si>
  <si>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</si>
  <si>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</si>
  <si>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</si>
  <si>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</si>
  <si>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</si>
  <si>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</si>
  <si>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</si>
  <si>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</si>
  <si>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</si>
  <si>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</si>
  <si>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</si>
  <si>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</si>
  <si>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</si>
  <si>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</si>
  <si>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</si>
  <si>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</si>
  <si>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</si>
  <si>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</si>
  <si>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</si>
  <si>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</si>
  <si>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</si>
  <si>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</si>
  <si>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</si>
  <si>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</si>
  <si>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</si>
  <si>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</si>
  <si>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</si>
  <si>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</si>
  <si>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</si>
  <si>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</si>
  <si>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</si>
  <si>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</si>
  <si>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</si>
  <si>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</si>
  <si>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</si>
  <si>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</si>
  <si>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</si>
  <si>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</si>
  <si>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</si>
  <si>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</si>
  <si>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</si>
  <si>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</si>
  <si>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</si>
  <si>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</si>
  <si>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</si>
  <si>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</si>
  <si>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</si>
  <si>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</si>
  <si>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</si>
  <si>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</si>
  <si>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</si>
  <si>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</si>
  <si>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</si>
  <si>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</si>
  <si>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</si>
  <si>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</si>
  <si>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</si>
  <si>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</si>
  <si>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</si>
  <si>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</si>
  <si>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</si>
  <si>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</si>
  <si>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</si>
  <si>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</si>
  <si>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</si>
  <si>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</si>
  <si>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</si>
  <si>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</si>
  <si>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</si>
  <si>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</si>
  <si>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</si>
  <si>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</si>
  <si>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</si>
  <si>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</si>
  <si>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</si>
  <si>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</si>
  <si>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</si>
  <si>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</si>
  <si>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</si>
  <si>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</si>
  <si>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</si>
  <si>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</si>
  <si>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</si>
  <si>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</si>
  <si>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</si>
  <si>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</si>
  <si>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</si>
  <si>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</si>
  <si>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</si>
  <si>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</si>
  <si>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</si>
  <si>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</si>
  <si>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</si>
  <si>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</si>
  <si>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</si>
  <si>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</si>
  <si>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</si>
  <si>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</si>
  <si>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</si>
  <si>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</si>
  <si>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</si>
  <si>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</si>
  <si>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</si>
  <si>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</si>
  <si>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</si>
  <si>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</si>
  <si>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</si>
  <si>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</si>
  <si>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</si>
  <si>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</si>
  <si>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</si>
  <si>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</si>
  <si>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</si>
  <si>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</si>
  <si>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</si>
  <si>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</si>
  <si>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</si>
  <si>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</si>
  <si>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</si>
  <si>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</si>
  <si>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</si>
  <si>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</si>
  <si>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</si>
  <si>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</si>
  <si>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</si>
  <si>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</si>
  <si>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</si>
  <si>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</si>
  <si>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</si>
  <si>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</si>
  <si>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</si>
  <si>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</si>
  <si>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</si>
  <si>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</si>
  <si>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</si>
  <si>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</si>
  <si>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</si>
  <si>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</si>
  <si>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</si>
  <si>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</si>
  <si>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</si>
  <si>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</si>
  <si>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</si>
  <si>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</si>
  <si>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</si>
  <si>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</si>
  <si>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</si>
  <si>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</si>
  <si>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</si>
  <si>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</si>
  <si>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</si>
  <si>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</si>
  <si>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</si>
  <si>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</si>
  <si>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</si>
  <si>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</si>
  <si>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</si>
  <si>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</si>
  <si>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</si>
  <si>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</si>
  <si>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</si>
  <si>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</si>
  <si>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</si>
  <si>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</si>
  <si>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</si>
  <si>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</si>
  <si>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</si>
  <si>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</si>
  <si>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</si>
  <si>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</si>
  <si>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</si>
  <si>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</si>
  <si>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</si>
  <si>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</si>
  <si>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</si>
  <si>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</si>
  <si>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</si>
  <si>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</si>
  <si>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</si>
  <si>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</si>
  <si>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</si>
  <si>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</si>
  <si>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</si>
  <si>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</si>
  <si>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</si>
  <si>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</si>
  <si>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</si>
  <si>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</si>
  <si>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</si>
  <si>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</si>
  <si>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</si>
  <si>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</si>
  <si>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</si>
  <si>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</si>
  <si>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</si>
  <si>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</si>
  <si>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</si>
  <si>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</si>
  <si>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</si>
  <si>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</si>
  <si>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</si>
  <si>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</si>
  <si>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</si>
  <si>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</si>
  <si>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</si>
  <si>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</si>
  <si>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</si>
  <si>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</si>
  <si>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</si>
  <si>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</si>
  <si>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</si>
  <si>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</si>
  <si>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</si>
  <si>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</si>
  <si>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</si>
  <si>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</si>
  <si>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</si>
  <si>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</si>
  <si>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</si>
  <si>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</si>
  <si>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</si>
  <si>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</si>
  <si>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</si>
  <si>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</si>
  <si>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</si>
  <si>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</si>
  <si>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</si>
  <si>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</si>
  <si>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</si>
  <si>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</si>
  <si>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</si>
  <si>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</si>
  <si>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</si>
  <si>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</si>
  <si>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</si>
  <si>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</si>
  <si>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</si>
  <si>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</si>
  <si>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</si>
  <si>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</si>
  <si>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</si>
  <si>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</si>
  <si>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</si>
  <si>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</si>
  <si>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</si>
  <si>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</si>
  <si>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</si>
  <si>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</si>
  <si>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</si>
  <si>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</si>
  <si>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</si>
  <si>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</si>
  <si>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</si>
  <si>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INVERSIONES CARVAZUL SAS </t>
  </si>
  <si>
    <t>AYALA SUESCA HECTOR ARMANDO</t>
  </si>
  <si>
    <t>ESPEJO CAMARGO JOSE MARIO</t>
  </si>
  <si>
    <t>CAMACHO PEREZ EUSEBIO</t>
  </si>
  <si>
    <t>MARTINEZ AVILA JHON ALEJANDRO</t>
  </si>
  <si>
    <t>SANCHEZ PEÑA GLORIA ESPERANZA</t>
  </si>
  <si>
    <t>MARTINEZ NIÑO MIRYAM STELLA</t>
  </si>
  <si>
    <t>FONSECA LAGOS INES</t>
  </si>
  <si>
    <t>ROJAS BARRERA MARIA CRISTINA</t>
  </si>
  <si>
    <t>GALLO PEREZ MARLEI</t>
  </si>
  <si>
    <t>CEPEDA RINCON EDNA MARGARITA</t>
  </si>
  <si>
    <t>TORRES VALDERRAMA YOLANDA</t>
  </si>
  <si>
    <t>BOLIVAR CRUZ EMILSE</t>
  </si>
  <si>
    <t>OTALORA CASTRO SANDRA PATRICIA</t>
  </si>
  <si>
    <t>GONZALEZ MONTOYA LUZ HELENA</t>
  </si>
  <si>
    <t>PICO VILLAMIZAR EDY MILENA</t>
  </si>
  <si>
    <t>MORA MATEUS WILSON RICARDO</t>
  </si>
  <si>
    <t>BENITEZ GUTIERREZ EDWIN ISMAEL</t>
  </si>
  <si>
    <t>AYALA GONZALEZ JOHN JAIRO</t>
  </si>
  <si>
    <t>FERRETERIA ALCATRAZ</t>
  </si>
  <si>
    <t>SM ASOCIADOS S.A.</t>
  </si>
  <si>
    <t>COMERCIALIZADORA BOYANCENSE VERDE SA</t>
  </si>
  <si>
    <t>NACIONA DE TORNILLOS Y MANGUERAS SAS</t>
  </si>
  <si>
    <t>DISTRIAGROS SAS</t>
  </si>
  <si>
    <t>CONDUCE - CENTRO DE RECONOCIMIIENTO D CONDUCTORES</t>
  </si>
  <si>
    <t>DISTRIBUIDORA EL CARMEN BADIZ SAS</t>
  </si>
  <si>
    <t>SURTIELECTRICOS RV SAS</t>
  </si>
  <si>
    <t>TRIANA MEDINA ALEJANDRA</t>
  </si>
  <si>
    <t>MOLANO OSCAR</t>
  </si>
  <si>
    <t>MENDIGAÑO T LUZ M</t>
  </si>
  <si>
    <t>GALIINDO PUERTO JORGE LEONARDO</t>
  </si>
  <si>
    <t>OCHOA MONROY JUAN CARLOS</t>
  </si>
  <si>
    <t>ALFONSO LOPEZ CINDY LICETH</t>
  </si>
  <si>
    <t>RODRIGUEZ ROMERO JAVIER ARTURO</t>
  </si>
  <si>
    <t>GUTIERREZ RODRIGUEZ NANCY</t>
  </si>
  <si>
    <t>LOPEZ CAMARGO ALBEIRO</t>
  </si>
  <si>
    <t>BAUTISTA RAMIREZ EBER AGUSTIN</t>
  </si>
  <si>
    <t>VELOZA MELGAREJO JHON JAIRO</t>
  </si>
  <si>
    <t>ACOSTA RUEDA DEISY YURANY</t>
  </si>
  <si>
    <t>FARFAN ORTIZ JAVIER ANDRES</t>
  </si>
  <si>
    <t>RONDON JIMENEZ NICOLAS ESTEBAN</t>
  </si>
  <si>
    <t>CAMARGO CORONADO NATHALIA JIMENA</t>
  </si>
  <si>
    <t>MONTAÑA MORA SNEIDER</t>
  </si>
  <si>
    <t>ACOSTA RUEDA NELSON JAVIER</t>
  </si>
  <si>
    <t>PEDRAZA RODRIGUEZ ANGIE CAROLINA</t>
  </si>
  <si>
    <t>espejocamargojm@gmail.com</t>
  </si>
  <si>
    <t>ferreteria.alcatraz@hotmail.com</t>
  </si>
  <si>
    <t>cra 36 24 89</t>
  </si>
  <si>
    <t>calle 89 63 63</t>
  </si>
  <si>
    <t>cra 64 97 585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</si>
</sst>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1" fillId="0" borderId="0" xfId="0" applyFont="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bro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2">
          <cell r="A2">
            <v>1001283901</v>
          </cell>
          <cell r="B2" t="str">
            <v>RT</v>
          </cell>
          <cell r="C2">
            <v>1001283901</v>
          </cell>
          <cell r="D2">
            <v>1</v>
          </cell>
          <cell r="E2" t="str">
            <v>FACEBOOK PUBLICITARIO</v>
          </cell>
          <cell r="H2" t="str">
            <v>face@gmail.com</v>
          </cell>
          <cell r="I2">
            <v>50001</v>
          </cell>
          <cell r="J2" t="str">
            <v>VILLAVICENCIO</v>
          </cell>
        </row>
        <row r="3">
          <cell r="A3">
            <v>1002397654</v>
          </cell>
          <cell r="B3" t="str">
            <v>CC</v>
          </cell>
          <cell r="C3">
            <v>1002397654</v>
          </cell>
          <cell r="D3">
            <v>9</v>
          </cell>
          <cell r="E3" t="str">
            <v>MORENO RIVERA DIEGO ANDRES</v>
          </cell>
          <cell r="F3" t="str">
            <v>CR 4 3 72</v>
          </cell>
          <cell r="G3">
            <v>3123286501</v>
          </cell>
          <cell r="H3" t="str">
            <v>diegomrivera0808@gmail.com</v>
          </cell>
          <cell r="I3">
            <v>11001</v>
          </cell>
          <cell r="J3" t="str">
            <v>BOGOTA D.C.</v>
          </cell>
        </row>
        <row r="4">
          <cell r="A4">
            <v>1002438347</v>
          </cell>
          <cell r="B4" t="str">
            <v>CC</v>
          </cell>
          <cell r="C4">
            <v>1002438347</v>
          </cell>
          <cell r="D4">
            <v>1</v>
          </cell>
          <cell r="E4" t="str">
            <v>ARCHILA CASTRO JOHAN MAURICIO</v>
          </cell>
          <cell r="H4" t="str">
            <v>FACTURACIONARCHILA@GMAIL.COM</v>
          </cell>
          <cell r="I4">
            <v>15041</v>
          </cell>
          <cell r="J4" t="str">
            <v>DUITAMA</v>
          </cell>
        </row>
        <row r="5">
          <cell r="A5">
            <v>1002538379</v>
          </cell>
          <cell r="B5" t="str">
            <v>CC</v>
          </cell>
          <cell r="C5">
            <v>1002538379</v>
          </cell>
          <cell r="D5">
            <v>4</v>
          </cell>
          <cell r="E5" t="str">
            <v>MONTAÑEZ ESPINOSA GUSTAVO ADOLFO</v>
          </cell>
          <cell r="F5" t="str">
            <v>CR 18 10 105</v>
          </cell>
          <cell r="G5">
            <v>3223058950</v>
          </cell>
          <cell r="H5" t="str">
            <v xml:space="preserve"> ing.gustavomontanez@gmail.com</v>
          </cell>
          <cell r="I5">
            <v>15041</v>
          </cell>
          <cell r="J5" t="str">
            <v>DUITAMA</v>
          </cell>
        </row>
        <row r="6">
          <cell r="A6">
            <v>1002607839</v>
          </cell>
          <cell r="B6" t="str">
            <v>CC</v>
          </cell>
          <cell r="C6">
            <v>1002607839</v>
          </cell>
          <cell r="D6">
            <v>7</v>
          </cell>
          <cell r="E6" t="str">
            <v>TORRES JIMENEZ ANGELA MARIA</v>
          </cell>
          <cell r="F6" t="str">
            <v>VDA SAN LUIS ALTO FCA LA ROSITA</v>
          </cell>
          <cell r="H6" t="str">
            <v>AYMCONSTRUCCIONESDUITAMA@GMAIL.CON</v>
          </cell>
          <cell r="I6">
            <v>15041</v>
          </cell>
          <cell r="J6" t="str">
            <v>DUITAMA</v>
          </cell>
        </row>
        <row r="7">
          <cell r="A7">
            <v>1007305538</v>
          </cell>
          <cell r="B7" t="str">
            <v>RT</v>
          </cell>
          <cell r="C7">
            <v>1007305538</v>
          </cell>
          <cell r="D7">
            <v>7</v>
          </cell>
          <cell r="E7" t="str">
            <v>MULTIMARCAS JN KIDS</v>
          </cell>
          <cell r="F7" t="str">
            <v>CLL 25 21 14</v>
          </cell>
          <cell r="G7">
            <v>3112794165</v>
          </cell>
          <cell r="H7" t="str">
            <v>multimarcasjnkids@gmail.com</v>
          </cell>
          <cell r="I7">
            <v>15041</v>
          </cell>
          <cell r="J7" t="str">
            <v>DUITAMA</v>
          </cell>
        </row>
        <row r="8">
          <cell r="A8">
            <v>1007382589</v>
          </cell>
          <cell r="B8" t="str">
            <v>CC</v>
          </cell>
          <cell r="C8">
            <v>1007382589</v>
          </cell>
          <cell r="D8">
            <v>0</v>
          </cell>
          <cell r="E8" t="str">
            <v>GOMEZ GOMEZ KAREN NATALIA</v>
          </cell>
          <cell r="F8" t="str">
            <v>AV LIBERTADORES 24 66 BRR LOS ROSALES</v>
          </cell>
          <cell r="G8">
            <v>3148925547</v>
          </cell>
          <cell r="H8" t="str">
            <v>karennataliagomezgomez311@gmail.com</v>
          </cell>
          <cell r="I8" t="str">
            <v>15516</v>
          </cell>
          <cell r="J8" t="str">
            <v>PAIPA</v>
          </cell>
        </row>
        <row r="9">
          <cell r="A9">
            <v>1007702640</v>
          </cell>
          <cell r="B9" t="str">
            <v>CC</v>
          </cell>
          <cell r="C9">
            <v>1007702640</v>
          </cell>
          <cell r="D9">
            <v>3</v>
          </cell>
          <cell r="E9" t="str">
            <v>ROMERO BARBOSA MARIA CAMIL</v>
          </cell>
          <cell r="F9" t="str">
            <v>cll 26 c 41 105</v>
          </cell>
          <cell r="H9" t="str">
            <v>bbqrestaurante25@gmail.com</v>
          </cell>
          <cell r="I9">
            <v>50001</v>
          </cell>
          <cell r="J9" t="str">
            <v>VILLAVICENCIO</v>
          </cell>
        </row>
        <row r="10">
          <cell r="A10">
            <v>1010162721</v>
          </cell>
          <cell r="B10" t="str">
            <v>CC</v>
          </cell>
          <cell r="C10">
            <v>1010162721</v>
          </cell>
          <cell r="D10">
            <v>4</v>
          </cell>
          <cell r="E10" t="str">
            <v>ALVARADO ALVAREZ FREDY</v>
          </cell>
          <cell r="F10" t="str">
            <v>CLL 16 12 19 OF 202</v>
          </cell>
          <cell r="G10">
            <v>3125169474</v>
          </cell>
          <cell r="H10" t="str">
            <v>arquitectura@amasmstudio.com</v>
          </cell>
          <cell r="I10">
            <v>15041</v>
          </cell>
          <cell r="J10" t="str">
            <v>DUITAMA</v>
          </cell>
        </row>
        <row r="11">
          <cell r="A11">
            <v>1010207316</v>
          </cell>
          <cell r="B11" t="str">
            <v>CC</v>
          </cell>
          <cell r="C11">
            <v>1010207316</v>
          </cell>
          <cell r="D11">
            <v>1</v>
          </cell>
          <cell r="E11" t="str">
            <v>SANDOVAL MORALES YENNY PAOLA</v>
          </cell>
          <cell r="F11" t="str">
            <v>cll 12a # 60</v>
          </cell>
          <cell r="G11">
            <v>3183441879</v>
          </cell>
          <cell r="H11" t="str">
            <v>pao_sandm@hotmail.com</v>
          </cell>
          <cell r="I11">
            <v>11001</v>
          </cell>
          <cell r="J11" t="str">
            <v>BOGOTA D.C.</v>
          </cell>
        </row>
        <row r="12">
          <cell r="A12">
            <v>1012414990</v>
          </cell>
          <cell r="B12" t="str">
            <v>CC</v>
          </cell>
          <cell r="C12">
            <v>1012414990</v>
          </cell>
          <cell r="D12">
            <v>9</v>
          </cell>
          <cell r="E12" t="str">
            <v>VARGAS ARIZA MIGUEL EDUARDO</v>
          </cell>
          <cell r="F12" t="str">
            <v>CALLE 25 # 23-18 PAIPA</v>
          </cell>
          <cell r="G12">
            <v>3107698284</v>
          </cell>
          <cell r="H12" t="str">
            <v>migueleduardopaipa@gmail.com</v>
          </cell>
          <cell r="I12" t="str">
            <v>15516</v>
          </cell>
          <cell r="J12" t="str">
            <v>PAIPA</v>
          </cell>
        </row>
        <row r="13">
          <cell r="A13">
            <v>1014208551</v>
          </cell>
          <cell r="B13" t="str">
            <v>RT</v>
          </cell>
          <cell r="C13">
            <v>1014208551</v>
          </cell>
          <cell r="D13">
            <v>3</v>
          </cell>
          <cell r="E13" t="str">
            <v>ORJUELA ORJUELA RAFAEL ALBERTO</v>
          </cell>
          <cell r="F13" t="str">
            <v>Calle 79c # 112b - 37</v>
          </cell>
          <cell r="G13">
            <v>3107089494</v>
          </cell>
          <cell r="H13" t="str">
            <v>equipo@gemsap.com</v>
          </cell>
          <cell r="I13">
            <v>11001</v>
          </cell>
          <cell r="J13" t="str">
            <v>BOGOTA D.C.</v>
          </cell>
        </row>
        <row r="14">
          <cell r="A14">
            <v>1015414947</v>
          </cell>
          <cell r="B14" t="str">
            <v>CC</v>
          </cell>
          <cell r="C14">
            <v>1015414947</v>
          </cell>
          <cell r="D14">
            <v>2</v>
          </cell>
          <cell r="E14" t="str">
            <v>LUQUE SANCHEZ MARIA ALEJANDRA</v>
          </cell>
          <cell r="F14" t="str">
            <v>CLL 100 # 22- 18</v>
          </cell>
          <cell r="G14">
            <v>3183972687</v>
          </cell>
          <cell r="H14" t="str">
            <v>mariale_luque@gmail.com</v>
          </cell>
          <cell r="I14">
            <v>11001</v>
          </cell>
          <cell r="J14" t="str">
            <v>BOGOTA D.C.</v>
          </cell>
        </row>
        <row r="15">
          <cell r="A15">
            <v>1018427754</v>
          </cell>
          <cell r="B15" t="str">
            <v>CC</v>
          </cell>
          <cell r="C15">
            <v>1018427754</v>
          </cell>
          <cell r="D15">
            <v>5</v>
          </cell>
          <cell r="E15" t="str">
            <v>BUQUE RODOLFO</v>
          </cell>
          <cell r="F15" t="str">
            <v>CL 27 44B 30 LOCAL 1 Y 2 B.EL BUQUE</v>
          </cell>
          <cell r="G15">
            <v>6725479</v>
          </cell>
          <cell r="H15" t="str">
            <v>RODOLFO@GMAIL.COM</v>
          </cell>
          <cell r="I15">
            <v>50001</v>
          </cell>
          <cell r="J15" t="str">
            <v>VILLAVICENCIO</v>
          </cell>
        </row>
        <row r="16">
          <cell r="A16">
            <v>1018436160</v>
          </cell>
          <cell r="B16" t="str">
            <v>CC</v>
          </cell>
          <cell r="C16">
            <v>1018436160</v>
          </cell>
          <cell r="D16">
            <v>9</v>
          </cell>
          <cell r="E16" t="str">
            <v>TORRES BERNAL ANA MARIA</v>
          </cell>
          <cell r="F16" t="str">
            <v>cll 53 # 4a  -26 apt 304 Bogotá</v>
          </cell>
          <cell r="H16" t="str">
            <v>anmatobe@hotmail.com</v>
          </cell>
          <cell r="I16">
            <v>11001</v>
          </cell>
          <cell r="J16" t="str">
            <v>BOGOTA D.C.</v>
          </cell>
        </row>
        <row r="17">
          <cell r="A17">
            <v>1018496665</v>
          </cell>
          <cell r="B17" t="str">
            <v>CC</v>
          </cell>
          <cell r="C17">
            <v>1018496665</v>
          </cell>
          <cell r="D17">
            <v>2</v>
          </cell>
          <cell r="E17" t="str">
            <v>FORERO GOMEZ SERGIO</v>
          </cell>
          <cell r="F17" t="str">
            <v>cll 138 # 10-97</v>
          </cell>
          <cell r="G17">
            <v>3183771740</v>
          </cell>
          <cell r="H17" t="str">
            <v>fgsergio@outlook.com</v>
          </cell>
          <cell r="I17">
            <v>11001</v>
          </cell>
          <cell r="J17" t="str">
            <v>BOGOTA D.C.</v>
          </cell>
        </row>
        <row r="18">
          <cell r="A18">
            <v>1019017032</v>
          </cell>
          <cell r="B18" t="str">
            <v>CC</v>
          </cell>
          <cell r="C18">
            <v>1019017032</v>
          </cell>
          <cell r="D18">
            <v>0</v>
          </cell>
          <cell r="E18" t="str">
            <v>MARTINEZ LEON MARISOL</v>
          </cell>
          <cell r="F18" t="str">
            <v>CARRERA 16 # 13-59 LOCAL 205</v>
          </cell>
          <cell r="G18">
            <v>3118364880</v>
          </cell>
          <cell r="H18" t="str">
            <v>marysol8712@hotmail.com</v>
          </cell>
          <cell r="I18">
            <v>15238</v>
          </cell>
          <cell r="J18" t="str">
            <v>DUITAMA</v>
          </cell>
        </row>
        <row r="19">
          <cell r="A19">
            <v>1019086861</v>
          </cell>
          <cell r="B19" t="str">
            <v>CC</v>
          </cell>
          <cell r="C19">
            <v>1019086861</v>
          </cell>
          <cell r="D19">
            <v>4</v>
          </cell>
          <cell r="E19" t="str">
            <v>LARROTA CASTRO CAROL VIVIANA</v>
          </cell>
          <cell r="F19" t="str">
            <v>CR 123 # 131 - 66</v>
          </cell>
          <cell r="G19">
            <v>3054246041</v>
          </cell>
          <cell r="H19" t="str">
            <v>carolviviana.larrota@gmail.com</v>
          </cell>
          <cell r="I19">
            <v>11001</v>
          </cell>
          <cell r="J19" t="str">
            <v>BOGOTA D.C.</v>
          </cell>
        </row>
        <row r="20">
          <cell r="A20">
            <v>1020825182</v>
          </cell>
          <cell r="B20" t="str">
            <v>CC</v>
          </cell>
          <cell r="C20">
            <v>1020825182</v>
          </cell>
          <cell r="D20">
            <v>7</v>
          </cell>
          <cell r="E20" t="str">
            <v>ALVARADO CAMPOS MICHAEL</v>
          </cell>
          <cell r="F20" t="str">
            <v>cll 116 #23-06</v>
          </cell>
          <cell r="G20">
            <v>3124748016</v>
          </cell>
          <cell r="H20" t="str">
            <v>maicol970502@gmail.com</v>
          </cell>
          <cell r="I20">
            <v>11001</v>
          </cell>
          <cell r="J20" t="str">
            <v>BOGOTA D.C.</v>
          </cell>
        </row>
        <row r="21">
          <cell r="A21">
            <v>1022362621</v>
          </cell>
          <cell r="B21" t="str">
            <v>CC</v>
          </cell>
          <cell r="C21">
            <v>1022362621</v>
          </cell>
          <cell r="D21">
            <v>8</v>
          </cell>
          <cell r="E21" t="str">
            <v>ORTIZ MARISELA LIZETH</v>
          </cell>
          <cell r="F21" t="str">
            <v>carrera 81B #19B-80</v>
          </cell>
          <cell r="G21">
            <v>3102016645</v>
          </cell>
          <cell r="H21" t="str">
            <v>HALEXmon@hotmail.com</v>
          </cell>
          <cell r="I21">
            <v>11001</v>
          </cell>
          <cell r="J21" t="str">
            <v>BOGOTA D.C.</v>
          </cell>
        </row>
        <row r="22">
          <cell r="A22">
            <v>1023930660</v>
          </cell>
          <cell r="B22" t="str">
            <v>RT</v>
          </cell>
          <cell r="C22">
            <v>1023930660</v>
          </cell>
          <cell r="D22">
            <v>6</v>
          </cell>
          <cell r="E22" t="str">
            <v>TRIANA MEDINA ALEJANDRA</v>
          </cell>
          <cell r="F22" t="str">
            <v>calle 24 # 19-60</v>
          </cell>
          <cell r="G22">
            <v>3143533975</v>
          </cell>
          <cell r="H22" t="str">
            <v>mayra4080@gmail.com</v>
          </cell>
          <cell r="I22" t="str">
            <v>15516</v>
          </cell>
          <cell r="J22" t="str">
            <v>PAIPA</v>
          </cell>
        </row>
        <row r="23">
          <cell r="A23">
            <v>1024529638</v>
          </cell>
          <cell r="B23" t="str">
            <v>CC</v>
          </cell>
          <cell r="C23">
            <v>1024529638</v>
          </cell>
          <cell r="D23">
            <v>9</v>
          </cell>
          <cell r="E23" t="str">
            <v>PACHECO IVAN EDUARDO</v>
          </cell>
          <cell r="F23" t="str">
            <v>DIAGONAL 49 #60B-49</v>
          </cell>
          <cell r="H23" t="str">
            <v>NORAPVANEGAS@GMAIL.COM</v>
          </cell>
          <cell r="I23">
            <v>11001</v>
          </cell>
          <cell r="J23" t="str">
            <v>BOGOTA D.C.</v>
          </cell>
        </row>
        <row r="24">
          <cell r="A24">
            <v>10304506</v>
          </cell>
          <cell r="B24" t="str">
            <v>CC</v>
          </cell>
          <cell r="C24">
            <v>10304506</v>
          </cell>
          <cell r="D24">
            <v>7</v>
          </cell>
          <cell r="E24" t="str">
            <v>HELLWEG CARSON PIEDAD</v>
          </cell>
          <cell r="F24" t="str">
            <v>CR 6 #18-22</v>
          </cell>
          <cell r="H24" t="str">
            <v>ehellweg@yahoo.com</v>
          </cell>
          <cell r="I24">
            <v>11001</v>
          </cell>
          <cell r="J24" t="str">
            <v>BOGOTA D.C.</v>
          </cell>
        </row>
        <row r="25">
          <cell r="A25">
            <v>1036661210</v>
          </cell>
          <cell r="B25" t="str">
            <v>CC</v>
          </cell>
          <cell r="C25">
            <v>1036661210</v>
          </cell>
          <cell r="D25">
            <v>8</v>
          </cell>
          <cell r="E25" t="str">
            <v>VILLADA PARRA CARLOS ALBERTO</v>
          </cell>
          <cell r="F25" t="str">
            <v>CL 42 6908</v>
          </cell>
          <cell r="G25">
            <v>3105169758</v>
          </cell>
          <cell r="H25" t="str">
            <v>Meathouseparrilla@hotmail.com</v>
          </cell>
          <cell r="I25">
            <v>5001</v>
          </cell>
          <cell r="J25" t="str">
            <v>MEDELLIN</v>
          </cell>
        </row>
        <row r="26">
          <cell r="A26">
            <v>1041235052</v>
          </cell>
          <cell r="B26" t="str">
            <v>CC</v>
          </cell>
          <cell r="C26">
            <v>1041235052</v>
          </cell>
          <cell r="D26">
            <v>2</v>
          </cell>
          <cell r="E26" t="str">
            <v>RAMIREZ RAMIREZ DUVAN ESTEBAN</v>
          </cell>
          <cell r="F26" t="str">
            <v>CALLE 162 N 8C-29</v>
          </cell>
          <cell r="G26">
            <v>3113022354</v>
          </cell>
          <cell r="H26" t="str">
            <v>FAMIHOGARCONTABILIDAD@OUTLOOK.COM</v>
          </cell>
          <cell r="I26">
            <v>11001</v>
          </cell>
          <cell r="J26" t="str">
            <v>BOGOTA D.C.</v>
          </cell>
        </row>
        <row r="27">
          <cell r="A27">
            <v>1049603675</v>
          </cell>
          <cell r="B27" t="str">
            <v>RT</v>
          </cell>
          <cell r="C27">
            <v>1049603675</v>
          </cell>
          <cell r="D27">
            <v>9</v>
          </cell>
          <cell r="E27" t="str">
            <v>MOLANO OSCAR</v>
          </cell>
          <cell r="F27" t="str">
            <v>KR 19  # 26 -45</v>
          </cell>
          <cell r="G27">
            <v>3113286182</v>
          </cell>
          <cell r="H27" t="str">
            <v>panaderiapeter@ventas.com</v>
          </cell>
          <cell r="I27" t="str">
            <v>15516</v>
          </cell>
          <cell r="J27" t="str">
            <v>PAIPA</v>
          </cell>
        </row>
        <row r="28">
          <cell r="A28">
            <v>1049634802</v>
          </cell>
          <cell r="B28" t="str">
            <v>RT</v>
          </cell>
          <cell r="C28">
            <v>1049634802</v>
          </cell>
          <cell r="D28">
            <v>0</v>
          </cell>
          <cell r="E28" t="str">
            <v>CLAVIJO SANGUINO CRISTIAN DANIEL</v>
          </cell>
          <cell r="F28" t="str">
            <v>call 11 # 18-93</v>
          </cell>
          <cell r="G28">
            <v>7635980</v>
          </cell>
          <cell r="H28" t="str">
            <v>centroherramientassharito@hotmail.com</v>
          </cell>
          <cell r="I28" t="str">
            <v>15516</v>
          </cell>
          <cell r="J28" t="str">
            <v>PAIPA</v>
          </cell>
        </row>
        <row r="29">
          <cell r="A29">
            <v>1052380480</v>
          </cell>
          <cell r="B29" t="str">
            <v>CC</v>
          </cell>
          <cell r="C29">
            <v>1052380480</v>
          </cell>
          <cell r="D29">
            <v>1</v>
          </cell>
          <cell r="E29" t="str">
            <v>MARROQUIN SALCEDO OSCAR IGNACIO</v>
          </cell>
          <cell r="F29" t="str">
            <v>CR 19 26 38</v>
          </cell>
          <cell r="G29">
            <v>3118313554</v>
          </cell>
          <cell r="H29" t="str">
            <v>pjmarily0204@gmail.com</v>
          </cell>
          <cell r="I29">
            <v>11001</v>
          </cell>
          <cell r="J29" t="str">
            <v>BOGOTA D.C.</v>
          </cell>
        </row>
        <row r="30">
          <cell r="A30">
            <v>1052381985</v>
          </cell>
          <cell r="B30" t="str">
            <v>CC</v>
          </cell>
          <cell r="C30">
            <v>1052381985</v>
          </cell>
          <cell r="D30">
            <v>3</v>
          </cell>
          <cell r="E30" t="str">
            <v>FONSECA CORREA DIANA CAROLINA</v>
          </cell>
          <cell r="F30" t="str">
            <v>CALLE 27 # 17-21</v>
          </cell>
          <cell r="G30">
            <v>3115662727</v>
          </cell>
          <cell r="H30" t="str">
            <v>ferropaipala27@hotmail.com</v>
          </cell>
          <cell r="I30">
            <v>15041</v>
          </cell>
          <cell r="J30" t="str">
            <v>DUITAMA</v>
          </cell>
        </row>
        <row r="31">
          <cell r="A31">
            <v>1052386357</v>
          </cell>
          <cell r="B31" t="str">
            <v>CC</v>
          </cell>
          <cell r="C31">
            <v>1052386357</v>
          </cell>
          <cell r="D31">
            <v>0</v>
          </cell>
          <cell r="E31" t="str">
            <v>HERRERA MALPICA LISETH XIMENA</v>
          </cell>
          <cell r="F31" t="str">
            <v>AV ORIENTAL 8 28</v>
          </cell>
          <cell r="G31">
            <v>3125467582</v>
          </cell>
          <cell r="H31" t="str">
            <v>jime.310@hptmail.com</v>
          </cell>
          <cell r="I31">
            <v>15001</v>
          </cell>
          <cell r="J31" t="str">
            <v>TUNJA</v>
          </cell>
        </row>
        <row r="32">
          <cell r="A32">
            <v>1052386470</v>
          </cell>
          <cell r="B32" t="str">
            <v>CC</v>
          </cell>
          <cell r="C32">
            <v>1052386470</v>
          </cell>
          <cell r="D32">
            <v>5</v>
          </cell>
          <cell r="E32" t="str">
            <v>GOMEZ LARA DIEGO FRANCISCO</v>
          </cell>
          <cell r="F32" t="str">
            <v>CALLE 10 19 61</v>
          </cell>
          <cell r="G32">
            <v>3212040516</v>
          </cell>
          <cell r="H32" t="str">
            <v>ferroalumduitama@gmail.com</v>
          </cell>
          <cell r="I32">
            <v>15041</v>
          </cell>
          <cell r="J32" t="str">
            <v>DUITAMA</v>
          </cell>
        </row>
        <row r="33">
          <cell r="A33">
            <v>1052386915</v>
          </cell>
          <cell r="B33" t="str">
            <v>CC</v>
          </cell>
          <cell r="C33">
            <v>1052386915</v>
          </cell>
          <cell r="D33">
            <v>0</v>
          </cell>
          <cell r="E33" t="str">
            <v>MENDIGAÑO T LUZ M</v>
          </cell>
          <cell r="F33" t="str">
            <v>crr 22 # 23-60</v>
          </cell>
          <cell r="H33" t="str">
            <v>facturagranamazonia@gmai.co</v>
          </cell>
          <cell r="I33" t="str">
            <v>15516</v>
          </cell>
          <cell r="J33" t="str">
            <v>PAIPA</v>
          </cell>
        </row>
        <row r="34">
          <cell r="A34">
            <v>1052387297</v>
          </cell>
          <cell r="B34" t="str">
            <v>CC</v>
          </cell>
          <cell r="C34">
            <v>1052387297</v>
          </cell>
          <cell r="D34">
            <v>1</v>
          </cell>
          <cell r="E34" t="str">
            <v>NIÑO ZARTHA NELSON RICARDO</v>
          </cell>
          <cell r="F34" t="str">
            <v>CALLE 26# 21-62</v>
          </cell>
          <cell r="H34" t="str">
            <v>nelson.zar@gmail.com</v>
          </cell>
          <cell r="I34" t="str">
            <v>15516</v>
          </cell>
          <cell r="J34" t="str">
            <v>PAIPA</v>
          </cell>
        </row>
        <row r="35">
          <cell r="A35">
            <v>1052388252</v>
          </cell>
          <cell r="B35" t="str">
            <v>RT</v>
          </cell>
          <cell r="C35">
            <v>1052388252</v>
          </cell>
          <cell r="D35">
            <v>5</v>
          </cell>
          <cell r="E35" t="str">
            <v>GALIINDO PUERTO JORGE LEONARDO</v>
          </cell>
          <cell r="F35" t="str">
            <v>CARRERA 19 # 23-43</v>
          </cell>
          <cell r="H35" t="str">
            <v>jorge.galindo015@gmail.com</v>
          </cell>
          <cell r="I35" t="str">
            <v>15516</v>
          </cell>
          <cell r="J35" t="str">
            <v>PAIPA</v>
          </cell>
        </row>
        <row r="36">
          <cell r="A36">
            <v>1052391585</v>
          </cell>
          <cell r="B36" t="str">
            <v>CC</v>
          </cell>
          <cell r="C36">
            <v>1052391585</v>
          </cell>
          <cell r="D36">
            <v>3</v>
          </cell>
          <cell r="E36" t="str">
            <v>VARGAS ESPITIA JORGE ARLEY</v>
          </cell>
          <cell r="F36" t="str">
            <v>CLL 19 B 30 107</v>
          </cell>
          <cell r="H36" t="str">
            <v>yedry1900@hotmail.com</v>
          </cell>
          <cell r="I36">
            <v>15041</v>
          </cell>
          <cell r="J36" t="str">
            <v>DUITAMA</v>
          </cell>
        </row>
        <row r="37">
          <cell r="A37">
            <v>1052392274</v>
          </cell>
          <cell r="B37" t="str">
            <v>CC</v>
          </cell>
          <cell r="C37">
            <v>1052392274</v>
          </cell>
          <cell r="D37">
            <v>2</v>
          </cell>
          <cell r="E37" t="str">
            <v>SALAMANCA CARVAJAL JULIAN ALEXANDER</v>
          </cell>
          <cell r="F37" t="str">
            <v>TV 2 B 68 A 31</v>
          </cell>
          <cell r="G37">
            <v>3195810641</v>
          </cell>
          <cell r="H37" t="str">
            <v>PYS.ASOCIADOS.SAS@GMAIL.COM</v>
          </cell>
          <cell r="I37">
            <v>15001</v>
          </cell>
          <cell r="J37" t="str">
            <v>TUNJA</v>
          </cell>
        </row>
        <row r="38">
          <cell r="A38">
            <v>1052400900</v>
          </cell>
          <cell r="B38" t="str">
            <v>CC</v>
          </cell>
          <cell r="C38">
            <v>1052400900</v>
          </cell>
          <cell r="D38">
            <v>0</v>
          </cell>
          <cell r="E38" t="str">
            <v>PUENTES PARADA FERNEY ARNULFO</v>
          </cell>
          <cell r="F38" t="str">
            <v>CL 22 A 20 42 BRR SAN JOSE</v>
          </cell>
          <cell r="G38">
            <v>3143857465</v>
          </cell>
          <cell r="H38" t="str">
            <v>ferso029@gmail.com</v>
          </cell>
          <cell r="I38">
            <v>15041</v>
          </cell>
          <cell r="J38" t="str">
            <v>DUITAMA</v>
          </cell>
        </row>
        <row r="39">
          <cell r="A39">
            <v>1052409205</v>
          </cell>
          <cell r="B39" t="str">
            <v>CC</v>
          </cell>
          <cell r="C39">
            <v>1052409205</v>
          </cell>
          <cell r="D39">
            <v>0</v>
          </cell>
          <cell r="E39" t="str">
            <v>ASCENCIO HERNANDEZ PAULA ANDREA</v>
          </cell>
          <cell r="F39" t="str">
            <v>CL 17 17 55</v>
          </cell>
          <cell r="G39">
            <v>3013566244</v>
          </cell>
          <cell r="H39" t="str">
            <v>dayanis_116@hotmail.com</v>
          </cell>
          <cell r="I39">
            <v>15041</v>
          </cell>
          <cell r="J39" t="str">
            <v>DUITAMA</v>
          </cell>
        </row>
        <row r="40">
          <cell r="A40">
            <v>1052410072</v>
          </cell>
          <cell r="B40" t="str">
            <v>RT</v>
          </cell>
          <cell r="C40">
            <v>1052410072</v>
          </cell>
          <cell r="D40">
            <v>1</v>
          </cell>
          <cell r="E40" t="str">
            <v>RINCON GUERRERO ERIK DANIEL</v>
          </cell>
          <cell r="F40" t="str">
            <v>crra 23 # 23-62</v>
          </cell>
          <cell r="H40" t="str">
            <v>desechapleselrigor@hotmail.com</v>
          </cell>
          <cell r="I40" t="str">
            <v>15516</v>
          </cell>
          <cell r="J40" t="str">
            <v>PAIPA</v>
          </cell>
        </row>
        <row r="41">
          <cell r="A41">
            <v>1053604581</v>
          </cell>
          <cell r="B41" t="str">
            <v>RT</v>
          </cell>
          <cell r="C41">
            <v>1053604581</v>
          </cell>
          <cell r="D41">
            <v>4</v>
          </cell>
          <cell r="E41" t="str">
            <v>FONSECA SUESCA DIANA CAROLINA</v>
          </cell>
          <cell r="F41" t="str">
            <v>CALLE 27 # 17-21</v>
          </cell>
          <cell r="H41" t="str">
            <v>ferropaipala27@hotmail.com</v>
          </cell>
          <cell r="I41" t="str">
            <v>15516</v>
          </cell>
          <cell r="J41" t="str">
            <v>PAIPA</v>
          </cell>
        </row>
        <row r="42">
          <cell r="A42">
            <v>1053604832</v>
          </cell>
          <cell r="B42" t="str">
            <v>CC</v>
          </cell>
          <cell r="C42">
            <v>1053604832</v>
          </cell>
          <cell r="D42">
            <v>8</v>
          </cell>
          <cell r="E42" t="str">
            <v>OCHOA MONROY JUAN CARLOS</v>
          </cell>
          <cell r="F42" t="str">
            <v>CL 24 17 48</v>
          </cell>
          <cell r="H42" t="str">
            <v>JUCAOMO17@HOTMAIL.COM</v>
          </cell>
          <cell r="I42" t="str">
            <v>15516</v>
          </cell>
          <cell r="J42" t="str">
            <v>PAIPA</v>
          </cell>
        </row>
        <row r="43">
          <cell r="A43">
            <v>1053605503</v>
          </cell>
          <cell r="B43" t="str">
            <v>RT</v>
          </cell>
          <cell r="C43">
            <v>1053605503</v>
          </cell>
          <cell r="D43">
            <v>4</v>
          </cell>
          <cell r="E43" t="str">
            <v>ALFONSO LOPEZ CINDY LICETH</v>
          </cell>
          <cell r="F43" t="str">
            <v>CALLEN 22 # 24-33</v>
          </cell>
          <cell r="H43" t="str">
            <v>ferreelectricosjmpaipa@gmail.com</v>
          </cell>
          <cell r="I43" t="str">
            <v>15516</v>
          </cell>
          <cell r="J43" t="str">
            <v>PAIPA</v>
          </cell>
        </row>
        <row r="44">
          <cell r="A44">
            <v>1053605978</v>
          </cell>
          <cell r="B44" t="str">
            <v>CC</v>
          </cell>
          <cell r="C44">
            <v>1053605978</v>
          </cell>
          <cell r="D44">
            <v>9</v>
          </cell>
          <cell r="E44" t="str">
            <v>RODRIGUEZ ROMERO JAVIER ARTURO</v>
          </cell>
          <cell r="H44" t="str">
            <v>cabañassancayetanohmail.com</v>
          </cell>
          <cell r="I44" t="str">
            <v>15516</v>
          </cell>
          <cell r="J44" t="str">
            <v>PAIPA</v>
          </cell>
        </row>
        <row r="45">
          <cell r="A45">
            <v>1053606004</v>
          </cell>
          <cell r="B45" t="str">
            <v>CC</v>
          </cell>
          <cell r="C45">
            <v>1053606004</v>
          </cell>
          <cell r="D45">
            <v>5</v>
          </cell>
          <cell r="E45" t="str">
            <v>PINTO VARGAS ALGELA MARIA</v>
          </cell>
          <cell r="F45" t="str">
            <v>carrera  16 # 29a-21</v>
          </cell>
          <cell r="H45" t="str">
            <v>seguridadstop911@gmail.com</v>
          </cell>
          <cell r="I45" t="str">
            <v>15516</v>
          </cell>
          <cell r="J45" t="str">
            <v>PAIPA</v>
          </cell>
        </row>
        <row r="46">
          <cell r="A46">
            <v>1053606603</v>
          </cell>
          <cell r="B46" t="str">
            <v>CC</v>
          </cell>
          <cell r="C46">
            <v>1053606603</v>
          </cell>
          <cell r="D46">
            <v>7</v>
          </cell>
          <cell r="E46" t="str">
            <v>GUTIERREZ RODRIGUEZ NANCY</v>
          </cell>
          <cell r="F46" t="str">
            <v>CALLE 22 # 22-55</v>
          </cell>
          <cell r="H46" t="str">
            <v>nancygutierres293@gmail.com</v>
          </cell>
          <cell r="I46" t="str">
            <v>15516</v>
          </cell>
          <cell r="J46" t="str">
            <v>PAIPA</v>
          </cell>
        </row>
        <row r="47">
          <cell r="A47">
            <v>1053606717</v>
          </cell>
          <cell r="B47" t="str">
            <v>CC</v>
          </cell>
          <cell r="C47">
            <v>1053606717</v>
          </cell>
          <cell r="D47">
            <v>8</v>
          </cell>
          <cell r="E47" t="str">
            <v>LOPEZ CAMARGO ALBEIRO</v>
          </cell>
          <cell r="F47" t="str">
            <v>cr 18 20 04 BARRIO LAS QUINTAS</v>
          </cell>
          <cell r="H47" t="str">
            <v>ALBEIRCAMA@GMAIL.COM</v>
          </cell>
          <cell r="I47" t="str">
            <v>15516</v>
          </cell>
          <cell r="J47" t="str">
            <v>PAIPA</v>
          </cell>
        </row>
        <row r="48">
          <cell r="A48">
            <v>1053606869</v>
          </cell>
          <cell r="B48" t="str">
            <v>RT</v>
          </cell>
          <cell r="C48">
            <v>1053606869</v>
          </cell>
          <cell r="D48">
            <v>9</v>
          </cell>
          <cell r="E48" t="str">
            <v>BAUTISTA RAMIREZ EBER AGUSTIN</v>
          </cell>
          <cell r="F48" t="str">
            <v>CALLE 26 # 21-54</v>
          </cell>
          <cell r="H48" t="str">
            <v>eberbautista@gmail.com</v>
          </cell>
          <cell r="I48" t="str">
            <v>15516</v>
          </cell>
          <cell r="J48" t="str">
            <v>PAIPA</v>
          </cell>
        </row>
        <row r="49">
          <cell r="A49">
            <v>1053607149</v>
          </cell>
          <cell r="B49" t="str">
            <v>CC</v>
          </cell>
          <cell r="C49">
            <v>1053607149</v>
          </cell>
          <cell r="D49">
            <v>9</v>
          </cell>
          <cell r="E49" t="str">
            <v>GONZALEZ LUZ JACKELINE</v>
          </cell>
          <cell r="F49" t="str">
            <v>CR 17a # 44-40</v>
          </cell>
          <cell r="H49" t="str">
            <v>lgonzalez@iteco.com.co</v>
          </cell>
          <cell r="I49">
            <v>11001</v>
          </cell>
          <cell r="J49" t="str">
            <v>BOGOTA D.C.</v>
          </cell>
        </row>
        <row r="50">
          <cell r="A50">
            <v>1053607261</v>
          </cell>
          <cell r="B50" t="str">
            <v>RT</v>
          </cell>
          <cell r="C50">
            <v>1053607261</v>
          </cell>
          <cell r="D50">
            <v>6</v>
          </cell>
          <cell r="E50" t="str">
            <v>VARGAS CANTOR IVONN STEFANY</v>
          </cell>
          <cell r="F50" t="str">
            <v>calle 26 nº 19a -33</v>
          </cell>
          <cell r="H50" t="str">
            <v>comercializadora-syspaipa@gmail.com</v>
          </cell>
          <cell r="I50" t="str">
            <v>15516</v>
          </cell>
          <cell r="J50" t="str">
            <v>PAIPA</v>
          </cell>
        </row>
        <row r="51">
          <cell r="A51">
            <v>1053607887</v>
          </cell>
          <cell r="B51" t="str">
            <v>RT</v>
          </cell>
          <cell r="C51">
            <v>1053607887</v>
          </cell>
          <cell r="D51">
            <v>6</v>
          </cell>
          <cell r="E51" t="str">
            <v>AVELLA AVENDAÑO JESSICA LORENA</v>
          </cell>
          <cell r="F51" t="str">
            <v>barrio el bosque</v>
          </cell>
          <cell r="G51">
            <v>3112393251</v>
          </cell>
          <cell r="H51" t="str">
            <v>jessyalvellas@gmail.com</v>
          </cell>
          <cell r="I51" t="str">
            <v>15516</v>
          </cell>
          <cell r="J51" t="str">
            <v>PAIPA</v>
          </cell>
        </row>
        <row r="52">
          <cell r="A52">
            <v>1053608085</v>
          </cell>
          <cell r="B52" t="str">
            <v>CC</v>
          </cell>
          <cell r="C52">
            <v>1053608085</v>
          </cell>
          <cell r="D52">
            <v>0</v>
          </cell>
          <cell r="E52" t="str">
            <v>GIRATA BAEZ ALVARO ANTONIO</v>
          </cell>
          <cell r="F52" t="str">
            <v>CR 22  25 61</v>
          </cell>
          <cell r="G52">
            <v>3132070392</v>
          </cell>
          <cell r="H52" t="str">
            <v>radiolapaz710am@hotmail.com</v>
          </cell>
          <cell r="I52" t="str">
            <v>15516</v>
          </cell>
          <cell r="J52" t="str">
            <v>PAIPA</v>
          </cell>
        </row>
        <row r="53">
          <cell r="A53">
            <v>1053608166</v>
          </cell>
          <cell r="B53" t="str">
            <v>RT</v>
          </cell>
          <cell r="C53">
            <v>1053608166</v>
          </cell>
          <cell r="D53">
            <v>9</v>
          </cell>
          <cell r="E53" t="str">
            <v>GUAMAN NANCY</v>
          </cell>
          <cell r="F53" t="str">
            <v>calle 22 # 22-67</v>
          </cell>
          <cell r="H53" t="str">
            <v>ventaselnorteño@gmail.com</v>
          </cell>
          <cell r="I53" t="str">
            <v>15516</v>
          </cell>
          <cell r="J53" t="str">
            <v>PAIPA</v>
          </cell>
        </row>
        <row r="54">
          <cell r="A54">
            <v>1053608351</v>
          </cell>
          <cell r="B54" t="str">
            <v>CC</v>
          </cell>
          <cell r="C54">
            <v>1053608351</v>
          </cell>
          <cell r="D54">
            <v>5</v>
          </cell>
          <cell r="E54" t="str">
            <v>ELECTRICOS M.O</v>
          </cell>
          <cell r="F54" t="str">
            <v>avenida libertadores · 22-52 paipa</v>
          </cell>
          <cell r="G54">
            <v>3114658841</v>
          </cell>
          <cell r="H54" t="str">
            <v>moelectric@hotmail.com</v>
          </cell>
          <cell r="I54" t="str">
            <v>15516</v>
          </cell>
          <cell r="J54" t="str">
            <v>PAIPA</v>
          </cell>
        </row>
        <row r="55">
          <cell r="A55">
            <v>1053608543</v>
          </cell>
          <cell r="B55" t="str">
            <v>CC</v>
          </cell>
          <cell r="C55">
            <v>1053608543</v>
          </cell>
          <cell r="D55">
            <v>2</v>
          </cell>
          <cell r="E55" t="str">
            <v>VILLAMIL PAIBA JAVIER ARMANDO</v>
          </cell>
          <cell r="F55" t="str">
            <v>AV LIBERTADORES 22 51</v>
          </cell>
          <cell r="G55">
            <v>3165373847</v>
          </cell>
          <cell r="H55" t="str">
            <v>juniorvillamil03@hotmail.com</v>
          </cell>
          <cell r="I55" t="str">
            <v>15516</v>
          </cell>
          <cell r="J55" t="str">
            <v>PAIPA</v>
          </cell>
        </row>
        <row r="56">
          <cell r="A56">
            <v>1053610031</v>
          </cell>
          <cell r="B56" t="str">
            <v>RT</v>
          </cell>
          <cell r="C56">
            <v>1053610031</v>
          </cell>
          <cell r="D56">
            <v>1</v>
          </cell>
          <cell r="E56" t="str">
            <v>ARISTIZABAL DIAZ LISETH JOHANA</v>
          </cell>
          <cell r="F56" t="str">
            <v>calle 25 # 19-134 local 2</v>
          </cell>
          <cell r="G56">
            <v>7851448</v>
          </cell>
          <cell r="H56" t="str">
            <v>INVERSIONESKIUT@GMAIL.COM</v>
          </cell>
          <cell r="I56" t="str">
            <v>15516</v>
          </cell>
          <cell r="J56" t="str">
            <v>PAIPA</v>
          </cell>
        </row>
        <row r="57">
          <cell r="A57">
            <v>1053610139</v>
          </cell>
          <cell r="B57" t="str">
            <v>CC</v>
          </cell>
          <cell r="C57">
            <v>1053610139</v>
          </cell>
          <cell r="D57">
            <v>6</v>
          </cell>
          <cell r="E57" t="str">
            <v>BARRERA PATIÑO LUZ AMANDA</v>
          </cell>
          <cell r="F57" t="str">
            <v>CR 17A 23A 79</v>
          </cell>
          <cell r="G57">
            <v>3227885039</v>
          </cell>
          <cell r="H57" t="str">
            <v>sarahielmundoentusmanos@gmail.com</v>
          </cell>
          <cell r="I57" t="str">
            <v>15516</v>
          </cell>
          <cell r="J57" t="str">
            <v>PAIPA</v>
          </cell>
        </row>
        <row r="58">
          <cell r="A58">
            <v>1053610394</v>
          </cell>
          <cell r="B58" t="str">
            <v>CC</v>
          </cell>
          <cell r="C58">
            <v>1053610394</v>
          </cell>
          <cell r="D58">
            <v>8</v>
          </cell>
          <cell r="E58" t="str">
            <v>VELOZA MELGAREJO JHON JAIRO</v>
          </cell>
          <cell r="F58" t="str">
            <v>CL 24 24 64</v>
          </cell>
          <cell r="H58" t="str">
            <v>JJAZ2993@GMAIL.COM</v>
          </cell>
          <cell r="I58" t="str">
            <v>15516</v>
          </cell>
          <cell r="J58" t="str">
            <v>PAIPA</v>
          </cell>
        </row>
        <row r="59">
          <cell r="A59">
            <v>1053610876</v>
          </cell>
          <cell r="B59" t="str">
            <v>CC</v>
          </cell>
          <cell r="C59">
            <v>1053610876</v>
          </cell>
          <cell r="D59">
            <v>6</v>
          </cell>
          <cell r="E59" t="str">
            <v>GUALTEROS ZEA JUAN CARLOS</v>
          </cell>
          <cell r="F59" t="str">
            <v>CL 25 19 134</v>
          </cell>
          <cell r="G59">
            <v>3208306766</v>
          </cell>
          <cell r="H59" t="str">
            <v>gualconfort@gmail.com</v>
          </cell>
          <cell r="I59" t="str">
            <v>15516</v>
          </cell>
          <cell r="J59" t="str">
            <v>PAIPA</v>
          </cell>
        </row>
        <row r="60">
          <cell r="A60">
            <v>1053612408</v>
          </cell>
          <cell r="B60" t="str">
            <v>CC</v>
          </cell>
          <cell r="C60">
            <v>1053612408</v>
          </cell>
          <cell r="D60">
            <v>1</v>
          </cell>
          <cell r="E60" t="str">
            <v>ACOSTA RUEDA DEISY YURANY</v>
          </cell>
          <cell r="F60" t="str">
            <v>VDA SATIVA SEC PIEBLANCO</v>
          </cell>
          <cell r="H60" t="str">
            <v>CONTABILIDADCANTERASANJOSE@GMAIL.COM</v>
          </cell>
          <cell r="I60" t="str">
            <v>15516</v>
          </cell>
          <cell r="J60" t="str">
            <v>PAIPA</v>
          </cell>
        </row>
        <row r="61">
          <cell r="A61">
            <v>1053613484</v>
          </cell>
          <cell r="B61" t="str">
            <v>CC</v>
          </cell>
          <cell r="C61">
            <v>1053613484</v>
          </cell>
          <cell r="D61">
            <v>6</v>
          </cell>
          <cell r="E61" t="str">
            <v>SEPULVEDA NOMESQUE DANIEL FELIPE</v>
          </cell>
          <cell r="G61">
            <v>3137711172</v>
          </cell>
          <cell r="H61" t="str">
            <v>dfsepulvedano@gmail.com</v>
          </cell>
          <cell r="I61" t="str">
            <v>15516</v>
          </cell>
          <cell r="J61" t="str">
            <v>PAIPA</v>
          </cell>
        </row>
        <row r="62">
          <cell r="A62">
            <v>1053613555</v>
          </cell>
          <cell r="B62" t="str">
            <v>CC</v>
          </cell>
          <cell r="C62">
            <v>1053613555</v>
          </cell>
          <cell r="D62">
            <v>0</v>
          </cell>
          <cell r="E62" t="str">
            <v>FARFAN ORTIZ JAVIER ANDRES</v>
          </cell>
          <cell r="F62" t="str">
            <v>CR17 A 23 A 89 BRR LAS QUINTAS</v>
          </cell>
          <cell r="H62" t="str">
            <v>FEL.FERREFARFAN@OUTLOOK.COM</v>
          </cell>
          <cell r="I62" t="str">
            <v>15516</v>
          </cell>
          <cell r="J62" t="str">
            <v>PAIPA</v>
          </cell>
        </row>
        <row r="63">
          <cell r="A63">
            <v>1053613935</v>
          </cell>
          <cell r="B63" t="str">
            <v>RT</v>
          </cell>
          <cell r="C63">
            <v>1053613935</v>
          </cell>
          <cell r="D63">
            <v>6</v>
          </cell>
          <cell r="E63" t="str">
            <v>RONDON JIMENEZ NICOLAS ESTEBAN</v>
          </cell>
          <cell r="F63" t="str">
            <v>CALLE 23 #B 22 - 59</v>
          </cell>
          <cell r="G63">
            <v>3125105666</v>
          </cell>
          <cell r="H63" t="str">
            <v>joseedilbertorondon@gmail.com</v>
          </cell>
          <cell r="I63" t="str">
            <v>15516</v>
          </cell>
          <cell r="J63" t="str">
            <v>PAIPA</v>
          </cell>
        </row>
        <row r="64">
          <cell r="A64">
            <v>1053614862</v>
          </cell>
          <cell r="B64" t="str">
            <v>CC</v>
          </cell>
          <cell r="C64">
            <v>1053614862</v>
          </cell>
          <cell r="D64">
            <v>1</v>
          </cell>
          <cell r="E64" t="str">
            <v>CAMARGO CORONADO NATHALIA JIMENA</v>
          </cell>
          <cell r="F64" t="str">
            <v>CR 19 28 152 BRR LIBERTADORES</v>
          </cell>
          <cell r="G64">
            <v>3204992532</v>
          </cell>
          <cell r="H64" t="str">
            <v>AGREGADOSPAIPA@GMAIL.COM</v>
          </cell>
          <cell r="I64" t="str">
            <v>15516</v>
          </cell>
          <cell r="J64" t="str">
            <v>PAIPA</v>
          </cell>
        </row>
        <row r="65">
          <cell r="A65">
            <v>1053616911</v>
          </cell>
          <cell r="B65" t="str">
            <v>CC</v>
          </cell>
          <cell r="C65">
            <v>1053616911</v>
          </cell>
          <cell r="D65">
            <v>3</v>
          </cell>
          <cell r="E65" t="str">
            <v>MONTAÑA MORA SNEIDER</v>
          </cell>
          <cell r="F65" t="str">
            <v>CR 23A 22 35</v>
          </cell>
          <cell r="G65">
            <v>3104595077</v>
          </cell>
          <cell r="H65" t="str">
            <v>stihlintegralcompany@gmail.com</v>
          </cell>
          <cell r="I65" t="str">
            <v>15516</v>
          </cell>
          <cell r="J65" t="str">
            <v>PAIPA</v>
          </cell>
        </row>
        <row r="66">
          <cell r="A66">
            <v>1055315334</v>
          </cell>
          <cell r="B66" t="str">
            <v>CC</v>
          </cell>
          <cell r="C66">
            <v>1055315334</v>
          </cell>
          <cell r="D66">
            <v>9</v>
          </cell>
          <cell r="E66" t="str">
            <v>ACOSTA RUEDA NELSON JAVIER</v>
          </cell>
          <cell r="F66" t="str">
            <v>TV 24 29 05 BRR LANCEROS</v>
          </cell>
          <cell r="H66" t="str">
            <v>NELACOSCSJ@GMAIL.COM</v>
          </cell>
          <cell r="I66" t="str">
            <v>15516</v>
          </cell>
          <cell r="J66" t="str">
            <v>PAIPA</v>
          </cell>
        </row>
        <row r="67">
          <cell r="A67">
            <v>1057579536</v>
          </cell>
          <cell r="B67" t="str">
            <v>CC</v>
          </cell>
          <cell r="C67">
            <v>1057579536</v>
          </cell>
          <cell r="D67">
            <v>1</v>
          </cell>
          <cell r="E67" t="str">
            <v>MARTINEZ AGUDELO ADRIANA CATALINA</v>
          </cell>
          <cell r="F67" t="str">
            <v>CR 12 10-59</v>
          </cell>
          <cell r="G67">
            <v>3203165848</v>
          </cell>
          <cell r="H67" t="str">
            <v>notificaciones@contapyme.com</v>
          </cell>
          <cell r="I67">
            <v>11001</v>
          </cell>
          <cell r="J67" t="str">
            <v>BOGOTA D.C.</v>
          </cell>
        </row>
        <row r="68">
          <cell r="A68">
            <v>1057583012</v>
          </cell>
          <cell r="B68" t="str">
            <v>CC</v>
          </cell>
          <cell r="C68">
            <v>1057583012</v>
          </cell>
          <cell r="D68">
            <v>8</v>
          </cell>
          <cell r="E68" t="str">
            <v>RIAÑO SANCHEZ JEFFERSON LEONARDO</v>
          </cell>
          <cell r="F68" t="str">
            <v>CALLE 5A # 18-46</v>
          </cell>
          <cell r="H68" t="str">
            <v>yeye_9001@hotmail.com</v>
          </cell>
          <cell r="I68" t="str">
            <v>15516</v>
          </cell>
          <cell r="J68" t="str">
            <v>PAIPA</v>
          </cell>
        </row>
        <row r="69">
          <cell r="A69">
            <v>1057586265</v>
          </cell>
          <cell r="B69" t="str">
            <v>CC</v>
          </cell>
          <cell r="C69">
            <v>1057586265</v>
          </cell>
          <cell r="D69">
            <v>8</v>
          </cell>
          <cell r="E69" t="str">
            <v>LOZADA CHAPARRO NORIDA LISSETH</v>
          </cell>
          <cell r="F69" t="str">
            <v>CR 9 15 74</v>
          </cell>
          <cell r="G69">
            <v>3138491141</v>
          </cell>
          <cell r="H69" t="str">
            <v>facturacioncasadelquesoduitama@yahoo.com</v>
          </cell>
          <cell r="I69">
            <v>15041</v>
          </cell>
          <cell r="J69" t="str">
            <v>DUITAMA</v>
          </cell>
        </row>
        <row r="70">
          <cell r="A70">
            <v>1057588553</v>
          </cell>
          <cell r="B70" t="str">
            <v>CC</v>
          </cell>
          <cell r="C70">
            <v>1057588553</v>
          </cell>
          <cell r="D70">
            <v>3</v>
          </cell>
          <cell r="E70" t="str">
            <v>MENDIVELSO ACOSTA FABIAN AGUSTIN</v>
          </cell>
          <cell r="F70" t="str">
            <v>CR 11 7A 160</v>
          </cell>
          <cell r="G70">
            <v>3212675836</v>
          </cell>
          <cell r="H70" t="str">
            <v>claudiaruiz_951@gmail.com</v>
          </cell>
          <cell r="I70">
            <v>15759</v>
          </cell>
          <cell r="J70" t="str">
            <v>SOGAMOSO</v>
          </cell>
        </row>
        <row r="71">
          <cell r="A71">
            <v>1070987608</v>
          </cell>
          <cell r="B71" t="str">
            <v>CC</v>
          </cell>
          <cell r="C71">
            <v>1070987608</v>
          </cell>
          <cell r="D71">
            <v>9</v>
          </cell>
          <cell r="E71" t="str">
            <v>RIVERA MOYANO BRAYAN</v>
          </cell>
          <cell r="F71" t="str">
            <v>Cr 1 # 6 -80</v>
          </cell>
          <cell r="G71">
            <v>3138948981</v>
          </cell>
          <cell r="H71" t="str">
            <v>brayan.rivera.mayana@hotmail.com</v>
          </cell>
          <cell r="I71">
            <v>25430</v>
          </cell>
          <cell r="J71" t="str">
            <v>MADRID</v>
          </cell>
        </row>
        <row r="72">
          <cell r="A72">
            <v>1074418462</v>
          </cell>
          <cell r="B72" t="str">
            <v>RT</v>
          </cell>
          <cell r="C72">
            <v>1074418462</v>
          </cell>
          <cell r="D72">
            <v>5</v>
          </cell>
          <cell r="E72" t="str">
            <v>DIAZ MARTIN JUAN SEBASTIAN</v>
          </cell>
          <cell r="F72" t="str">
            <v>CARRERA 19 # 12a-07</v>
          </cell>
          <cell r="H72" t="str">
            <v>surtigriferss@gmail.com</v>
          </cell>
          <cell r="I72">
            <v>15238</v>
          </cell>
          <cell r="J72" t="str">
            <v>DUITAMA</v>
          </cell>
        </row>
        <row r="73">
          <cell r="A73">
            <v>1094274757</v>
          </cell>
          <cell r="B73" t="str">
            <v>CC</v>
          </cell>
          <cell r="C73">
            <v>1094274757</v>
          </cell>
          <cell r="D73">
            <v>5</v>
          </cell>
          <cell r="E73" t="str">
            <v>MEGA EXITAZO 1000 2000 Y 3000 #3</v>
          </cell>
          <cell r="F73" t="str">
            <v>MEGA EXITAZO 1000 2000 Y 3000 #3</v>
          </cell>
          <cell r="G73">
            <v>3017903858</v>
          </cell>
          <cell r="H73" t="str">
            <v>claudiamilenapaipa@gmail.com</v>
          </cell>
          <cell r="I73" t="str">
            <v>15516</v>
          </cell>
          <cell r="J73" t="str">
            <v>PAIPA</v>
          </cell>
        </row>
        <row r="74">
          <cell r="A74">
            <v>1096644484</v>
          </cell>
          <cell r="B74" t="str">
            <v>CC</v>
          </cell>
          <cell r="C74">
            <v>1096644484</v>
          </cell>
          <cell r="D74">
            <v>5</v>
          </cell>
          <cell r="E74" t="str">
            <v>BELTRAN VELEZ DEYESMITH</v>
          </cell>
          <cell r="F74" t="str">
            <v>SPMZ 19 MZ 10 CS 8 AP 201</v>
          </cell>
          <cell r="H74" t="str">
            <v>velezdey2012@hotmail.com</v>
          </cell>
          <cell r="I74">
            <v>50001</v>
          </cell>
          <cell r="J74" t="str">
            <v>VILLAVICENCIO</v>
          </cell>
        </row>
        <row r="75">
          <cell r="A75">
            <v>1098816151</v>
          </cell>
          <cell r="B75" t="str">
            <v>CC</v>
          </cell>
          <cell r="C75">
            <v>1098816151</v>
          </cell>
          <cell r="D75">
            <v>4</v>
          </cell>
          <cell r="E75" t="str">
            <v>VARGAS FONSECA NICOLAS FELIPE</v>
          </cell>
          <cell r="F75" t="str">
            <v>CALLE 22 # 22-57</v>
          </cell>
          <cell r="H75" t="str">
            <v>TEJADA@GMAIL.COM</v>
          </cell>
          <cell r="I75" t="str">
            <v>15516</v>
          </cell>
          <cell r="J75" t="str">
            <v>PAIPA</v>
          </cell>
        </row>
        <row r="76">
          <cell r="A76">
            <v>1100963457</v>
          </cell>
          <cell r="B76" t="str">
            <v>CC</v>
          </cell>
          <cell r="C76">
            <v>1100963457</v>
          </cell>
          <cell r="D76">
            <v>8</v>
          </cell>
          <cell r="E76" t="str">
            <v>MEZA EMMA</v>
          </cell>
          <cell r="F76" t="str">
            <v>calle 10 #80F-40</v>
          </cell>
          <cell r="H76" t="str">
            <v>ing.emmamezam@gmail.com</v>
          </cell>
          <cell r="I76">
            <v>11001</v>
          </cell>
          <cell r="J76" t="str">
            <v>BOGOTA D.C.</v>
          </cell>
        </row>
        <row r="77">
          <cell r="A77">
            <v>1110447987</v>
          </cell>
          <cell r="B77" t="str">
            <v>CC</v>
          </cell>
          <cell r="C77">
            <v>1110447987</v>
          </cell>
          <cell r="D77">
            <v>3</v>
          </cell>
          <cell r="E77" t="str">
            <v>CACERES JUAN FELIPE</v>
          </cell>
          <cell r="F77" t="str">
            <v>calle 161 #54-10</v>
          </cell>
          <cell r="H77" t="str">
            <v>Juancacerego@gmail.com</v>
          </cell>
          <cell r="I77">
            <v>11001</v>
          </cell>
          <cell r="J77" t="str">
            <v>BOGOTA D.C.</v>
          </cell>
        </row>
        <row r="78">
          <cell r="A78">
            <v>1114028</v>
          </cell>
          <cell r="B78" t="str">
            <v>CC</v>
          </cell>
          <cell r="C78">
            <v>1114028</v>
          </cell>
          <cell r="D78">
            <v>1</v>
          </cell>
          <cell r="E78" t="str">
            <v>PEREZ GONZALEZ JAIRO RAMIRO</v>
          </cell>
          <cell r="F78" t="str">
            <v>CARRERA 14 NRO 9 A 05 BRR SANTA INES</v>
          </cell>
          <cell r="G78">
            <v>6087744859</v>
          </cell>
          <cell r="H78" t="str">
            <v>reparamundo@gmail.com</v>
          </cell>
          <cell r="I78">
            <v>15759</v>
          </cell>
          <cell r="J78" t="str">
            <v>SOGAMOSO</v>
          </cell>
        </row>
        <row r="79">
          <cell r="A79">
            <v>1118541832</v>
          </cell>
          <cell r="B79" t="str">
            <v>CC</v>
          </cell>
          <cell r="C79">
            <v>1118541832</v>
          </cell>
          <cell r="D79">
            <v>1</v>
          </cell>
          <cell r="E79" t="str">
            <v>CRUZ CASTRO MONICA</v>
          </cell>
          <cell r="F79" t="str">
            <v>Cra. 20 #23-83</v>
          </cell>
          <cell r="G79">
            <v>3166022987</v>
          </cell>
          <cell r="H79" t="str">
            <v>monifer-89@hotmail.com</v>
          </cell>
          <cell r="I79" t="str">
            <v>15516</v>
          </cell>
          <cell r="J79" t="str">
            <v>PAIPA</v>
          </cell>
        </row>
        <row r="80">
          <cell r="A80">
            <v>1118573057</v>
          </cell>
          <cell r="B80" t="str">
            <v>CC</v>
          </cell>
          <cell r="C80">
            <v>1118573057</v>
          </cell>
          <cell r="D80">
            <v>7</v>
          </cell>
          <cell r="E80" t="str">
            <v>PEDRAZA RODRIGUEZ ANGIE CAROLINA</v>
          </cell>
          <cell r="F80" t="str">
            <v>calle 23 # 19-52 local</v>
          </cell>
          <cell r="H80" t="str">
            <v>papeleriacervantes@gmail.com</v>
          </cell>
          <cell r="I80" t="str">
            <v>15516</v>
          </cell>
          <cell r="J80" t="str">
            <v>PAIPA</v>
          </cell>
        </row>
        <row r="81">
          <cell r="A81">
            <v>1121818212</v>
          </cell>
          <cell r="B81" t="str">
            <v>CC</v>
          </cell>
          <cell r="C81">
            <v>1121818212</v>
          </cell>
          <cell r="D81">
            <v>7</v>
          </cell>
          <cell r="E81" t="str">
            <v>CABRERA DAZA DIANA CAROLINA</v>
          </cell>
          <cell r="F81" t="str">
            <v>KRA 22 # 8c -132 via puerto lopez</v>
          </cell>
          <cell r="H81" t="str">
            <v>FACTURACIONCYCDISTRIBUCIONES@GMAIL.COM</v>
          </cell>
          <cell r="I81">
            <v>50001</v>
          </cell>
          <cell r="J81" t="str">
            <v>VILLAVICENCIO</v>
          </cell>
        </row>
        <row r="82">
          <cell r="A82">
            <v>1121854572</v>
          </cell>
          <cell r="B82" t="str">
            <v>RT</v>
          </cell>
          <cell r="C82">
            <v>1121854572</v>
          </cell>
          <cell r="D82">
            <v>6</v>
          </cell>
          <cell r="E82" t="str">
            <v>AGUILAR GIL LAURA SOFIA MARGARITA</v>
          </cell>
          <cell r="F82" t="str">
            <v>cc unico local 205</v>
          </cell>
          <cell r="H82" t="str">
            <v>lausofgil@hotmail.com</v>
          </cell>
          <cell r="I82">
            <v>50001</v>
          </cell>
          <cell r="J82" t="str">
            <v>VILLAVICENCIO</v>
          </cell>
        </row>
        <row r="83">
          <cell r="A83">
            <v>1121879725</v>
          </cell>
          <cell r="B83" t="str">
            <v>CC</v>
          </cell>
          <cell r="C83">
            <v>1121879725</v>
          </cell>
          <cell r="D83">
            <v>4</v>
          </cell>
          <cell r="E83" t="str">
            <v>BELTRAN ORLANDO</v>
          </cell>
          <cell r="F83" t="str">
            <v>carrera 43 18 13</v>
          </cell>
          <cell r="H83" t="str">
            <v>orlandocholaos66@gmail.com</v>
          </cell>
          <cell r="I83">
            <v>50001</v>
          </cell>
          <cell r="J83" t="str">
            <v>VILLAVICENCIO</v>
          </cell>
        </row>
        <row r="84">
          <cell r="A84">
            <v>1121901553</v>
          </cell>
          <cell r="B84" t="str">
            <v>CC</v>
          </cell>
          <cell r="C84">
            <v>1121901553</v>
          </cell>
          <cell r="D84">
            <v>8</v>
          </cell>
          <cell r="E84" t="str">
            <v>CASTRO VARGAS JULIO CESAR</v>
          </cell>
          <cell r="F84" t="str">
            <v>CRA 30 # 22A-08</v>
          </cell>
          <cell r="H84" t="str">
            <v>jc.castro148@hotmail.com</v>
          </cell>
          <cell r="I84">
            <v>11001</v>
          </cell>
          <cell r="J84" t="str">
            <v>BOGOTA D.C.</v>
          </cell>
        </row>
        <row r="85">
          <cell r="A85">
            <v>1121933862</v>
          </cell>
          <cell r="B85" t="str">
            <v>RT</v>
          </cell>
          <cell r="C85">
            <v>1121933862</v>
          </cell>
          <cell r="D85">
            <v>6</v>
          </cell>
          <cell r="E85" t="str">
            <v>LOZANO LOZANO ESTEFANIA</v>
          </cell>
          <cell r="F85" t="str">
            <v>calle 19 # 41 a 39 este</v>
          </cell>
          <cell r="H85" t="str">
            <v>stefanial2ian@gmail.com</v>
          </cell>
          <cell r="I85">
            <v>50001</v>
          </cell>
          <cell r="J85" t="str">
            <v>VILLAVICENCIO</v>
          </cell>
        </row>
        <row r="86">
          <cell r="A86">
            <v>1121948378</v>
          </cell>
          <cell r="B86" t="str">
            <v>CC</v>
          </cell>
          <cell r="C86">
            <v>1121948378</v>
          </cell>
          <cell r="D86">
            <v>8</v>
          </cell>
          <cell r="E86" t="str">
            <v>CARVAJAL DAVID</v>
          </cell>
          <cell r="F86" t="str">
            <v>CHOLAOS CAUDAL VILLAVICENCIO</v>
          </cell>
          <cell r="H86" t="str">
            <v>cholaos@gmail.com</v>
          </cell>
          <cell r="I86">
            <v>50001</v>
          </cell>
          <cell r="J86" t="str">
            <v>VILLAVICENCIO</v>
          </cell>
        </row>
        <row r="87">
          <cell r="A87">
            <v>1122136436</v>
          </cell>
          <cell r="B87" t="str">
            <v>RT</v>
          </cell>
          <cell r="C87">
            <v>1122136436</v>
          </cell>
          <cell r="D87">
            <v>6</v>
          </cell>
          <cell r="E87" t="str">
            <v>LADINO SERRANO BRYAN ARTURO</v>
          </cell>
          <cell r="F87" t="str">
            <v>calle 2 b 32 56 la coralina</v>
          </cell>
          <cell r="H87" t="str">
            <v>arqbryanladino.94@gmail.com</v>
          </cell>
          <cell r="I87">
            <v>50001</v>
          </cell>
          <cell r="J87" t="str">
            <v>VILLAVICENCIO</v>
          </cell>
        </row>
        <row r="88">
          <cell r="A88">
            <v>1123434541</v>
          </cell>
          <cell r="B88" t="str">
            <v>CC</v>
          </cell>
          <cell r="C88">
            <v>1123434541</v>
          </cell>
          <cell r="D88">
            <v>3</v>
          </cell>
          <cell r="E88" t="str">
            <v>GALLEGO FRANCO ANGIE HASBLEIDY</v>
          </cell>
          <cell r="F88" t="str">
            <v>CL 22 34 54</v>
          </cell>
          <cell r="H88" t="str">
            <v>ANGIE@GMAIL.COM</v>
          </cell>
          <cell r="I88">
            <v>50001</v>
          </cell>
          <cell r="J88" t="str">
            <v>VILLAVICENCIO</v>
          </cell>
        </row>
        <row r="89">
          <cell r="A89">
            <v>11257666464</v>
          </cell>
          <cell r="B89" t="str">
            <v>CC</v>
          </cell>
          <cell r="C89">
            <v>11257666464</v>
          </cell>
          <cell r="D89">
            <v>3</v>
          </cell>
          <cell r="E89" t="str">
            <v>GUALDRON ACOSTA YEROL DUSTIN</v>
          </cell>
          <cell r="F89" t="str">
            <v>CALLE 43 # 38-56</v>
          </cell>
          <cell r="H89" t="str">
            <v>cog1943@hotmail.com</v>
          </cell>
          <cell r="I89">
            <v>11001</v>
          </cell>
          <cell r="J89" t="str">
            <v>BOGOTA D.C.</v>
          </cell>
        </row>
        <row r="90">
          <cell r="A90">
            <v>1126420981</v>
          </cell>
          <cell r="B90" t="str">
            <v>CC</v>
          </cell>
          <cell r="C90">
            <v>1126420981</v>
          </cell>
          <cell r="D90">
            <v>0</v>
          </cell>
          <cell r="E90" t="str">
            <v>CARDENAS SANCHEZ ALVARO JAVIER</v>
          </cell>
          <cell r="F90" t="str">
            <v>CR 23 23 35</v>
          </cell>
          <cell r="G90">
            <v>3209971006</v>
          </cell>
          <cell r="H90" t="str">
            <v>javiercardenaspublicidad@gmail.com</v>
          </cell>
          <cell r="I90">
            <v>15238</v>
          </cell>
          <cell r="J90" t="str">
            <v>DUITAMA</v>
          </cell>
        </row>
        <row r="91">
          <cell r="A91">
            <v>11427103</v>
          </cell>
          <cell r="B91" t="str">
            <v>RT</v>
          </cell>
          <cell r="C91">
            <v>11427103</v>
          </cell>
          <cell r="D91">
            <v>4</v>
          </cell>
          <cell r="E91" t="str">
            <v>RICO GRILLO JORGE</v>
          </cell>
          <cell r="F91" t="str">
            <v>CALLE 37 SUR # 78H-33</v>
          </cell>
          <cell r="G91">
            <v>7439672</v>
          </cell>
          <cell r="H91" t="str">
            <v>notaria68@gmail.com</v>
          </cell>
          <cell r="I91">
            <v>11001</v>
          </cell>
          <cell r="J91" t="str">
            <v>BOGOTA D.C.</v>
          </cell>
        </row>
        <row r="92">
          <cell r="A92">
            <v>1192807556</v>
          </cell>
          <cell r="B92" t="str">
            <v>RT</v>
          </cell>
          <cell r="C92">
            <v>1192807556</v>
          </cell>
          <cell r="D92">
            <v>6</v>
          </cell>
          <cell r="E92" t="str">
            <v>ALVARADO MENDOZA DIEGO FERNANDO</v>
          </cell>
          <cell r="F92" t="str">
            <v>CARRERA 19 # 23-92</v>
          </cell>
          <cell r="H92" t="str">
            <v>ventaselñgoloso@gmail.com</v>
          </cell>
          <cell r="I92" t="str">
            <v>15516</v>
          </cell>
          <cell r="J92" t="str">
            <v>PAIPA</v>
          </cell>
        </row>
        <row r="93">
          <cell r="A93">
            <v>12145336</v>
          </cell>
          <cell r="B93" t="str">
            <v>RT</v>
          </cell>
          <cell r="C93">
            <v>12145336</v>
          </cell>
          <cell r="D93">
            <v>6</v>
          </cell>
          <cell r="E93" t="str">
            <v>TOVAR DANNY FABIAN</v>
          </cell>
          <cell r="F93" t="str">
            <v>CR 19 15 47 B. CENTRO</v>
          </cell>
          <cell r="H93" t="str">
            <v>dotacionesextremo75@hotmail.com</v>
          </cell>
          <cell r="I93" t="str">
            <v>15516</v>
          </cell>
          <cell r="J93" t="str">
            <v>PAIPA</v>
          </cell>
        </row>
        <row r="94">
          <cell r="A94">
            <v>16123356</v>
          </cell>
          <cell r="B94" t="str">
            <v>CC</v>
          </cell>
          <cell r="C94">
            <v>16123356</v>
          </cell>
          <cell r="D94">
            <v>3</v>
          </cell>
          <cell r="E94" t="str">
            <v>GUZMAN PENILLA OSCAR</v>
          </cell>
          <cell r="F94" t="str">
            <v>condominio altos de rio casa 12</v>
          </cell>
          <cell r="H94" t="str">
            <v>oscarguzmanp@yahoo.com</v>
          </cell>
          <cell r="I94">
            <v>11001</v>
          </cell>
          <cell r="J94" t="str">
            <v>BOGOTA D.C.</v>
          </cell>
        </row>
        <row r="95">
          <cell r="A95">
            <v>17186093</v>
          </cell>
          <cell r="B95" t="str">
            <v>RT</v>
          </cell>
          <cell r="C95">
            <v>17186093</v>
          </cell>
          <cell r="D95">
            <v>5</v>
          </cell>
          <cell r="E95" t="str">
            <v>CASTRO GRANADOS ROBERTO</v>
          </cell>
          <cell r="F95" t="str">
            <v>calle 33 #v b34-69</v>
          </cell>
          <cell r="H95" t="str">
            <v>robertocastro803@gmail.com</v>
          </cell>
          <cell r="I95">
            <v>50001</v>
          </cell>
          <cell r="J95" t="str">
            <v>VILLAVICENCIO</v>
          </cell>
        </row>
        <row r="96">
          <cell r="A96">
            <v>17319802</v>
          </cell>
          <cell r="B96" t="str">
            <v>CC</v>
          </cell>
          <cell r="C96">
            <v>17319802</v>
          </cell>
          <cell r="D96">
            <v>3</v>
          </cell>
          <cell r="E96" t="str">
            <v>GOMEZ MILLER FERNANDO</v>
          </cell>
          <cell r="F96" t="str">
            <v>CR 40 # 3B -38</v>
          </cell>
          <cell r="H96" t="str">
            <v>gerencia@gammaips.com</v>
          </cell>
          <cell r="I96">
            <v>11001</v>
          </cell>
          <cell r="J96" t="str">
            <v>BOGOTA D.C.</v>
          </cell>
        </row>
        <row r="97">
          <cell r="A97">
            <v>17326705</v>
          </cell>
          <cell r="B97" t="str">
            <v>CC</v>
          </cell>
          <cell r="C97">
            <v>17326705</v>
          </cell>
          <cell r="D97">
            <v>6</v>
          </cell>
          <cell r="E97" t="str">
            <v>RINCON PEDRO LUIS</v>
          </cell>
          <cell r="F97" t="str">
            <v>CLL 40 # 27 -60</v>
          </cell>
          <cell r="H97" t="str">
            <v>PELURISA1@HOTMAIL.COM</v>
          </cell>
          <cell r="I97">
            <v>11001</v>
          </cell>
          <cell r="J97" t="str">
            <v>BOGOTA D.C.</v>
          </cell>
        </row>
        <row r="98">
          <cell r="A98">
            <v>17343874</v>
          </cell>
          <cell r="B98" t="str">
            <v>CC</v>
          </cell>
          <cell r="C98">
            <v>17343874</v>
          </cell>
          <cell r="D98">
            <v>4</v>
          </cell>
          <cell r="E98" t="str">
            <v>GUTIERREZ AVILA HELVER EMILIO</v>
          </cell>
          <cell r="F98" t="str">
            <v>cr 31 37 82 lc 24 76 85</v>
          </cell>
          <cell r="H98" t="str">
            <v>gerencia@compujes.com</v>
          </cell>
          <cell r="I98">
            <v>50001</v>
          </cell>
          <cell r="J98" t="str">
            <v>VILLAVICENCIO</v>
          </cell>
        </row>
        <row r="99">
          <cell r="A99">
            <v>17345079</v>
          </cell>
          <cell r="B99" t="str">
            <v>RT</v>
          </cell>
          <cell r="C99">
            <v>17345079</v>
          </cell>
          <cell r="D99">
            <v>4</v>
          </cell>
          <cell r="E99" t="str">
            <v>GOMEZ HUERTA CARLOS ARTURO</v>
          </cell>
          <cell r="F99" t="str">
            <v>CL 22 36 60 SAN BENITO</v>
          </cell>
          <cell r="H99" t="str">
            <v>depositoysuministroslarejilla@hotmail.com</v>
          </cell>
          <cell r="I99">
            <v>50001</v>
          </cell>
          <cell r="J99" t="str">
            <v>VILLAVICENCIO</v>
          </cell>
        </row>
        <row r="100">
          <cell r="A100">
            <v>19127103</v>
          </cell>
          <cell r="B100" t="str">
            <v>CC</v>
          </cell>
          <cell r="C100">
            <v>19127103</v>
          </cell>
          <cell r="D100">
            <v>6</v>
          </cell>
          <cell r="E100" t="str">
            <v>GARCIA BOTERO ALBERTO</v>
          </cell>
          <cell r="F100" t="str">
            <v>CLL 147 12 75</v>
          </cell>
          <cell r="G100">
            <v>3104147573</v>
          </cell>
          <cell r="H100" t="str">
            <v>algabo77@gmail.com</v>
          </cell>
          <cell r="I100">
            <v>11001</v>
          </cell>
          <cell r="J100" t="str">
            <v>BOGOTA D.C.</v>
          </cell>
        </row>
        <row r="101">
          <cell r="A101">
            <v>19158900</v>
          </cell>
          <cell r="B101" t="str">
            <v>CC</v>
          </cell>
          <cell r="C101">
            <v>19158900</v>
          </cell>
          <cell r="D101">
            <v>2</v>
          </cell>
          <cell r="E101" t="str">
            <v>CORONADO PACHECO LUIS GUILLERMO</v>
          </cell>
          <cell r="F101" t="str">
            <v>CR 19 28 60</v>
          </cell>
          <cell r="G101">
            <v>3112177435</v>
          </cell>
          <cell r="H101" t="str">
            <v>luguicorpa@hotmail.com</v>
          </cell>
          <cell r="I101" t="str">
            <v>15516</v>
          </cell>
          <cell r="J101" t="str">
            <v>PAIPA</v>
          </cell>
        </row>
        <row r="102">
          <cell r="A102">
            <v>19287214</v>
          </cell>
          <cell r="B102" t="str">
            <v>RT</v>
          </cell>
          <cell r="C102">
            <v>19287214</v>
          </cell>
          <cell r="D102">
            <v>0</v>
          </cell>
          <cell r="E102" t="str">
            <v>MOTTA GARCIA JORGE DAVID</v>
          </cell>
          <cell r="F102" t="str">
            <v>CR 19 # 10A-53</v>
          </cell>
          <cell r="H102" t="str">
            <v>dotarya1213@gmail.com</v>
          </cell>
          <cell r="I102">
            <v>11001</v>
          </cell>
          <cell r="J102" t="str">
            <v>BOGOTA D.C.</v>
          </cell>
        </row>
        <row r="103">
          <cell r="A103">
            <v>19378204</v>
          </cell>
          <cell r="B103" t="str">
            <v>CC</v>
          </cell>
          <cell r="C103">
            <v>19378204</v>
          </cell>
          <cell r="D103">
            <v>8</v>
          </cell>
          <cell r="E103" t="str">
            <v>SARMIENTO ORLANDO</v>
          </cell>
          <cell r="F103" t="str">
            <v>cr 9 a #18 - 51</v>
          </cell>
          <cell r="H103" t="str">
            <v>gerencia.servilentes.com</v>
          </cell>
          <cell r="I103">
            <v>11001</v>
          </cell>
          <cell r="J103" t="str">
            <v>BOGOTA D.C.</v>
          </cell>
        </row>
        <row r="104">
          <cell r="A104">
            <v>19400113</v>
          </cell>
          <cell r="B104" t="str">
            <v>CC</v>
          </cell>
          <cell r="C104">
            <v>19400113</v>
          </cell>
          <cell r="D104">
            <v>1</v>
          </cell>
          <cell r="E104" t="str">
            <v>AGUILAR SOTO FERNANDO</v>
          </cell>
          <cell r="F104" t="str">
            <v>CLL 174 7 79</v>
          </cell>
          <cell r="G104">
            <v>3153615558</v>
          </cell>
          <cell r="H104" t="str">
            <v>faguilarso@gmail.com</v>
          </cell>
          <cell r="I104">
            <v>11001</v>
          </cell>
          <cell r="J104" t="str">
            <v>BOGOTA D.C.</v>
          </cell>
        </row>
        <row r="105">
          <cell r="A105">
            <v>19448952</v>
          </cell>
          <cell r="B105" t="str">
            <v>RT</v>
          </cell>
          <cell r="C105">
            <v>19448952</v>
          </cell>
          <cell r="D105">
            <v>1</v>
          </cell>
          <cell r="E105" t="str">
            <v>JAIMES HERREÑO JORGE HUMBERTO</v>
          </cell>
          <cell r="F105" t="str">
            <v>CALLE 17 # 17 - 25 B. centro</v>
          </cell>
          <cell r="G105">
            <v>7603623</v>
          </cell>
          <cell r="H105" t="str">
            <v>hto33jai@hotmail.com</v>
          </cell>
          <cell r="I105">
            <v>15238</v>
          </cell>
          <cell r="J105" t="str">
            <v>DUITAMA</v>
          </cell>
        </row>
        <row r="106">
          <cell r="A106">
            <v>20976522</v>
          </cell>
          <cell r="B106" t="str">
            <v>CC</v>
          </cell>
          <cell r="C106">
            <v>20976522</v>
          </cell>
          <cell r="D106">
            <v>4</v>
          </cell>
          <cell r="E106" t="str">
            <v>GUZMÁN GUZMAN GLORIA ESPERANZA</v>
          </cell>
          <cell r="F106" t="str">
            <v>Cr 6 3 44</v>
          </cell>
          <cell r="G106">
            <v>3166251126</v>
          </cell>
          <cell r="H106" t="str">
            <v>guzgloria4@gmail.com</v>
          </cell>
          <cell r="I106">
            <v>11001</v>
          </cell>
          <cell r="J106" t="str">
            <v>BOGOTA D.C.</v>
          </cell>
        </row>
        <row r="107">
          <cell r="A107">
            <v>23548689</v>
          </cell>
          <cell r="B107" t="str">
            <v>CC</v>
          </cell>
          <cell r="C107">
            <v>23548689</v>
          </cell>
          <cell r="D107">
            <v>0</v>
          </cell>
          <cell r="E107" t="str">
            <v>GOMEZ MARTHA EUGENIA</v>
          </cell>
          <cell r="F107" t="str">
            <v>crr 8 #12A-30</v>
          </cell>
          <cell r="H107" t="str">
            <v>mgomezjimenez10@gmail.com</v>
          </cell>
          <cell r="I107">
            <v>15041</v>
          </cell>
          <cell r="J107" t="str">
            <v>DUITAMA</v>
          </cell>
        </row>
        <row r="108">
          <cell r="A108">
            <v>23549757</v>
          </cell>
          <cell r="B108" t="str">
            <v>RT</v>
          </cell>
          <cell r="C108">
            <v>23549757</v>
          </cell>
          <cell r="D108">
            <v>8</v>
          </cell>
          <cell r="E108" t="str">
            <v>PACHECO LIGIA</v>
          </cell>
          <cell r="F108" t="str">
            <v>av libertadores 28-124</v>
          </cell>
          <cell r="H108" t="str">
            <v>pacheco1987@gmail.com</v>
          </cell>
          <cell r="I108" t="str">
            <v>15516</v>
          </cell>
          <cell r="J108" t="str">
            <v>PAIPA</v>
          </cell>
        </row>
        <row r="109">
          <cell r="A109">
            <v>23552349</v>
          </cell>
          <cell r="B109" t="str">
            <v>CC</v>
          </cell>
          <cell r="C109">
            <v>23552349</v>
          </cell>
          <cell r="D109">
            <v>7</v>
          </cell>
          <cell r="E109" t="str">
            <v>SANCHEZ PEÑA GLORIA ESPERANZA</v>
          </cell>
          <cell r="F109" t="str">
            <v>Cra. 23 #24-17</v>
          </cell>
          <cell r="G109">
            <v>312222222</v>
          </cell>
          <cell r="H109" t="str">
            <v>glores@gmail.com</v>
          </cell>
          <cell r="I109" t="str">
            <v>15516</v>
          </cell>
          <cell r="J109" t="str">
            <v>PAIPA</v>
          </cell>
        </row>
        <row r="110">
          <cell r="A110">
            <v>23810505</v>
          </cell>
          <cell r="B110" t="str">
            <v>CC</v>
          </cell>
          <cell r="C110">
            <v>23810505</v>
          </cell>
          <cell r="D110">
            <v>7</v>
          </cell>
          <cell r="E110" t="str">
            <v>ARIAS SANABRIA SARA EMILSEN</v>
          </cell>
          <cell r="F110" t="str">
            <v>calle 18 14 72</v>
          </cell>
          <cell r="H110" t="str">
            <v>saraariasanabria@gmail.com</v>
          </cell>
          <cell r="I110">
            <v>15238</v>
          </cell>
          <cell r="J110" t="str">
            <v>DUITAMA</v>
          </cell>
        </row>
        <row r="111">
          <cell r="A111">
            <v>23855363</v>
          </cell>
          <cell r="B111" t="str">
            <v>RT</v>
          </cell>
          <cell r="C111">
            <v>23855363</v>
          </cell>
          <cell r="D111">
            <v>1</v>
          </cell>
          <cell r="E111" t="str">
            <v>MARTINEZ NIÑO MIRYAM STELLA</v>
          </cell>
          <cell r="F111" t="str">
            <v>diagonal itp 500 via caños</v>
          </cell>
          <cell r="H111" t="str">
            <v>sancayetanostella@gmail.com</v>
          </cell>
          <cell r="I111">
            <v>50001</v>
          </cell>
          <cell r="J111" t="str">
            <v>VILLAVICENCIO</v>
          </cell>
        </row>
        <row r="112">
          <cell r="A112">
            <v>23856708</v>
          </cell>
          <cell r="B112" t="str">
            <v>RT</v>
          </cell>
          <cell r="C112">
            <v>23856708</v>
          </cell>
          <cell r="D112">
            <v>3</v>
          </cell>
          <cell r="E112" t="str">
            <v>ALMACEN SURTI HOGAR</v>
          </cell>
          <cell r="F112" t="str">
            <v>carrera 21 # 23-31 centro</v>
          </cell>
          <cell r="G112">
            <v>7851156</v>
          </cell>
          <cell r="H112" t="str">
            <v>surtihogarpaipaboya@hotmail.mail.com</v>
          </cell>
          <cell r="I112">
            <v>15104</v>
          </cell>
          <cell r="J112" t="str">
            <v>BOYACA</v>
          </cell>
        </row>
        <row r="113">
          <cell r="A113">
            <v>23856726</v>
          </cell>
          <cell r="B113" t="str">
            <v>RT</v>
          </cell>
          <cell r="C113">
            <v>23856726</v>
          </cell>
          <cell r="D113">
            <v>6</v>
          </cell>
          <cell r="E113" t="str">
            <v>SORACA MARIA DEL CARMEN</v>
          </cell>
          <cell r="F113" t="str">
            <v>centro de paipa</v>
          </cell>
          <cell r="H113" t="str">
            <v>lagranparadaventas@hotmail.com</v>
          </cell>
          <cell r="I113" t="str">
            <v>15516</v>
          </cell>
          <cell r="J113" t="str">
            <v>PAIPA</v>
          </cell>
        </row>
        <row r="114">
          <cell r="A114">
            <v>23856787</v>
          </cell>
          <cell r="B114" t="str">
            <v>RT</v>
          </cell>
          <cell r="C114">
            <v>23856787</v>
          </cell>
          <cell r="D114">
            <v>5</v>
          </cell>
          <cell r="E114" t="str">
            <v>FONSECA LAGOS INES</v>
          </cell>
          <cell r="F114" t="str">
            <v>cl 25 17 113 b.las quintas</v>
          </cell>
          <cell r="H114" t="str">
            <v>foncecalagos1981@gmail.com</v>
          </cell>
          <cell r="I114" t="str">
            <v>15516</v>
          </cell>
          <cell r="J114" t="str">
            <v>PAIPA</v>
          </cell>
        </row>
        <row r="115">
          <cell r="A115">
            <v>23857113</v>
          </cell>
          <cell r="B115" t="str">
            <v>CC</v>
          </cell>
          <cell r="C115">
            <v>23857113</v>
          </cell>
          <cell r="D115">
            <v>6</v>
          </cell>
          <cell r="E115" t="str">
            <v>BOLIVAR HUERTAS ROSA ELENA</v>
          </cell>
          <cell r="F115" t="str">
            <v>CL 27 21A 05</v>
          </cell>
          <cell r="G115">
            <v>3142554523</v>
          </cell>
          <cell r="H115" t="str">
            <v>lavanderiasantamartapaipa@gmail.com</v>
          </cell>
          <cell r="I115" t="str">
            <v>15516</v>
          </cell>
          <cell r="J115" t="str">
            <v>PAIPA</v>
          </cell>
        </row>
        <row r="116">
          <cell r="A116">
            <v>23857672</v>
          </cell>
          <cell r="B116" t="str">
            <v>CC</v>
          </cell>
          <cell r="C116">
            <v>23857672</v>
          </cell>
          <cell r="D116">
            <v>1</v>
          </cell>
          <cell r="E116" t="str">
            <v>CAMACHO BAUTISTA JULIA INES</v>
          </cell>
          <cell r="F116" t="str">
            <v>carrera 19 # 25-62</v>
          </cell>
          <cell r="G116">
            <v>3224853901</v>
          </cell>
          <cell r="H116" t="str">
            <v>papeleria.lukis@gmail.com</v>
          </cell>
          <cell r="I116" t="str">
            <v>15516</v>
          </cell>
          <cell r="J116" t="str">
            <v>PAIPA</v>
          </cell>
        </row>
        <row r="117">
          <cell r="A117">
            <v>23857703</v>
          </cell>
          <cell r="B117" t="str">
            <v>CC</v>
          </cell>
          <cell r="C117">
            <v>23857703</v>
          </cell>
          <cell r="D117">
            <v>1</v>
          </cell>
          <cell r="E117" t="str">
            <v>ROJAS BARRERA MARIA CRISTINA</v>
          </cell>
          <cell r="F117" t="str">
            <v>CR 19 25 49</v>
          </cell>
          <cell r="G117">
            <v>3208350821</v>
          </cell>
          <cell r="H117" t="str">
            <v>krismoda2014@gmail.com</v>
          </cell>
          <cell r="I117" t="str">
            <v>15516</v>
          </cell>
          <cell r="J117" t="str">
            <v>PAIPA</v>
          </cell>
        </row>
        <row r="118">
          <cell r="A118">
            <v>23913485</v>
          </cell>
          <cell r="B118" t="str">
            <v>RT</v>
          </cell>
          <cell r="C118">
            <v>23913485</v>
          </cell>
          <cell r="D118">
            <v>0</v>
          </cell>
          <cell r="E118" t="str">
            <v>GALLO PEREZ MARLEI</v>
          </cell>
          <cell r="F118" t="str">
            <v>carrera 19 #  25-55</v>
          </cell>
          <cell r="H118" t="str">
            <v>solucionescontables812@gmail.com</v>
          </cell>
          <cell r="I118" t="str">
            <v>15516</v>
          </cell>
          <cell r="J118" t="str">
            <v>PAIPA</v>
          </cell>
        </row>
        <row r="119">
          <cell r="A119">
            <v>24047992</v>
          </cell>
          <cell r="B119" t="str">
            <v>RT</v>
          </cell>
          <cell r="C119">
            <v>24047992</v>
          </cell>
          <cell r="D119">
            <v>1</v>
          </cell>
          <cell r="E119" t="str">
            <v>GARCIA GUARIN ROSALBA</v>
          </cell>
          <cell r="F119" t="str">
            <v>calle 25 # 17-96</v>
          </cell>
          <cell r="H119" t="str">
            <v>minimarkesjosepaipa@gmail.com</v>
          </cell>
          <cell r="I119" t="str">
            <v>15516</v>
          </cell>
          <cell r="J119" t="str">
            <v>PAIPA</v>
          </cell>
        </row>
        <row r="120">
          <cell r="A120">
            <v>30273</v>
          </cell>
          <cell r="B120" t="str">
            <v>CC</v>
          </cell>
          <cell r="C120">
            <v>30273</v>
          </cell>
          <cell r="D120">
            <v>2</v>
          </cell>
          <cell r="E120" t="str">
            <v>VALBUENA DIAZ LUIS EDUARDO</v>
          </cell>
          <cell r="F120" t="str">
            <v>CRA 33 3221</v>
          </cell>
          <cell r="H120" t="str">
            <v>edsvoragine@gmail.com</v>
          </cell>
          <cell r="I120">
            <v>50001</v>
          </cell>
          <cell r="J120" t="str">
            <v>VILLAVICENCIO</v>
          </cell>
        </row>
        <row r="121">
          <cell r="A121">
            <v>31437237</v>
          </cell>
          <cell r="B121" t="str">
            <v>CC</v>
          </cell>
          <cell r="C121">
            <v>31437237</v>
          </cell>
          <cell r="D121">
            <v>8</v>
          </cell>
          <cell r="E121" t="str">
            <v>RODAS CASTAÑO YENSY CAROLINA</v>
          </cell>
          <cell r="F121" t="str">
            <v>CLL 27 44 B 30 CC BUQUE</v>
          </cell>
          <cell r="H121" t="str">
            <v>YENSY@GMAIL.COM</v>
          </cell>
          <cell r="I121">
            <v>50001</v>
          </cell>
          <cell r="J121" t="str">
            <v>VILLAVICENCIO</v>
          </cell>
        </row>
        <row r="122">
          <cell r="A122">
            <v>31577019</v>
          </cell>
          <cell r="B122" t="str">
            <v>CC</v>
          </cell>
          <cell r="C122">
            <v>31577019</v>
          </cell>
          <cell r="D122">
            <v>9</v>
          </cell>
          <cell r="E122" t="str">
            <v>MORA GIOVANNA</v>
          </cell>
          <cell r="F122" t="str">
            <v>CR 70B # 122-70</v>
          </cell>
          <cell r="H122" t="str">
            <v>giovamb2014@gmail.com</v>
          </cell>
          <cell r="I122">
            <v>11001</v>
          </cell>
          <cell r="J122" t="str">
            <v>BOGOTA D.C.</v>
          </cell>
        </row>
        <row r="123">
          <cell r="A123">
            <v>3275506</v>
          </cell>
          <cell r="B123" t="str">
            <v>RT</v>
          </cell>
          <cell r="C123">
            <v>3275506</v>
          </cell>
          <cell r="D123">
            <v>6</v>
          </cell>
          <cell r="E123" t="str">
            <v>ROJAS QUIMBAYO BERTULFO</v>
          </cell>
          <cell r="H123" t="str">
            <v>bertulfo.rojasquimbayo@gmail.com</v>
          </cell>
          <cell r="I123">
            <v>50001</v>
          </cell>
          <cell r="J123" t="str">
            <v>VILLAVICENCIO</v>
          </cell>
        </row>
        <row r="124">
          <cell r="A124">
            <v>33367746</v>
          </cell>
          <cell r="B124" t="str">
            <v>CC</v>
          </cell>
          <cell r="C124">
            <v>33367746</v>
          </cell>
          <cell r="D124">
            <v>1</v>
          </cell>
          <cell r="E124" t="str">
            <v>MENDOZA GARCIA LEYDY DAYANA</v>
          </cell>
          <cell r="F124" t="str">
            <v>CL 9 20 46 BRR CANDIDO QUINTERO</v>
          </cell>
          <cell r="G124">
            <v>3102305064</v>
          </cell>
          <cell r="H124" t="str">
            <v>ledame82@gmail.com</v>
          </cell>
          <cell r="I124">
            <v>15041</v>
          </cell>
          <cell r="J124" t="str">
            <v>DUITAMA</v>
          </cell>
        </row>
        <row r="125">
          <cell r="A125">
            <v>33378218</v>
          </cell>
          <cell r="B125" t="str">
            <v>CC</v>
          </cell>
          <cell r="C125">
            <v>33378218</v>
          </cell>
          <cell r="D125">
            <v>1</v>
          </cell>
          <cell r="E125" t="str">
            <v>SANCHEZ CUESTA JOHANNA LEONELA</v>
          </cell>
          <cell r="F125" t="str">
            <v>CARRERA 19 15-15</v>
          </cell>
          <cell r="G125">
            <v>3202007302</v>
          </cell>
          <cell r="H125" t="str">
            <v>proyseg@hotmail.com</v>
          </cell>
          <cell r="I125">
            <v>15041</v>
          </cell>
          <cell r="J125" t="str">
            <v>DUITAMA</v>
          </cell>
        </row>
        <row r="126">
          <cell r="A126">
            <v>35198648</v>
          </cell>
          <cell r="B126" t="str">
            <v>RT</v>
          </cell>
          <cell r="C126">
            <v>35198648</v>
          </cell>
          <cell r="D126">
            <v>1</v>
          </cell>
          <cell r="E126" t="str">
            <v>AGUILAR GIL DIANAN CAROLINA</v>
          </cell>
          <cell r="F126" t="str">
            <v>CALLE 26 # 21-32</v>
          </cell>
          <cell r="H126" t="str">
            <v>elpalaciodelarosa@paipa.com</v>
          </cell>
          <cell r="I126" t="str">
            <v>15516</v>
          </cell>
          <cell r="J126" t="str">
            <v>PAIPA</v>
          </cell>
        </row>
        <row r="127">
          <cell r="A127">
            <v>35456177</v>
          </cell>
          <cell r="B127" t="str">
            <v>CC</v>
          </cell>
          <cell r="C127">
            <v>35456177</v>
          </cell>
          <cell r="D127">
            <v>1</v>
          </cell>
          <cell r="E127" t="str">
            <v>VERGARA ANA MARIA</v>
          </cell>
          <cell r="F127" t="str">
            <v>CR 77 # 128A - 58</v>
          </cell>
          <cell r="H127" t="str">
            <v>am.bogota.21@gmail.com</v>
          </cell>
          <cell r="I127">
            <v>11001</v>
          </cell>
          <cell r="J127" t="str">
            <v>BOGOTA D.C.</v>
          </cell>
        </row>
        <row r="128">
          <cell r="A128">
            <v>35512277</v>
          </cell>
          <cell r="B128" t="str">
            <v>CC</v>
          </cell>
          <cell r="C128">
            <v>35512277</v>
          </cell>
          <cell r="D128">
            <v>8</v>
          </cell>
          <cell r="E128" t="str">
            <v>RAVELO CRISTIANO ANA IRMA</v>
          </cell>
          <cell r="F128" t="str">
            <v>CR 20 23 00</v>
          </cell>
          <cell r="G128">
            <v>3118931569</v>
          </cell>
          <cell r="H128" t="str">
            <v>criquet1@hotmail.com</v>
          </cell>
          <cell r="I128" t="str">
            <v>15516</v>
          </cell>
          <cell r="J128" t="str">
            <v>PAIPA</v>
          </cell>
        </row>
        <row r="129">
          <cell r="A129">
            <v>37398246</v>
          </cell>
          <cell r="B129" t="str">
            <v>CC</v>
          </cell>
          <cell r="C129">
            <v>37398246</v>
          </cell>
          <cell r="D129">
            <v>8</v>
          </cell>
          <cell r="E129" t="str">
            <v>CONTRERAS MONCADA EDDY ESMERALDA</v>
          </cell>
          <cell r="F129" t="str">
            <v>CARRERA 15#9A - 36</v>
          </cell>
          <cell r="G129">
            <v>3163416634</v>
          </cell>
          <cell r="H129" t="str">
            <v>lavadodetanquesdeaguapotable@gmail.com</v>
          </cell>
          <cell r="I129">
            <v>15041</v>
          </cell>
          <cell r="J129" t="str">
            <v>DUITAMA</v>
          </cell>
        </row>
        <row r="130">
          <cell r="A130">
            <v>38258526</v>
          </cell>
          <cell r="B130" t="str">
            <v>RT</v>
          </cell>
          <cell r="C130">
            <v>38258526</v>
          </cell>
          <cell r="D130">
            <v>9</v>
          </cell>
          <cell r="E130" t="str">
            <v>RICO NARVAEZ LUZ MARINA</v>
          </cell>
          <cell r="F130" t="str">
            <v>KILOMETRO 1 VIA A BOGOTA BARRIO NUEVA VIA</v>
          </cell>
          <cell r="G130">
            <v>6704444</v>
          </cell>
          <cell r="H130" t="str">
            <v>admonlibertadoresl@hotmail.com</v>
          </cell>
          <cell r="I130">
            <v>50001</v>
          </cell>
          <cell r="J130" t="str">
            <v>VILLAVICENCIO</v>
          </cell>
        </row>
        <row r="131">
          <cell r="A131">
            <v>39566182</v>
          </cell>
          <cell r="B131" t="str">
            <v>CC</v>
          </cell>
          <cell r="C131">
            <v>39566182</v>
          </cell>
          <cell r="D131">
            <v>3</v>
          </cell>
          <cell r="E131" t="str">
            <v>GOMEZ SANDRA</v>
          </cell>
          <cell r="F131" t="str">
            <v>cr 94 F # 86 a - 25</v>
          </cell>
          <cell r="H131" t="str">
            <v>gsandra00@hotmail.com</v>
          </cell>
          <cell r="I131">
            <v>11001</v>
          </cell>
          <cell r="J131" t="str">
            <v>BOGOTA D.C.</v>
          </cell>
        </row>
        <row r="132">
          <cell r="A132">
            <v>39674164</v>
          </cell>
          <cell r="B132" t="str">
            <v>CC</v>
          </cell>
          <cell r="C132">
            <v>39674164</v>
          </cell>
          <cell r="D132">
            <v>3</v>
          </cell>
          <cell r="E132" t="str">
            <v>JIMENEZ JAIME SANDRA MONICA</v>
          </cell>
          <cell r="F132" t="str">
            <v>KR 50 # 9 B - 20 LC</v>
          </cell>
          <cell r="G132">
            <v>3143683992</v>
          </cell>
          <cell r="H132" t="str">
            <v>smonikj@gmail.com</v>
          </cell>
          <cell r="I132">
            <v>11001</v>
          </cell>
          <cell r="J132" t="str">
            <v>BOGOTA D.C.</v>
          </cell>
        </row>
        <row r="133">
          <cell r="A133">
            <v>40018394</v>
          </cell>
          <cell r="B133" t="str">
            <v>CC</v>
          </cell>
          <cell r="C133">
            <v>40018394</v>
          </cell>
          <cell r="D133">
            <v>1</v>
          </cell>
          <cell r="E133" t="str">
            <v>ARCINIEGAS BARRAGAN MARLEN</v>
          </cell>
          <cell r="F133" t="str">
            <v>CR 10 28 33</v>
          </cell>
          <cell r="G133">
            <v>3124509745</v>
          </cell>
          <cell r="H133" t="str">
            <v>jacuzzisytinasgmail.com</v>
          </cell>
          <cell r="I133">
            <v>15001</v>
          </cell>
          <cell r="J133" t="str">
            <v>TUNJA</v>
          </cell>
        </row>
        <row r="134">
          <cell r="A134">
            <v>40018435</v>
          </cell>
          <cell r="B134" t="str">
            <v>CC</v>
          </cell>
          <cell r="C134">
            <v>40018435</v>
          </cell>
          <cell r="D134">
            <v>5</v>
          </cell>
          <cell r="E134" t="str">
            <v>CASTELLANOS MUNEVAR FLOR ALBA</v>
          </cell>
          <cell r="F134" t="str">
            <v>CL 19 13 -37</v>
          </cell>
          <cell r="G134">
            <v>3164904965</v>
          </cell>
          <cell r="H134" t="str">
            <v>mayoristala19@gmail.com</v>
          </cell>
          <cell r="I134">
            <v>15001</v>
          </cell>
          <cell r="J134" t="str">
            <v>TUNJA</v>
          </cell>
        </row>
        <row r="135">
          <cell r="A135">
            <v>40018916</v>
          </cell>
          <cell r="B135" t="str">
            <v>RT</v>
          </cell>
          <cell r="C135">
            <v>40018916</v>
          </cell>
          <cell r="D135">
            <v>6</v>
          </cell>
          <cell r="E135" t="str">
            <v>TORRES GAONA ANA MARIA</v>
          </cell>
          <cell r="F135" t="str">
            <v>CALLE 19 # 13-08</v>
          </cell>
          <cell r="H135" t="str">
            <v>asustoscontablesiamagia@gmail.com</v>
          </cell>
          <cell r="I135">
            <v>15001</v>
          </cell>
          <cell r="J135" t="str">
            <v>TUNJA</v>
          </cell>
        </row>
        <row r="136">
          <cell r="A136">
            <v>40027163</v>
          </cell>
          <cell r="B136" t="str">
            <v>RT</v>
          </cell>
          <cell r="C136">
            <v>40027163</v>
          </cell>
          <cell r="D136">
            <v>5</v>
          </cell>
          <cell r="E136" t="str">
            <v>HERNANDEZ MARIN NANCY ROSMERY</v>
          </cell>
          <cell r="F136" t="str">
            <v xml:space="preserve"> carrera 18 # 18-41</v>
          </cell>
          <cell r="G136">
            <v>7627133</v>
          </cell>
          <cell r="H136" t="str">
            <v>dotundama1989@gmail.com</v>
          </cell>
          <cell r="I136">
            <v>15041</v>
          </cell>
          <cell r="J136" t="str">
            <v>DUITAMA</v>
          </cell>
        </row>
        <row r="137">
          <cell r="A137">
            <v>40042095</v>
          </cell>
          <cell r="B137" t="str">
            <v>CC</v>
          </cell>
          <cell r="C137">
            <v>40042095</v>
          </cell>
          <cell r="D137">
            <v>5</v>
          </cell>
          <cell r="E137" t="str">
            <v>LOPEZ RAMIREZ LILIANA MARCELA</v>
          </cell>
          <cell r="F137" t="str">
            <v>CR 9 42 28 AP 401</v>
          </cell>
          <cell r="G137">
            <v>7403972</v>
          </cell>
          <cell r="H137" t="str">
            <v>LILYLO77@HOTMAIL.COM</v>
          </cell>
          <cell r="I137">
            <v>15001</v>
          </cell>
          <cell r="J137" t="str">
            <v>TUNJA</v>
          </cell>
        </row>
        <row r="138">
          <cell r="A138">
            <v>40045070</v>
          </cell>
          <cell r="B138" t="str">
            <v>CC</v>
          </cell>
          <cell r="C138">
            <v>40045070</v>
          </cell>
          <cell r="D138">
            <v>5</v>
          </cell>
          <cell r="E138" t="str">
            <v>HIGUERA MAYORGA ANA MARIA</v>
          </cell>
          <cell r="F138" t="str">
            <v>cr 17 23a 80</v>
          </cell>
          <cell r="G138">
            <v>3133308419</v>
          </cell>
          <cell r="H138" t="str">
            <v>anamahiguera1@gmail.com</v>
          </cell>
          <cell r="I138" t="str">
            <v>15516</v>
          </cell>
          <cell r="J138" t="str">
            <v>PAIPA</v>
          </cell>
        </row>
        <row r="139">
          <cell r="A139">
            <v>4046991</v>
          </cell>
          <cell r="B139" t="str">
            <v>CC</v>
          </cell>
          <cell r="C139">
            <v>4046991</v>
          </cell>
          <cell r="D139">
            <v>7</v>
          </cell>
          <cell r="E139" t="str">
            <v>AYALA SUESCA HECTOR ARMANDO</v>
          </cell>
          <cell r="F139" t="str">
            <v>calle 26 # 22-11</v>
          </cell>
          <cell r="H139" t="str">
            <v>floristeria@gmail.com</v>
          </cell>
          <cell r="I139" t="str">
            <v>15516</v>
          </cell>
          <cell r="J139" t="str">
            <v>PAIPA</v>
          </cell>
        </row>
        <row r="140">
          <cell r="A140">
            <v>4111915</v>
          </cell>
          <cell r="B140" t="str">
            <v>RT</v>
          </cell>
          <cell r="C140">
            <v>4111915</v>
          </cell>
          <cell r="D140">
            <v>5</v>
          </cell>
          <cell r="E140" t="str">
            <v>QUINTANA CAMARGO CARLOS E</v>
          </cell>
          <cell r="F140" t="str">
            <v>carrera 18 # 18-53</v>
          </cell>
          <cell r="G140">
            <v>3132475385</v>
          </cell>
          <cell r="H140" t="str">
            <v>facturaalmacenlucerito@gmail.com</v>
          </cell>
          <cell r="I140">
            <v>15238</v>
          </cell>
          <cell r="J140" t="str">
            <v>DUITAMA</v>
          </cell>
        </row>
        <row r="141">
          <cell r="A141">
            <v>4112286</v>
          </cell>
          <cell r="B141" t="str">
            <v>CC</v>
          </cell>
          <cell r="C141">
            <v>4112286</v>
          </cell>
          <cell r="D141">
            <v>5</v>
          </cell>
          <cell r="E141" t="str">
            <v>MEDINA PEDRO</v>
          </cell>
          <cell r="F141" t="str">
            <v>CARRERA 18 15 71</v>
          </cell>
          <cell r="H141" t="str">
            <v>pedromedina50@hotmail.com</v>
          </cell>
          <cell r="I141">
            <v>15238</v>
          </cell>
          <cell r="J141" t="str">
            <v>DUITAMA</v>
          </cell>
        </row>
        <row r="142">
          <cell r="A142">
            <v>4120386</v>
          </cell>
          <cell r="B142" t="str">
            <v>CC</v>
          </cell>
          <cell r="C142">
            <v>4120386</v>
          </cell>
          <cell r="D142">
            <v>7</v>
          </cell>
          <cell r="E142" t="str">
            <v>CHINOME CHINOME JOSE ANTONIO</v>
          </cell>
          <cell r="F142" t="str">
            <v>CR 19 16 04</v>
          </cell>
          <cell r="G142">
            <v>387601010</v>
          </cell>
          <cell r="H142" t="str">
            <v xml:space="preserve"> joseantoniochinome20@hotmail.com</v>
          </cell>
          <cell r="I142">
            <v>15041</v>
          </cell>
          <cell r="J142" t="str">
            <v>DUITAMA</v>
          </cell>
        </row>
        <row r="143">
          <cell r="A143">
            <v>4191297</v>
          </cell>
          <cell r="B143" t="str">
            <v>RT</v>
          </cell>
          <cell r="C143">
            <v>4191297</v>
          </cell>
          <cell r="D143">
            <v>3</v>
          </cell>
          <cell r="E143" t="str">
            <v>RIVERA TUTA JOSE OSVALDO</v>
          </cell>
          <cell r="F143" t="str">
            <v>AVENIDA LIBERTADORES 31A #70-72</v>
          </cell>
          <cell r="H143" t="str">
            <v>com.elrey@yahoo.es</v>
          </cell>
          <cell r="I143" t="str">
            <v>15516</v>
          </cell>
          <cell r="J143" t="str">
            <v>PAIPA</v>
          </cell>
        </row>
        <row r="144">
          <cell r="A144">
            <v>4192124</v>
          </cell>
          <cell r="B144" t="str">
            <v>RT</v>
          </cell>
          <cell r="C144">
            <v>4192124</v>
          </cell>
          <cell r="D144">
            <v>2</v>
          </cell>
          <cell r="E144" t="str">
            <v>BECERRA RICARDO ALVAREZ</v>
          </cell>
          <cell r="F144" t="str">
            <v>KM 3 VIA PAIPA TUNJA</v>
          </cell>
          <cell r="H144" t="str">
            <v>ricardoalvarezbecerraes@gmail.com</v>
          </cell>
          <cell r="I144" t="str">
            <v>15516</v>
          </cell>
          <cell r="J144" t="str">
            <v>PAIPA</v>
          </cell>
        </row>
        <row r="145">
          <cell r="A145">
            <v>4192713</v>
          </cell>
          <cell r="B145" t="str">
            <v>RT</v>
          </cell>
          <cell r="C145">
            <v>4192713</v>
          </cell>
          <cell r="D145">
            <v>0</v>
          </cell>
          <cell r="E145" t="str">
            <v>PEDRAZA LACHE DIEGO FERNANDO</v>
          </cell>
          <cell r="F145" t="str">
            <v>CARRERA 24 #23-87</v>
          </cell>
          <cell r="H145" t="str">
            <v>multiriegosdelcampo1204@outlook.com</v>
          </cell>
          <cell r="I145" t="str">
            <v>15516</v>
          </cell>
          <cell r="J145" t="str">
            <v>PAIPA</v>
          </cell>
        </row>
        <row r="146">
          <cell r="A146">
            <v>4278142</v>
          </cell>
          <cell r="B146" t="str">
            <v>RT</v>
          </cell>
          <cell r="C146">
            <v>4278142</v>
          </cell>
          <cell r="D146">
            <v>6</v>
          </cell>
          <cell r="E146" t="str">
            <v>SANCHEZ SALINA MIGUEL ANGEL</v>
          </cell>
          <cell r="F146" t="str">
            <v>tranversal 17A 32 25</v>
          </cell>
          <cell r="H146" t="str">
            <v>miansasa74@yahoo.es</v>
          </cell>
          <cell r="I146">
            <v>50001</v>
          </cell>
          <cell r="J146" t="str">
            <v>VILLAVICENCIO</v>
          </cell>
        </row>
        <row r="147">
          <cell r="A147">
            <v>43402156</v>
          </cell>
          <cell r="B147" t="str">
            <v>RT</v>
          </cell>
          <cell r="C147">
            <v>43402156</v>
          </cell>
          <cell r="D147">
            <v>2</v>
          </cell>
          <cell r="E147" t="str">
            <v>OCAMPO SOTO MARIA MARGARITA</v>
          </cell>
          <cell r="F147" t="str">
            <v>carrera 18# 17-65</v>
          </cell>
          <cell r="H147" t="str">
            <v>cacharreriaelgolazoventas@gmail.com</v>
          </cell>
          <cell r="I147">
            <v>15041</v>
          </cell>
          <cell r="J147" t="str">
            <v>DUITAMA</v>
          </cell>
        </row>
        <row r="148">
          <cell r="A148">
            <v>4487660</v>
          </cell>
          <cell r="B148" t="str">
            <v>CC</v>
          </cell>
          <cell r="C148">
            <v>4487660</v>
          </cell>
          <cell r="D148">
            <v>6</v>
          </cell>
          <cell r="E148" t="str">
            <v>CORREA AUGUSTO</v>
          </cell>
          <cell r="F148" t="str">
            <v>cr 5 # 147-25</v>
          </cell>
          <cell r="H148" t="str">
            <v>gladiolita67@hotmail.com</v>
          </cell>
          <cell r="I148">
            <v>11001</v>
          </cell>
          <cell r="J148" t="str">
            <v>BOGOTA D.C.</v>
          </cell>
        </row>
        <row r="149">
          <cell r="A149">
            <v>45500480</v>
          </cell>
          <cell r="B149" t="str">
            <v>CC</v>
          </cell>
          <cell r="C149">
            <v>45500480</v>
          </cell>
          <cell r="D149">
            <v>1</v>
          </cell>
          <cell r="E149" t="str">
            <v>JARABA RIZO NALLIBE</v>
          </cell>
          <cell r="F149" t="str">
            <v>CLL 29D #17-32</v>
          </cell>
          <cell r="H149" t="str">
            <v>nallibe-jaraba@hotmail.com</v>
          </cell>
          <cell r="I149">
            <v>11001</v>
          </cell>
          <cell r="J149" t="str">
            <v>BOGOTA D.C.</v>
          </cell>
        </row>
        <row r="150">
          <cell r="A150">
            <v>46367632</v>
          </cell>
          <cell r="B150" t="str">
            <v>CC</v>
          </cell>
          <cell r="C150">
            <v>46367632</v>
          </cell>
          <cell r="D150">
            <v>8</v>
          </cell>
          <cell r="E150" t="str">
            <v>MENDIVELSO CLAUDIA</v>
          </cell>
          <cell r="F150" t="str">
            <v>TUNJA</v>
          </cell>
          <cell r="G150">
            <v>3164609922</v>
          </cell>
          <cell r="H150" t="str">
            <v>claumendivelso17@hotmail.com</v>
          </cell>
          <cell r="I150">
            <v>15001</v>
          </cell>
          <cell r="J150" t="str">
            <v>TUNJA</v>
          </cell>
        </row>
        <row r="151">
          <cell r="A151">
            <v>46450687</v>
          </cell>
          <cell r="B151" t="str">
            <v>RT</v>
          </cell>
          <cell r="C151">
            <v>46450687</v>
          </cell>
          <cell r="D151">
            <v>7</v>
          </cell>
          <cell r="E151" t="str">
            <v>CEPEDA RINCON EDNA MARGARITA</v>
          </cell>
          <cell r="F151" t="str">
            <v>carrera 19 # 27-33 b. gaitana</v>
          </cell>
          <cell r="G151">
            <v>7852859</v>
          </cell>
          <cell r="H151" t="str">
            <v>facturastarcolors@gmail.com</v>
          </cell>
          <cell r="I151" t="str">
            <v>15516</v>
          </cell>
          <cell r="J151" t="str">
            <v>PAIPA</v>
          </cell>
        </row>
        <row r="152">
          <cell r="A152">
            <v>46455011</v>
          </cell>
          <cell r="B152" t="str">
            <v>CC</v>
          </cell>
          <cell r="C152">
            <v>46455011</v>
          </cell>
          <cell r="D152">
            <v>1</v>
          </cell>
          <cell r="E152" t="str">
            <v>TOLOSA SOLANO JANETH MARITZA</v>
          </cell>
          <cell r="F152" t="str">
            <v>CL 17 17 24</v>
          </cell>
          <cell r="H152" t="str">
            <v>colombianofact@gmail.com</v>
          </cell>
          <cell r="I152">
            <v>15041</v>
          </cell>
          <cell r="J152" t="str">
            <v>DUITAMA</v>
          </cell>
        </row>
        <row r="153">
          <cell r="A153">
            <v>46455088</v>
          </cell>
          <cell r="B153" t="str">
            <v>CC</v>
          </cell>
          <cell r="C153">
            <v>46455088</v>
          </cell>
          <cell r="D153">
            <v>8</v>
          </cell>
          <cell r="E153" t="str">
            <v>CASAS MERCHAN CAROL YANETH</v>
          </cell>
          <cell r="F153" t="str">
            <v>CRR 19 10-28</v>
          </cell>
          <cell r="G153">
            <v>3112130878</v>
          </cell>
          <cell r="H153" t="str">
            <v>pinturasymarcas@gmail.com</v>
          </cell>
          <cell r="I153">
            <v>15041</v>
          </cell>
          <cell r="J153" t="str">
            <v>DUITAMA</v>
          </cell>
        </row>
        <row r="154">
          <cell r="A154">
            <v>46456237</v>
          </cell>
          <cell r="B154" t="str">
            <v>CC</v>
          </cell>
          <cell r="C154">
            <v>46456237</v>
          </cell>
          <cell r="D154">
            <v>3</v>
          </cell>
          <cell r="E154" t="str">
            <v>CAMARGO CAMARGO VIVIANA ISABEL</v>
          </cell>
          <cell r="F154" t="str">
            <v>km 1 via cajixca centro empresarial oxus of 418</v>
          </cell>
          <cell r="G154">
            <v>8844385</v>
          </cell>
          <cell r="H154" t="str">
            <v>plmasgsas@gmail.com</v>
          </cell>
          <cell r="I154">
            <v>25175</v>
          </cell>
          <cell r="J154" t="str">
            <v>CHIA</v>
          </cell>
        </row>
        <row r="155">
          <cell r="A155">
            <v>46663540</v>
          </cell>
          <cell r="B155" t="str">
            <v>CC</v>
          </cell>
          <cell r="C155">
            <v>46663540</v>
          </cell>
          <cell r="D155">
            <v>8</v>
          </cell>
          <cell r="E155" t="str">
            <v>TORRES VALDERRAMA YOLANDA</v>
          </cell>
          <cell r="F155" t="str">
            <v>CLL 27A 22 32</v>
          </cell>
          <cell r="H155" t="str">
            <v>YOLANDt24@hotmail.com</v>
          </cell>
          <cell r="I155" t="str">
            <v>15516</v>
          </cell>
          <cell r="J155" t="str">
            <v>PAIPA</v>
          </cell>
        </row>
        <row r="156">
          <cell r="A156">
            <v>46671613</v>
          </cell>
          <cell r="B156" t="str">
            <v>CC</v>
          </cell>
          <cell r="C156">
            <v>46671613</v>
          </cell>
          <cell r="D156">
            <v>0</v>
          </cell>
          <cell r="E156" t="str">
            <v>PEREZ SANDOVAL ANDREA</v>
          </cell>
          <cell r="F156" t="str">
            <v>CR 19 10 42</v>
          </cell>
          <cell r="G156">
            <v>6087601962</v>
          </cell>
          <cell r="H156" t="str">
            <v>ferreteriaytornilleriastanley@gmail.com</v>
          </cell>
          <cell r="I156">
            <v>15041</v>
          </cell>
          <cell r="J156" t="str">
            <v>DUITAMA</v>
          </cell>
        </row>
        <row r="157">
          <cell r="A157">
            <v>46674706</v>
          </cell>
          <cell r="B157" t="str">
            <v>CC</v>
          </cell>
          <cell r="C157">
            <v>46674706</v>
          </cell>
          <cell r="D157">
            <v>0</v>
          </cell>
          <cell r="E157" t="str">
            <v>TORRES DIAZ YUDY ALEXANDRA</v>
          </cell>
          <cell r="F157" t="str">
            <v>CR 18 15 36</v>
          </cell>
          <cell r="G157">
            <v>3102587063</v>
          </cell>
          <cell r="H157" t="str">
            <v>papeleriabolivariana@hotmail.com</v>
          </cell>
          <cell r="I157">
            <v>15041</v>
          </cell>
          <cell r="J157" t="str">
            <v>DUITAMA</v>
          </cell>
        </row>
        <row r="158">
          <cell r="A158">
            <v>46680612</v>
          </cell>
          <cell r="B158" t="str">
            <v>CC</v>
          </cell>
          <cell r="C158">
            <v>46680612</v>
          </cell>
          <cell r="D158">
            <v>1</v>
          </cell>
          <cell r="E158" t="str">
            <v>CAMARGO CUERVO EDY CRISTINA</v>
          </cell>
          <cell r="F158" t="str">
            <v>CALLE 23 # 25-00</v>
          </cell>
          <cell r="G158">
            <v>3143239509</v>
          </cell>
          <cell r="H158" t="str">
            <v>ferrecca@hotmail.com</v>
          </cell>
          <cell r="I158">
            <v>15104</v>
          </cell>
          <cell r="J158" t="str">
            <v>BOYACA</v>
          </cell>
        </row>
        <row r="159">
          <cell r="A159">
            <v>46680873</v>
          </cell>
          <cell r="B159" t="str">
            <v>CC</v>
          </cell>
          <cell r="C159">
            <v>46680873</v>
          </cell>
          <cell r="D159">
            <v>7</v>
          </cell>
          <cell r="E159" t="str">
            <v>CAMACHO NUBIA YANETH</v>
          </cell>
          <cell r="F159" t="str">
            <v>calle 25 Nº 22-38</v>
          </cell>
          <cell r="H159" t="str">
            <v>prismacolorpapeleria@ventas.com</v>
          </cell>
          <cell r="I159" t="str">
            <v>15516</v>
          </cell>
          <cell r="J159" t="str">
            <v>PAIPA</v>
          </cell>
        </row>
        <row r="160">
          <cell r="A160">
            <v>46680929</v>
          </cell>
          <cell r="B160" t="str">
            <v>CC</v>
          </cell>
          <cell r="C160">
            <v>46680929</v>
          </cell>
          <cell r="D160">
            <v>0</v>
          </cell>
          <cell r="E160" t="str">
            <v>ROJAS JOYA GRACIELA</v>
          </cell>
          <cell r="F160" t="str">
            <v>av libertadores 21-16</v>
          </cell>
          <cell r="H160" t="str">
            <v>berojabomber1@hotmail.com</v>
          </cell>
          <cell r="I160" t="str">
            <v>15516</v>
          </cell>
          <cell r="J160" t="str">
            <v>PAIPA</v>
          </cell>
        </row>
        <row r="161">
          <cell r="A161">
            <v>466809929</v>
          </cell>
          <cell r="B161" t="str">
            <v>CC</v>
          </cell>
          <cell r="C161">
            <v>466809929</v>
          </cell>
          <cell r="D161">
            <v>1</v>
          </cell>
          <cell r="E161" t="str">
            <v>ROJAS JOYA GRACIELA</v>
          </cell>
          <cell r="F161" t="str">
            <v>MZ B CA 15</v>
          </cell>
          <cell r="G161">
            <v>3125138746</v>
          </cell>
          <cell r="H161" t="str">
            <v>berojabomber@hotmail.com</v>
          </cell>
          <cell r="I161" t="str">
            <v>15516</v>
          </cell>
          <cell r="J161" t="str">
            <v>PAIPA</v>
          </cell>
        </row>
        <row r="162">
          <cell r="A162">
            <v>46681167</v>
          </cell>
          <cell r="B162" t="str">
            <v>CC</v>
          </cell>
          <cell r="C162">
            <v>46681167</v>
          </cell>
          <cell r="D162">
            <v>1</v>
          </cell>
          <cell r="E162" t="str">
            <v>BOLIVAR CRUZ EMILSE</v>
          </cell>
          <cell r="F162" t="str">
            <v>CL 25 22 49</v>
          </cell>
          <cell r="G162">
            <v>3115861040</v>
          </cell>
          <cell r="H162" t="str">
            <v>servidigital07@gmail.com</v>
          </cell>
          <cell r="I162" t="str">
            <v>15516</v>
          </cell>
          <cell r="J162" t="str">
            <v>PAIPA</v>
          </cell>
        </row>
        <row r="163">
          <cell r="A163">
            <v>46681308</v>
          </cell>
          <cell r="B163" t="str">
            <v>CC</v>
          </cell>
          <cell r="C163">
            <v>46681308</v>
          </cell>
          <cell r="D163">
            <v>1</v>
          </cell>
          <cell r="E163" t="str">
            <v>CARDOZO MARIA TERESA</v>
          </cell>
          <cell r="F163" t="str">
            <v>CR 21 # 27-47</v>
          </cell>
          <cell r="G163">
            <v>3105716634</v>
          </cell>
          <cell r="H163" t="str">
            <v>prodotar@yahoo.com</v>
          </cell>
          <cell r="I163" t="str">
            <v>15516</v>
          </cell>
          <cell r="J163" t="str">
            <v>PAIPA</v>
          </cell>
        </row>
        <row r="164">
          <cell r="A164">
            <v>46681339</v>
          </cell>
          <cell r="B164" t="str">
            <v>PP</v>
          </cell>
          <cell r="C164">
            <v>46681339</v>
          </cell>
          <cell r="D164">
            <v>1</v>
          </cell>
          <cell r="E164" t="str">
            <v>OCHOA OCHOA IBETH EMILSE</v>
          </cell>
          <cell r="F164" t="str">
            <v>CALLE 22 23-15</v>
          </cell>
          <cell r="H164" t="str">
            <v>papeleriamisapuntes@la22.com</v>
          </cell>
          <cell r="I164" t="str">
            <v>15516</v>
          </cell>
          <cell r="J164" t="str">
            <v>PAIPA</v>
          </cell>
        </row>
        <row r="165">
          <cell r="A165">
            <v>46681860</v>
          </cell>
          <cell r="B165" t="str">
            <v>RT</v>
          </cell>
          <cell r="C165">
            <v>46681860</v>
          </cell>
          <cell r="D165">
            <v>6</v>
          </cell>
          <cell r="E165" t="str">
            <v>PEÑA LEANDRO NANCY JANETH</v>
          </cell>
          <cell r="F165" t="str">
            <v>CALLE 25 # 20-67</v>
          </cell>
          <cell r="H165" t="str">
            <v>ventas nancy@hotmail.com</v>
          </cell>
          <cell r="I165" t="str">
            <v>15516</v>
          </cell>
          <cell r="J165" t="str">
            <v>PAIPA</v>
          </cell>
        </row>
        <row r="166">
          <cell r="A166">
            <v>466821414</v>
          </cell>
          <cell r="B166" t="str">
            <v>RT</v>
          </cell>
          <cell r="C166">
            <v>466821414</v>
          </cell>
          <cell r="D166">
            <v>1</v>
          </cell>
          <cell r="E166" t="str">
            <v>PINZON VEGA MARIELA</v>
          </cell>
          <cell r="F166" t="str">
            <v>CALLE 27 # 20-37</v>
          </cell>
          <cell r="H166" t="str">
            <v>marielapinzon@gmail.com</v>
          </cell>
          <cell r="I166" t="str">
            <v>15516</v>
          </cell>
          <cell r="J166" t="str">
            <v>PAIPA</v>
          </cell>
        </row>
        <row r="167">
          <cell r="A167">
            <v>46682252</v>
          </cell>
          <cell r="B167" t="str">
            <v>CC</v>
          </cell>
          <cell r="C167">
            <v>46682252</v>
          </cell>
          <cell r="D167">
            <v>2</v>
          </cell>
          <cell r="E167" t="str">
            <v>OTALORA CASTRO SANDRA PATRICIA</v>
          </cell>
          <cell r="F167" t="str">
            <v>VDA LA ESPERANZA</v>
          </cell>
          <cell r="G167">
            <v>3232539853</v>
          </cell>
          <cell r="H167" t="str">
            <v>sandraotalora24@gmail.com</v>
          </cell>
          <cell r="I167" t="str">
            <v>15516</v>
          </cell>
          <cell r="J167" t="str">
            <v>PAIPA</v>
          </cell>
        </row>
        <row r="168">
          <cell r="A168">
            <v>46682653</v>
          </cell>
          <cell r="B168" t="str">
            <v>CC</v>
          </cell>
          <cell r="C168">
            <v>46682653</v>
          </cell>
          <cell r="D168">
            <v>2</v>
          </cell>
          <cell r="E168" t="str">
            <v>PARRA ARIZA SANDRA MILENA</v>
          </cell>
          <cell r="F168" t="str">
            <v xml:space="preserve"> KM 1 VIA PAIPA TUNJA SEC LOS LAGOS</v>
          </cell>
          <cell r="G168">
            <v>3176675391</v>
          </cell>
          <cell r="H168" t="str">
            <v xml:space="preserve"> samipa2398@gmail.com</v>
          </cell>
          <cell r="I168" t="str">
            <v>15516</v>
          </cell>
          <cell r="J168" t="str">
            <v>PAIPA</v>
          </cell>
        </row>
        <row r="169">
          <cell r="A169">
            <v>46682966</v>
          </cell>
          <cell r="B169" t="str">
            <v>RT</v>
          </cell>
          <cell r="C169">
            <v>46682966</v>
          </cell>
          <cell r="D169">
            <v>2</v>
          </cell>
          <cell r="E169" t="str">
            <v>FONSECA AYALA CNA</v>
          </cell>
          <cell r="F169" t="str">
            <v>CALLE 24 # 19-61</v>
          </cell>
          <cell r="H169" t="str">
            <v>ventascomercialesayatecpublicidad@gmail.com</v>
          </cell>
          <cell r="I169" t="str">
            <v>15516</v>
          </cell>
          <cell r="J169" t="str">
            <v>PAIPA</v>
          </cell>
        </row>
        <row r="170">
          <cell r="A170">
            <v>51641874</v>
          </cell>
          <cell r="B170" t="str">
            <v>CC</v>
          </cell>
          <cell r="C170">
            <v>51641874</v>
          </cell>
          <cell r="D170">
            <v>6</v>
          </cell>
          <cell r="E170" t="str">
            <v>JAIMES DE ROMERO MARINA</v>
          </cell>
          <cell r="F170" t="str">
            <v>CL 17 17 03</v>
          </cell>
          <cell r="G170">
            <v>3112796375</v>
          </cell>
          <cell r="H170" t="str">
            <v xml:space="preserve"> marinitajaimes17@hotmail.com</v>
          </cell>
          <cell r="I170">
            <v>15041</v>
          </cell>
          <cell r="J170" t="str">
            <v>DUITAMA</v>
          </cell>
        </row>
        <row r="171">
          <cell r="A171">
            <v>51925611</v>
          </cell>
          <cell r="B171" t="str">
            <v>CC</v>
          </cell>
          <cell r="C171">
            <v>51925611</v>
          </cell>
          <cell r="D171">
            <v>6</v>
          </cell>
          <cell r="E171" t="str">
            <v>CALIXTO CHAQUEA ALEXANDRA BIBIANA</v>
          </cell>
          <cell r="F171" t="str">
            <v>CL 15 16 74 P2</v>
          </cell>
          <cell r="G171">
            <v>7602752</v>
          </cell>
          <cell r="H171" t="str">
            <v>fe.bimbopinateria@hotmail.com</v>
          </cell>
          <cell r="I171">
            <v>15041</v>
          </cell>
          <cell r="J171" t="str">
            <v>DUITAMA</v>
          </cell>
        </row>
        <row r="172">
          <cell r="A172">
            <v>51973608</v>
          </cell>
          <cell r="B172" t="str">
            <v>CC</v>
          </cell>
          <cell r="C172">
            <v>51973608</v>
          </cell>
          <cell r="D172">
            <v>8</v>
          </cell>
          <cell r="E172" t="str">
            <v>OVALLE CASTRO EUNICE</v>
          </cell>
          <cell r="F172" t="str">
            <v xml:space="preserve"> CRA 70D # 78A - 24</v>
          </cell>
          <cell r="G172">
            <v>3164271986</v>
          </cell>
          <cell r="H172" t="str">
            <v>JURIDICO@MGRABOGADOSYCONSULTORES.NET</v>
          </cell>
          <cell r="I172">
            <v>11001</v>
          </cell>
          <cell r="J172" t="str">
            <v>BOGOTA D.C.</v>
          </cell>
        </row>
        <row r="173">
          <cell r="A173">
            <v>52145917</v>
          </cell>
          <cell r="B173" t="str">
            <v>CC</v>
          </cell>
          <cell r="C173">
            <v>52145917</v>
          </cell>
          <cell r="D173">
            <v>0</v>
          </cell>
          <cell r="E173" t="str">
            <v>FARFAN FARFAN SANDRA MILENA</v>
          </cell>
          <cell r="F173" t="str">
            <v>cr 28 47 a 41 ap 203</v>
          </cell>
          <cell r="H173" t="str">
            <v>lahojaediciones@gmail.com</v>
          </cell>
          <cell r="I173">
            <v>15407</v>
          </cell>
          <cell r="J173" t="str">
            <v>VILLA DE LEYVA</v>
          </cell>
        </row>
        <row r="174">
          <cell r="A174">
            <v>52197055</v>
          </cell>
          <cell r="B174" t="str">
            <v>CC</v>
          </cell>
          <cell r="C174">
            <v>52197055</v>
          </cell>
          <cell r="D174">
            <v>1</v>
          </cell>
          <cell r="E174" t="str">
            <v>TRIANA CECILIA</v>
          </cell>
          <cell r="F174" t="str">
            <v>cr 70 # 74 a - 04</v>
          </cell>
          <cell r="H174" t="str">
            <v>ceciliatrianac320@gmail.com</v>
          </cell>
          <cell r="I174">
            <v>11001</v>
          </cell>
          <cell r="J174" t="str">
            <v>BOGOTA D.C.</v>
          </cell>
        </row>
        <row r="175">
          <cell r="A175">
            <v>52319038</v>
          </cell>
          <cell r="B175" t="str">
            <v>CC</v>
          </cell>
          <cell r="C175">
            <v>52319038</v>
          </cell>
          <cell r="D175">
            <v>1</v>
          </cell>
          <cell r="E175" t="str">
            <v>OCHOA PENAGO CONCEPTION DE PILAR</v>
          </cell>
          <cell r="F175" t="str">
            <v>TRASVERSAL 14 # 11-29</v>
          </cell>
          <cell r="H175" t="str">
            <v>pilarochoapenago@gmail.com</v>
          </cell>
          <cell r="I175">
            <v>15238</v>
          </cell>
          <cell r="J175" t="str">
            <v>DUITAMA</v>
          </cell>
        </row>
        <row r="176">
          <cell r="A176">
            <v>52321781</v>
          </cell>
          <cell r="B176" t="str">
            <v>CC</v>
          </cell>
          <cell r="C176">
            <v>52321781</v>
          </cell>
          <cell r="D176">
            <v>0</v>
          </cell>
          <cell r="E176" t="str">
            <v>GONZALEZ MONTOYA LUZ HELENA</v>
          </cell>
          <cell r="F176" t="str">
            <v>CLL 25 20 46</v>
          </cell>
          <cell r="G176">
            <v>987852277</v>
          </cell>
          <cell r="H176" t="str">
            <v>papelycrayola@gmail.com</v>
          </cell>
          <cell r="I176" t="str">
            <v>15516</v>
          </cell>
          <cell r="J176" t="str">
            <v>PAIPA</v>
          </cell>
        </row>
        <row r="177">
          <cell r="A177">
            <v>52379948</v>
          </cell>
          <cell r="B177" t="str">
            <v>CC</v>
          </cell>
          <cell r="C177">
            <v>52379948</v>
          </cell>
          <cell r="D177">
            <v>3</v>
          </cell>
          <cell r="E177" t="str">
            <v>VILLALOBO RIAÑO PAOLA ANDREA</v>
          </cell>
          <cell r="F177" t="str">
            <v>CALLE 14A SUR 18-24</v>
          </cell>
          <cell r="G177">
            <v>687621718</v>
          </cell>
          <cell r="H177" t="str">
            <v>pavirscontable@hotmail.com</v>
          </cell>
          <cell r="I177">
            <v>11001</v>
          </cell>
          <cell r="J177" t="str">
            <v>BOGOTA D.C.</v>
          </cell>
        </row>
        <row r="178">
          <cell r="A178">
            <v>52714824</v>
          </cell>
          <cell r="B178" t="str">
            <v>CC</v>
          </cell>
          <cell r="C178">
            <v>52714824</v>
          </cell>
          <cell r="D178">
            <v>6</v>
          </cell>
          <cell r="E178" t="str">
            <v>ROJAS CAROLINA</v>
          </cell>
          <cell r="F178" t="str">
            <v>tv 6 # 27-10</v>
          </cell>
          <cell r="H178" t="str">
            <v>carolinarroa@gmail.com</v>
          </cell>
          <cell r="I178">
            <v>11001</v>
          </cell>
          <cell r="J178" t="str">
            <v>BOGOTA D.C.</v>
          </cell>
        </row>
        <row r="179">
          <cell r="A179">
            <v>52773362</v>
          </cell>
          <cell r="B179" t="str">
            <v>CC</v>
          </cell>
          <cell r="C179">
            <v>52773362</v>
          </cell>
          <cell r="D179">
            <v>7</v>
          </cell>
          <cell r="E179" t="str">
            <v>PICO VILLAMIZAR EDY MILENA</v>
          </cell>
          <cell r="F179" t="str">
            <v>cl22 A 22 65</v>
          </cell>
          <cell r="G179">
            <v>3152167473</v>
          </cell>
          <cell r="H179" t="str">
            <v>dymsinsumos@gmail.com</v>
          </cell>
          <cell r="I179" t="str">
            <v>15516</v>
          </cell>
          <cell r="J179" t="str">
            <v>PAIPA</v>
          </cell>
        </row>
        <row r="180">
          <cell r="A180">
            <v>52903872</v>
          </cell>
          <cell r="B180" t="str">
            <v>CC</v>
          </cell>
          <cell r="C180">
            <v>52903872</v>
          </cell>
          <cell r="D180">
            <v>0</v>
          </cell>
          <cell r="E180" t="str">
            <v>GUZMAN VERA CLAUDIA MILADYS</v>
          </cell>
          <cell r="F180" t="str">
            <v>CR 23 A 22 03</v>
          </cell>
          <cell r="G180">
            <v>3134959802</v>
          </cell>
          <cell r="H180" t="str">
            <v>claudiamiladysguzman2401@gmail.com</v>
          </cell>
          <cell r="I180" t="str">
            <v>15516</v>
          </cell>
          <cell r="J180" t="str">
            <v>PAIPA</v>
          </cell>
        </row>
        <row r="181">
          <cell r="A181">
            <v>52979147</v>
          </cell>
          <cell r="B181" t="str">
            <v>CC</v>
          </cell>
          <cell r="C181">
            <v>52979147</v>
          </cell>
          <cell r="D181">
            <v>5</v>
          </cell>
          <cell r="E181" t="str">
            <v>CABEZAS OTALORA CLAUDIA PATRICIA</v>
          </cell>
          <cell r="F181" t="str">
            <v>CR 38 9 44 AP 200 P 2</v>
          </cell>
          <cell r="G181">
            <v>3134702030</v>
          </cell>
          <cell r="H181" t="str">
            <v>claudiacaota@gmail.com</v>
          </cell>
          <cell r="I181">
            <v>11001</v>
          </cell>
          <cell r="J181" t="str">
            <v>BOGOTA D.C.</v>
          </cell>
        </row>
        <row r="182">
          <cell r="A182">
            <v>52979421</v>
          </cell>
          <cell r="B182" t="str">
            <v>CC</v>
          </cell>
          <cell r="C182">
            <v>52979421</v>
          </cell>
          <cell r="D182">
            <v>9</v>
          </cell>
          <cell r="E182" t="str">
            <v>LOPEZ DIANA</v>
          </cell>
          <cell r="F182" t="str">
            <v>Carrera 10 #54A - 61</v>
          </cell>
          <cell r="H182" t="str">
            <v>two_nine9@hotmail.com</v>
          </cell>
          <cell r="I182">
            <v>11001</v>
          </cell>
          <cell r="J182" t="str">
            <v>BOGOTA D.C.</v>
          </cell>
        </row>
        <row r="183">
          <cell r="A183">
            <v>5706690</v>
          </cell>
          <cell r="B183" t="str">
            <v>CC</v>
          </cell>
          <cell r="C183">
            <v>5706690</v>
          </cell>
          <cell r="D183">
            <v>1</v>
          </cell>
          <cell r="E183" t="str">
            <v>ANGARITA LUIS EDUARDO</v>
          </cell>
          <cell r="F183" t="str">
            <v>CR 5 # 10 - 49</v>
          </cell>
          <cell r="H183" t="str">
            <v>edward1702@hotmail.com</v>
          </cell>
          <cell r="I183">
            <v>68679</v>
          </cell>
          <cell r="J183" t="str">
            <v>SAN GIL</v>
          </cell>
        </row>
        <row r="184">
          <cell r="A184">
            <v>600009815</v>
          </cell>
          <cell r="B184" t="str">
            <v>NT</v>
          </cell>
          <cell r="C184">
            <v>600009815</v>
          </cell>
          <cell r="D184">
            <v>3</v>
          </cell>
          <cell r="E184" t="str">
            <v>GIMNASIO CAMPESTRE LA FONTANA</v>
          </cell>
          <cell r="F184" t="str">
            <v xml:space="preserve"> Km 4 Vía Multifamiliares Centauros -Vereda del Amor</v>
          </cell>
          <cell r="G184">
            <v>3142797928</v>
          </cell>
          <cell r="H184" t="str">
            <v>secretaria@lafontana.edu.co</v>
          </cell>
          <cell r="I184">
            <v>50001</v>
          </cell>
          <cell r="J184" t="str">
            <v>VILLAVICENCIO</v>
          </cell>
        </row>
        <row r="185">
          <cell r="A185">
            <v>60256779</v>
          </cell>
          <cell r="B185" t="str">
            <v>CC</v>
          </cell>
          <cell r="C185">
            <v>60256779</v>
          </cell>
          <cell r="D185">
            <v>6</v>
          </cell>
          <cell r="E185" t="str">
            <v>DUARTE NIDIA</v>
          </cell>
          <cell r="F185" t="str">
            <v>cr 7 # 5- 91</v>
          </cell>
          <cell r="H185" t="str">
            <v>lucerod1@hotmail.com</v>
          </cell>
          <cell r="I185">
            <v>11001</v>
          </cell>
          <cell r="J185" t="str">
            <v>BOGOTA D.C.</v>
          </cell>
        </row>
        <row r="186">
          <cell r="A186">
            <v>63496564</v>
          </cell>
          <cell r="B186" t="str">
            <v>CC</v>
          </cell>
          <cell r="C186">
            <v>63496564</v>
          </cell>
          <cell r="D186">
            <v>1</v>
          </cell>
          <cell r="E186" t="str">
            <v>CHACON CIODARO JACKELINE</v>
          </cell>
          <cell r="F186" t="str">
            <v>Puntalarga km.5 Vía Duitama - Nobsa</v>
          </cell>
          <cell r="G186" t="str">
            <v>310 818 7241</v>
          </cell>
          <cell r="H186" t="str">
            <v>servicliente@rusticoselcampanario.com</v>
          </cell>
          <cell r="I186">
            <v>15491</v>
          </cell>
          <cell r="J186" t="str">
            <v>NOBSA</v>
          </cell>
        </row>
        <row r="187">
          <cell r="A187">
            <v>65765741</v>
          </cell>
          <cell r="B187" t="str">
            <v>CC</v>
          </cell>
          <cell r="C187">
            <v>65765741</v>
          </cell>
          <cell r="D187">
            <v>9</v>
          </cell>
          <cell r="E187" t="str">
            <v>RAMIREZ B ALIX MARIANA</v>
          </cell>
          <cell r="F187" t="str">
            <v>CALLE 24 Nº 19-79</v>
          </cell>
          <cell r="H187" t="str">
            <v>almaraba75@yahoo.es</v>
          </cell>
          <cell r="I187" t="str">
            <v>15516</v>
          </cell>
          <cell r="J187" t="str">
            <v>PAIPA</v>
          </cell>
        </row>
        <row r="188">
          <cell r="A188">
            <v>6758125</v>
          </cell>
          <cell r="B188" t="str">
            <v>CC</v>
          </cell>
          <cell r="C188">
            <v>6758125</v>
          </cell>
          <cell r="D188">
            <v>8</v>
          </cell>
          <cell r="E188" t="str">
            <v>CARDENAS ESPINEL ANTONIO</v>
          </cell>
          <cell r="F188" t="str">
            <v>CALLE 14B # 9A-42 SAn lavoreano tuya</v>
          </cell>
          <cell r="H188" t="str">
            <v>antonioespinelcardenas@gmail.com</v>
          </cell>
          <cell r="I188" t="str">
            <v>15516</v>
          </cell>
          <cell r="J188" t="str">
            <v>PAIPA</v>
          </cell>
        </row>
        <row r="189">
          <cell r="A189">
            <v>700003952</v>
          </cell>
          <cell r="B189" t="str">
            <v>CC</v>
          </cell>
          <cell r="C189">
            <v>700003952</v>
          </cell>
          <cell r="D189">
            <v>1</v>
          </cell>
          <cell r="E189" t="str">
            <v>QUNQING ZHENG</v>
          </cell>
          <cell r="F189" t="str">
            <v xml:space="preserve">         CLL 27 20 41</v>
          </cell>
          <cell r="H189" t="str">
            <v>MAIYANGP@GMAIL.COM</v>
          </cell>
          <cell r="I189">
            <v>50001</v>
          </cell>
          <cell r="J189" t="str">
            <v>VILLAVICENCIO</v>
          </cell>
        </row>
        <row r="190">
          <cell r="A190">
            <v>700111999</v>
          </cell>
          <cell r="B190" t="str">
            <v>CC</v>
          </cell>
          <cell r="C190">
            <v>700111999</v>
          </cell>
          <cell r="D190">
            <v>8</v>
          </cell>
          <cell r="E190" t="str">
            <v>DIAZ MARIN GEYNER }</v>
          </cell>
          <cell r="F190" t="str">
            <v>CALLE 26 #19-24</v>
          </cell>
          <cell r="G190">
            <v>3007352047</v>
          </cell>
          <cell r="H190" t="str">
            <v>facturacionecontable@gmail.com</v>
          </cell>
          <cell r="I190" t="str">
            <v>15516</v>
          </cell>
          <cell r="J190" t="str">
            <v>PAIPA</v>
          </cell>
        </row>
        <row r="191">
          <cell r="A191">
            <v>7124565</v>
          </cell>
          <cell r="B191" t="str">
            <v>CC</v>
          </cell>
          <cell r="C191">
            <v>7124565</v>
          </cell>
          <cell r="D191">
            <v>8</v>
          </cell>
          <cell r="E191" t="str">
            <v>VELANDIA RUSSI FABIO HERNAN</v>
          </cell>
          <cell r="H191" t="str">
            <v>J@GMAIL.COM</v>
          </cell>
          <cell r="I191">
            <v>50001</v>
          </cell>
          <cell r="J191" t="str">
            <v>VILLAVICENCIO</v>
          </cell>
        </row>
        <row r="192">
          <cell r="A192">
            <v>71734132</v>
          </cell>
          <cell r="B192" t="str">
            <v>CC</v>
          </cell>
          <cell r="C192">
            <v>71734132</v>
          </cell>
          <cell r="D192">
            <v>2</v>
          </cell>
          <cell r="E192" t="str">
            <v>MOLINA OCHOA ALEJANDRO</v>
          </cell>
          <cell r="F192" t="str">
            <v>CLL 35 #64A-05</v>
          </cell>
          <cell r="H192" t="str">
            <v>alejandromolinaochoa@gmail.com</v>
          </cell>
          <cell r="I192">
            <v>11001</v>
          </cell>
          <cell r="J192" t="str">
            <v>BOGOTA D.C.</v>
          </cell>
        </row>
        <row r="193">
          <cell r="A193">
            <v>7176330</v>
          </cell>
          <cell r="B193" t="str">
            <v>CC</v>
          </cell>
          <cell r="C193">
            <v>7176330</v>
          </cell>
          <cell r="D193">
            <v>7</v>
          </cell>
          <cell r="E193" t="str">
            <v>RODRIGUEZ ALEJANDRO</v>
          </cell>
          <cell r="F193" t="str">
            <v>AV COLON # 23-39</v>
          </cell>
          <cell r="G193">
            <v>3114977038</v>
          </cell>
          <cell r="H193" t="str">
            <v>indugasar@gmail.com</v>
          </cell>
          <cell r="I193">
            <v>15001</v>
          </cell>
          <cell r="J193" t="str">
            <v>TUNJA</v>
          </cell>
        </row>
        <row r="194">
          <cell r="A194">
            <v>7211995</v>
          </cell>
          <cell r="B194" t="str">
            <v>CC</v>
          </cell>
          <cell r="C194">
            <v>7211995</v>
          </cell>
          <cell r="D194">
            <v>4</v>
          </cell>
          <cell r="E194" t="str">
            <v>PINEDA JIMENEZ PEDRO EMILIO</v>
          </cell>
          <cell r="F194" t="str">
            <v>carrera 19 # 15-30</v>
          </cell>
          <cell r="G194">
            <v>7603468</v>
          </cell>
          <cell r="H194" t="str">
            <v>https://www.disagro.com/escribanos</v>
          </cell>
          <cell r="I194">
            <v>15041</v>
          </cell>
          <cell r="J194" t="str">
            <v>DUITAMA</v>
          </cell>
        </row>
        <row r="195">
          <cell r="A195">
            <v>7212963</v>
          </cell>
          <cell r="B195" t="str">
            <v>CC</v>
          </cell>
          <cell r="C195">
            <v>7212963</v>
          </cell>
          <cell r="D195">
            <v>3</v>
          </cell>
          <cell r="E195" t="str">
            <v>GOMEZ LIZARAZO JESUS</v>
          </cell>
          <cell r="F195" t="str">
            <v>Avenida Norte 52-09</v>
          </cell>
          <cell r="G195">
            <v>3118545564</v>
          </cell>
          <cell r="H195" t="str">
            <v>ferropazduitama@yahoo.com</v>
          </cell>
          <cell r="I195">
            <v>15001</v>
          </cell>
          <cell r="J195" t="str">
            <v>TUNJA</v>
          </cell>
        </row>
        <row r="196">
          <cell r="A196">
            <v>7213244</v>
          </cell>
          <cell r="B196" t="str">
            <v>CC</v>
          </cell>
          <cell r="C196">
            <v>7213244</v>
          </cell>
          <cell r="D196">
            <v>0</v>
          </cell>
          <cell r="E196" t="str">
            <v>AMAYA GUEVARA HERNANDO</v>
          </cell>
          <cell r="F196" t="str">
            <v>carre 18 #14-32</v>
          </cell>
          <cell r="G196">
            <v>605315</v>
          </cell>
          <cell r="H196" t="str">
            <v>decorama.h.a.09@hotmail.com</v>
          </cell>
          <cell r="I196" t="str">
            <v>15516</v>
          </cell>
          <cell r="J196" t="str">
            <v>PAIPA</v>
          </cell>
        </row>
        <row r="197">
          <cell r="A197">
            <v>7213266</v>
          </cell>
          <cell r="B197" t="str">
            <v>CC</v>
          </cell>
          <cell r="C197">
            <v>7213266</v>
          </cell>
          <cell r="D197">
            <v>2</v>
          </cell>
          <cell r="E197" t="str">
            <v>SANDOVAL BRICEÑO LUIS JAIME</v>
          </cell>
          <cell r="F197" t="str">
            <v>CRA 19 13 49/51</v>
          </cell>
          <cell r="G197">
            <v>3138172838</v>
          </cell>
          <cell r="H197" t="str">
            <v>electricosferresan54@hotmail.com</v>
          </cell>
          <cell r="I197">
            <v>15041</v>
          </cell>
          <cell r="J197" t="str">
            <v>DUITAMA</v>
          </cell>
        </row>
        <row r="198">
          <cell r="A198">
            <v>7213708</v>
          </cell>
          <cell r="B198" t="str">
            <v>CC</v>
          </cell>
          <cell r="C198">
            <v>7213708</v>
          </cell>
          <cell r="D198">
            <v>6</v>
          </cell>
          <cell r="E198" t="str">
            <v>ESPEJO CAMARGO JOSE MARIO</v>
          </cell>
          <cell r="F198" t="str">
            <v>CARRERA 20# 26-36</v>
          </cell>
          <cell r="G198">
            <v>7600794</v>
          </cell>
          <cell r="H198" t="str">
            <v>https://www.supermercadospasadena.com/Page/PQR.asp</v>
          </cell>
          <cell r="I198" t="str">
            <v>15516</v>
          </cell>
          <cell r="J198" t="str">
            <v>PAIPA</v>
          </cell>
        </row>
        <row r="199">
          <cell r="A199">
            <v>7218346</v>
          </cell>
          <cell r="B199" t="str">
            <v>CC</v>
          </cell>
          <cell r="C199">
            <v>7218346</v>
          </cell>
          <cell r="D199">
            <v>6</v>
          </cell>
          <cell r="E199" t="str">
            <v>SATIVA MEDINA JESUS MARIA</v>
          </cell>
          <cell r="F199" t="str">
            <v>TV 14 12 81 BARRIO MARIA AUXILIADORA</v>
          </cell>
          <cell r="G199">
            <v>7605971</v>
          </cell>
          <cell r="H199" t="str">
            <v>metalicasbelencito.gerencia@outlook.co</v>
          </cell>
          <cell r="I199" t="str">
            <v>15516</v>
          </cell>
          <cell r="J199" t="str">
            <v>PAIPA</v>
          </cell>
        </row>
        <row r="200">
          <cell r="A200">
            <v>7219252</v>
          </cell>
          <cell r="B200" t="str">
            <v>CC</v>
          </cell>
          <cell r="C200">
            <v>7219252</v>
          </cell>
          <cell r="D200">
            <v>7</v>
          </cell>
          <cell r="E200" t="str">
            <v>MERCHAN GILBERTO HERNANDEZ</v>
          </cell>
          <cell r="F200" t="str">
            <v>CR 17 18 20</v>
          </cell>
          <cell r="G200">
            <v>7628469</v>
          </cell>
          <cell r="H200" t="str">
            <v xml:space="preserve"> yilbber.gerencia@gmail.com</v>
          </cell>
          <cell r="I200">
            <v>15041</v>
          </cell>
          <cell r="J200" t="str">
            <v>DUITAMA</v>
          </cell>
        </row>
        <row r="201">
          <cell r="A201">
            <v>7220951</v>
          </cell>
          <cell r="B201" t="str">
            <v>CC</v>
          </cell>
          <cell r="C201">
            <v>7220951</v>
          </cell>
          <cell r="D201">
            <v>9</v>
          </cell>
          <cell r="E201" t="str">
            <v>TORO VALENCIA HECTOR</v>
          </cell>
          <cell r="F201" t="str">
            <v>CR 29 # 10-22</v>
          </cell>
          <cell r="H201" t="str">
            <v>torovalencia@servicios.com</v>
          </cell>
          <cell r="I201" t="str">
            <v>15516</v>
          </cell>
          <cell r="J201" t="str">
            <v>PAIPA</v>
          </cell>
        </row>
        <row r="202">
          <cell r="A202">
            <v>7221701</v>
          </cell>
          <cell r="B202" t="str">
            <v>CC</v>
          </cell>
          <cell r="C202">
            <v>7221701</v>
          </cell>
          <cell r="D202">
            <v>9</v>
          </cell>
          <cell r="E202" t="str">
            <v>RINCON LOPEZ WILSON</v>
          </cell>
          <cell r="F202" t="str">
            <v>CL 24 18 11</v>
          </cell>
          <cell r="G202">
            <v>7850829</v>
          </cell>
          <cell r="H202" t="str">
            <v>trazosfuego@gmail.com</v>
          </cell>
          <cell r="I202">
            <v>11001</v>
          </cell>
          <cell r="J202" t="str">
            <v>BOGOTA D.C.</v>
          </cell>
        </row>
        <row r="203">
          <cell r="A203">
            <v>7222844</v>
          </cell>
          <cell r="B203" t="str">
            <v>CC</v>
          </cell>
          <cell r="C203">
            <v>7222844</v>
          </cell>
          <cell r="D203">
            <v>8</v>
          </cell>
          <cell r="E203" t="str">
            <v>GIL CELY JAIRO</v>
          </cell>
          <cell r="F203" t="str">
            <v>CLL 16 19 29</v>
          </cell>
          <cell r="G203">
            <v>3106268515</v>
          </cell>
          <cell r="H203" t="str">
            <v>ELECTRICOSIMPERIAL@YAHOO.COM.CO</v>
          </cell>
          <cell r="I203">
            <v>15238</v>
          </cell>
          <cell r="J203" t="str">
            <v>DUITAMA</v>
          </cell>
        </row>
        <row r="204">
          <cell r="A204">
            <v>7223752</v>
          </cell>
          <cell r="B204" t="str">
            <v>CC</v>
          </cell>
          <cell r="C204">
            <v>7223752</v>
          </cell>
          <cell r="D204">
            <v>3</v>
          </cell>
          <cell r="E204" t="str">
            <v>GONZALEZ ALVARADO JOSE MIGUEL</v>
          </cell>
          <cell r="F204" t="str">
            <v>CL 9 25 19</v>
          </cell>
          <cell r="H204" t="str">
            <v>danielaruiz.215@gmail.com</v>
          </cell>
          <cell r="I204">
            <v>15041</v>
          </cell>
          <cell r="J204" t="str">
            <v>DUITAMA</v>
          </cell>
        </row>
        <row r="205">
          <cell r="A205">
            <v>7224211</v>
          </cell>
          <cell r="B205" t="str">
            <v>CC</v>
          </cell>
          <cell r="C205">
            <v>7224211</v>
          </cell>
          <cell r="D205">
            <v>5</v>
          </cell>
          <cell r="E205" t="str">
            <v>ACOSTA FONSECA RAUL</v>
          </cell>
          <cell r="F205" t="str">
            <v>CRR 16 25 18 AP 707</v>
          </cell>
          <cell r="H205" t="str">
            <v>RACOSTAF5@GMAIL.COM</v>
          </cell>
          <cell r="I205" t="str">
            <v>15516</v>
          </cell>
          <cell r="J205" t="str">
            <v>PAIPA</v>
          </cell>
        </row>
        <row r="206">
          <cell r="A206">
            <v>7227927</v>
          </cell>
          <cell r="B206" t="str">
            <v>CC</v>
          </cell>
          <cell r="C206">
            <v>7227927</v>
          </cell>
          <cell r="D206">
            <v>3</v>
          </cell>
          <cell r="E206" t="str">
            <v>MARIÑO GARCIA PABLO HERNANDO</v>
          </cell>
          <cell r="F206" t="str">
            <v>CLL 13 16 28</v>
          </cell>
          <cell r="G206">
            <v>3102191633</v>
          </cell>
          <cell r="H206" t="str">
            <v>notificaciones@contapyme.com</v>
          </cell>
          <cell r="I206">
            <v>15041</v>
          </cell>
          <cell r="J206" t="str">
            <v>DUITAMA</v>
          </cell>
        </row>
        <row r="207">
          <cell r="A207">
            <v>7227983</v>
          </cell>
          <cell r="B207" t="str">
            <v>CC</v>
          </cell>
          <cell r="C207">
            <v>7227983</v>
          </cell>
          <cell r="D207">
            <v>6</v>
          </cell>
          <cell r="E207" t="str">
            <v>PEREZ SUAREZ JORGE ELIECER</v>
          </cell>
          <cell r="F207" t="str">
            <v>CLL 11A #22A-24</v>
          </cell>
          <cell r="G207">
            <v>3212471168</v>
          </cell>
          <cell r="H207" t="str">
            <v>jsgasnatural@gmail.com</v>
          </cell>
          <cell r="I207">
            <v>15041</v>
          </cell>
          <cell r="J207" t="str">
            <v>DUITAMA</v>
          </cell>
        </row>
        <row r="208">
          <cell r="A208">
            <v>74045573</v>
          </cell>
          <cell r="B208" t="str">
            <v>RT</v>
          </cell>
          <cell r="C208">
            <v>74045573</v>
          </cell>
          <cell r="D208">
            <v>1</v>
          </cell>
          <cell r="E208" t="str">
            <v>CORONADO ALEJANDRO</v>
          </cell>
          <cell r="F208" t="str">
            <v>cll 76 # 80a 24</v>
          </cell>
          <cell r="G208">
            <v>3209044716</v>
          </cell>
          <cell r="H208" t="str">
            <v>colchonescoronado@contabilidad.com</v>
          </cell>
          <cell r="I208">
            <v>11001</v>
          </cell>
          <cell r="J208" t="str">
            <v>BOGOTA D.C.</v>
          </cell>
        </row>
        <row r="209">
          <cell r="A209">
            <v>74130335</v>
          </cell>
          <cell r="B209" t="str">
            <v>RT</v>
          </cell>
          <cell r="C209">
            <v>74130335</v>
          </cell>
          <cell r="D209">
            <v>9</v>
          </cell>
          <cell r="E209" t="str">
            <v>FERRETERIA ALCATRAZ</v>
          </cell>
          <cell r="F209" t="str">
            <v>CLL 27 22 70</v>
          </cell>
          <cell r="G209">
            <v>36785246</v>
          </cell>
          <cell r="H209" t="str">
            <v>ferreteria.alcatraz@hotmail.com</v>
          </cell>
          <cell r="I209" t="str">
            <v>15516</v>
          </cell>
          <cell r="J209" t="str">
            <v>PAIPA</v>
          </cell>
        </row>
        <row r="210">
          <cell r="A210">
            <v>74130526</v>
          </cell>
          <cell r="B210" t="str">
            <v>CC</v>
          </cell>
          <cell r="C210">
            <v>74130526</v>
          </cell>
          <cell r="D210">
            <v>9</v>
          </cell>
          <cell r="E210" t="str">
            <v>VARGAS ESPINOSA JHON JAIRO</v>
          </cell>
          <cell r="F210" t="str">
            <v>CLL 22C 29A 47</v>
          </cell>
          <cell r="G210">
            <v>2694397</v>
          </cell>
          <cell r="H210" t="str">
            <v>emanuel.5010@hotmail.com</v>
          </cell>
          <cell r="I210">
            <v>11001</v>
          </cell>
          <cell r="J210" t="str">
            <v>BOGOTA D.C.</v>
          </cell>
        </row>
        <row r="211">
          <cell r="A211">
            <v>74130861</v>
          </cell>
          <cell r="B211" t="str">
            <v>CC</v>
          </cell>
          <cell r="C211">
            <v>74130861</v>
          </cell>
          <cell r="D211">
            <v>1</v>
          </cell>
          <cell r="E211" t="str">
            <v>PALACIOS BENITEZ ETDWAR</v>
          </cell>
          <cell r="F211" t="str">
            <v>AV. LOS LIBERTADORES Nº 22-04</v>
          </cell>
          <cell r="H211" t="str">
            <v>ferrealumad@ventas.com</v>
          </cell>
          <cell r="I211" t="str">
            <v>15516</v>
          </cell>
          <cell r="J211" t="str">
            <v>PAIPA</v>
          </cell>
        </row>
        <row r="212">
          <cell r="A212">
            <v>74261682</v>
          </cell>
          <cell r="B212" t="str">
            <v>CC</v>
          </cell>
          <cell r="C212">
            <v>74261682</v>
          </cell>
          <cell r="D212">
            <v>1</v>
          </cell>
          <cell r="E212" t="str">
            <v>RAMOS UMAÑA JAVIER HERNANDO</v>
          </cell>
          <cell r="F212" t="str">
            <v>CR 26 8 A 30 CA 1 pisp</v>
          </cell>
          <cell r="G212">
            <v>5385728</v>
          </cell>
          <cell r="H212" t="str">
            <v>jenys94@hotmail.com</v>
          </cell>
          <cell r="I212">
            <v>15759</v>
          </cell>
          <cell r="J212" t="str">
            <v>SOGAMOSO</v>
          </cell>
        </row>
        <row r="213">
          <cell r="A213">
            <v>74323553</v>
          </cell>
          <cell r="B213" t="str">
            <v>CC</v>
          </cell>
          <cell r="C213">
            <v>74323553</v>
          </cell>
          <cell r="D213">
            <v>7</v>
          </cell>
          <cell r="E213" t="str">
            <v>PUERTO SANCHEZ EFREN</v>
          </cell>
          <cell r="F213" t="str">
            <v>Carrera 22 N° 25-14.</v>
          </cell>
          <cell r="G213" t="str">
            <v>7 850 131</v>
          </cell>
          <cell r="H213" t="str">
            <v>efernpuente@hotmail.com</v>
          </cell>
          <cell r="I213" t="str">
            <v>15516</v>
          </cell>
          <cell r="J213" t="str">
            <v>PAIPA</v>
          </cell>
        </row>
        <row r="214">
          <cell r="A214">
            <v>74324186</v>
          </cell>
          <cell r="B214" t="str">
            <v>CC</v>
          </cell>
          <cell r="C214">
            <v>74324186</v>
          </cell>
          <cell r="D214">
            <v>1</v>
          </cell>
          <cell r="E214" t="str">
            <v>MORA MATEUS WILSON RICARDO</v>
          </cell>
          <cell r="F214" t="str">
            <v>CLL 22 20 77</v>
          </cell>
          <cell r="G214">
            <v>3105510383</v>
          </cell>
          <cell r="H214" t="str">
            <v>wigabestudiocreativo@gmail.com</v>
          </cell>
          <cell r="I214" t="str">
            <v>15516</v>
          </cell>
          <cell r="J214" t="str">
            <v>PAIPA</v>
          </cell>
        </row>
        <row r="215">
          <cell r="A215">
            <v>74324303</v>
          </cell>
          <cell r="B215" t="str">
            <v>CC</v>
          </cell>
          <cell r="C215">
            <v>74324303</v>
          </cell>
          <cell r="D215">
            <v>7</v>
          </cell>
          <cell r="E215" t="str">
            <v>CERCADO CARLOS ARTURO</v>
          </cell>
          <cell r="F215" t="str">
            <v>vda cruz de bonza</v>
          </cell>
          <cell r="H215" t="str">
            <v>arturocer2007@yahoo.com</v>
          </cell>
          <cell r="I215" t="str">
            <v>15516</v>
          </cell>
          <cell r="J215" t="str">
            <v>PAIPA</v>
          </cell>
        </row>
        <row r="216">
          <cell r="A216">
            <v>74327434</v>
          </cell>
          <cell r="B216" t="str">
            <v>CC</v>
          </cell>
          <cell r="C216">
            <v>74327434</v>
          </cell>
          <cell r="D216">
            <v>7</v>
          </cell>
          <cell r="E216" t="str">
            <v>GOMEZ FUENTE NESTOR ANDRES</v>
          </cell>
          <cell r="F216" t="str">
            <v>CR 5 8A 44 BR SIMON BOLIVAR BELEN</v>
          </cell>
          <cell r="G216">
            <v>3003164743</v>
          </cell>
          <cell r="H216" t="str">
            <v>nagf777@gmail.com</v>
          </cell>
          <cell r="I216">
            <v>15087</v>
          </cell>
          <cell r="J216" t="str">
            <v>BELEN</v>
          </cell>
        </row>
        <row r="217">
          <cell r="A217">
            <v>74358612</v>
          </cell>
          <cell r="B217" t="str">
            <v>CC</v>
          </cell>
          <cell r="C217">
            <v>74358612</v>
          </cell>
          <cell r="D217">
            <v>4</v>
          </cell>
          <cell r="E217" t="str">
            <v>SANDOVAL FUQUEN HUGO HUMBERTO</v>
          </cell>
          <cell r="F217" t="str">
            <v>CARRERA 22 # 26-53</v>
          </cell>
          <cell r="H217" t="str">
            <v>sys.hugo@gmail.com</v>
          </cell>
          <cell r="I217" t="str">
            <v>15516</v>
          </cell>
          <cell r="J217" t="str">
            <v>PAIPA</v>
          </cell>
        </row>
        <row r="218">
          <cell r="A218">
            <v>74358613</v>
          </cell>
          <cell r="B218" t="str">
            <v>CC</v>
          </cell>
          <cell r="C218">
            <v>74358613</v>
          </cell>
          <cell r="D218">
            <v>1</v>
          </cell>
          <cell r="E218" t="str">
            <v>CAMARGO MONROY RICARDO</v>
          </cell>
          <cell r="F218" t="str">
            <v>CL 25 23 24 LC 1</v>
          </cell>
          <cell r="G218">
            <v>3144339295</v>
          </cell>
          <cell r="H218" t="str">
            <v xml:space="preserve"> ricardocamargom2022@gmail.com</v>
          </cell>
          <cell r="I218" t="str">
            <v>15516</v>
          </cell>
          <cell r="J218" t="str">
            <v>PAIPA</v>
          </cell>
        </row>
        <row r="219">
          <cell r="A219">
            <v>74359975</v>
          </cell>
          <cell r="B219" t="str">
            <v>CC</v>
          </cell>
          <cell r="C219">
            <v>74359975</v>
          </cell>
          <cell r="D219">
            <v>7</v>
          </cell>
          <cell r="E219" t="str">
            <v>OSTOS CAMARGO KADIR</v>
          </cell>
          <cell r="F219" t="str">
            <v>calle 27 # 16-19</v>
          </cell>
          <cell r="H219" t="str">
            <v>cadirccheff@gmail.com</v>
          </cell>
          <cell r="I219" t="str">
            <v>15516</v>
          </cell>
          <cell r="J219" t="str">
            <v>PAIPA</v>
          </cell>
        </row>
        <row r="220">
          <cell r="A220">
            <v>74360304</v>
          </cell>
          <cell r="B220" t="str">
            <v>CC</v>
          </cell>
          <cell r="C220">
            <v>74360304</v>
          </cell>
          <cell r="D220">
            <v>7</v>
          </cell>
          <cell r="E220" t="str">
            <v>LOTE RUEDA CAMILO</v>
          </cell>
          <cell r="F220" t="str">
            <v>CR 13 23 39</v>
          </cell>
          <cell r="H220" t="str">
            <v>mesadecontrol@facturatech.co</v>
          </cell>
          <cell r="I220" t="str">
            <v>15516</v>
          </cell>
          <cell r="J220" t="str">
            <v>PAIPA</v>
          </cell>
        </row>
        <row r="221">
          <cell r="A221">
            <v>74360492</v>
          </cell>
          <cell r="B221" t="str">
            <v>CC</v>
          </cell>
          <cell r="C221">
            <v>74360492</v>
          </cell>
          <cell r="D221">
            <v>3</v>
          </cell>
          <cell r="E221" t="str">
            <v>BOLIVAR ALVA CARLOS IGNACIO</v>
          </cell>
          <cell r="F221" t="str">
            <v>vereda la esperanza tibasosa</v>
          </cell>
          <cell r="H221" t="str">
            <v>carlosbolivar917@gmail.com</v>
          </cell>
          <cell r="I221" t="str">
            <v>15516</v>
          </cell>
          <cell r="J221" t="str">
            <v>PAIPA</v>
          </cell>
        </row>
        <row r="222">
          <cell r="A222">
            <v>74360587</v>
          </cell>
          <cell r="B222" t="str">
            <v>CC</v>
          </cell>
          <cell r="C222">
            <v>74360587</v>
          </cell>
          <cell r="D222">
            <v>4</v>
          </cell>
          <cell r="E222" t="str">
            <v>RAMIREZ SALAMANCA OCTAVIO</v>
          </cell>
          <cell r="F222" t="str">
            <v>crr 23 # 22-02</v>
          </cell>
          <cell r="H222" t="str">
            <v>carnicos normando@ventas .com</v>
          </cell>
          <cell r="I222" t="str">
            <v>15516</v>
          </cell>
          <cell r="J222" t="str">
            <v>PAIPA</v>
          </cell>
        </row>
        <row r="223">
          <cell r="A223">
            <v>74360740</v>
          </cell>
          <cell r="B223" t="str">
            <v>CC</v>
          </cell>
          <cell r="C223">
            <v>74360740</v>
          </cell>
          <cell r="D223">
            <v>5</v>
          </cell>
          <cell r="E223" t="str">
            <v>ROBERTO PEREZ DAVID ALBERTO</v>
          </cell>
          <cell r="F223" t="str">
            <v>CL 24 19  110</v>
          </cell>
          <cell r="G223">
            <v>3203204045</v>
          </cell>
          <cell r="H223" t="str">
            <v>CONTABILIDADSUPERSONA@GMAIL.COM</v>
          </cell>
          <cell r="I223" t="str">
            <v>15516</v>
          </cell>
          <cell r="J223" t="str">
            <v>PAIPA</v>
          </cell>
        </row>
        <row r="224">
          <cell r="A224">
            <v>74366042</v>
          </cell>
          <cell r="B224" t="str">
            <v>CC</v>
          </cell>
          <cell r="C224">
            <v>74366042</v>
          </cell>
          <cell r="D224">
            <v>1</v>
          </cell>
          <cell r="E224" t="str">
            <v>LOPEZ VEGA LUIS EDUARDO</v>
          </cell>
          <cell r="F224" t="str">
            <v>CR 18 14 20</v>
          </cell>
          <cell r="G224">
            <v>3102746209</v>
          </cell>
          <cell r="H224" t="str">
            <v>joe.ortizsandoval11@gmail.com</v>
          </cell>
          <cell r="I224">
            <v>15041</v>
          </cell>
          <cell r="J224" t="str">
            <v>DUITAMA</v>
          </cell>
        </row>
        <row r="225">
          <cell r="A225">
            <v>74372467</v>
          </cell>
          <cell r="B225" t="str">
            <v>CC</v>
          </cell>
          <cell r="C225">
            <v>74372467</v>
          </cell>
          <cell r="D225">
            <v>0</v>
          </cell>
          <cell r="E225" t="str">
            <v>AMEZQUITA ESTUPIÑAN FABIO</v>
          </cell>
          <cell r="F225" t="str">
            <v>CALLE 12 18A-57</v>
          </cell>
          <cell r="G225">
            <v>3124320690</v>
          </cell>
          <cell r="H225" t="str">
            <v>fabioamez12@hotmail.com</v>
          </cell>
          <cell r="I225">
            <v>15041</v>
          </cell>
          <cell r="J225" t="str">
            <v>DUITAMA</v>
          </cell>
        </row>
        <row r="226">
          <cell r="A226">
            <v>74376123</v>
          </cell>
          <cell r="B226" t="str">
            <v>CC</v>
          </cell>
          <cell r="C226">
            <v>74376123</v>
          </cell>
          <cell r="D226">
            <v>0</v>
          </cell>
          <cell r="E226" t="str">
            <v>FONSECA PEREZ ALIRIO</v>
          </cell>
          <cell r="F226" t="str">
            <v>PUENTE LA BALSA</v>
          </cell>
          <cell r="G226">
            <v>3208028132</v>
          </cell>
          <cell r="H226" t="str">
            <v>ALIRIO.FONSECA@GMAIL.COM</v>
          </cell>
          <cell r="I226" t="str">
            <v>15516</v>
          </cell>
          <cell r="J226" t="str">
            <v>PAIPA</v>
          </cell>
        </row>
        <row r="227">
          <cell r="A227">
            <v>74376228</v>
          </cell>
          <cell r="B227" t="str">
            <v>CC</v>
          </cell>
          <cell r="C227">
            <v>74376228</v>
          </cell>
          <cell r="D227">
            <v>5</v>
          </cell>
          <cell r="E227" t="str">
            <v>CORREA RAMIREZ NOE DALBERTO</v>
          </cell>
          <cell r="F227" t="str">
            <v>villa panorama</v>
          </cell>
          <cell r="G227">
            <v>3123518433</v>
          </cell>
          <cell r="H227" t="str">
            <v>noedalbertocorredor@gmail.com</v>
          </cell>
          <cell r="I227">
            <v>15041</v>
          </cell>
          <cell r="J227" t="str">
            <v>DUITAMA</v>
          </cell>
        </row>
        <row r="228">
          <cell r="A228">
            <v>74377075</v>
          </cell>
          <cell r="B228" t="str">
            <v>CC</v>
          </cell>
          <cell r="C228">
            <v>74377075</v>
          </cell>
          <cell r="D228">
            <v>1</v>
          </cell>
          <cell r="E228" t="str">
            <v>NIÑO PEDRAZA WILLIAN FERNEY</v>
          </cell>
          <cell r="F228" t="str">
            <v>CRR 11 9 20 BARRIO DIVINO NIÑO</v>
          </cell>
          <cell r="G228">
            <v>3115464911</v>
          </cell>
          <cell r="H228" t="str">
            <v>TECNISERVICIOSNATURAL.GAS@HOTMAIL.COM</v>
          </cell>
          <cell r="I228">
            <v>15238</v>
          </cell>
          <cell r="J228" t="str">
            <v>DUITAMA</v>
          </cell>
        </row>
        <row r="229">
          <cell r="A229">
            <v>74378503</v>
          </cell>
          <cell r="B229" t="str">
            <v>RT</v>
          </cell>
          <cell r="C229">
            <v>74378503</v>
          </cell>
          <cell r="D229">
            <v>5</v>
          </cell>
          <cell r="E229" t="str">
            <v>MACHENCO CUBILLOS CRISTO JULIO</v>
          </cell>
          <cell r="F229" t="str">
            <v>CALLE 27 # 19A-64</v>
          </cell>
          <cell r="H229" t="str">
            <v>cnstofincagmail.com</v>
          </cell>
          <cell r="I229" t="str">
            <v>15516</v>
          </cell>
          <cell r="J229" t="str">
            <v>PAIPA</v>
          </cell>
        </row>
        <row r="230">
          <cell r="A230">
            <v>74380787</v>
          </cell>
          <cell r="B230" t="str">
            <v>RT</v>
          </cell>
          <cell r="C230">
            <v>74380787</v>
          </cell>
          <cell r="D230">
            <v>6</v>
          </cell>
          <cell r="E230" t="str">
            <v>MARTINEZ MARTINEZ JOSE RAMOS</v>
          </cell>
          <cell r="F230" t="str">
            <v>CL 64 C BIS A # 85 - 87</v>
          </cell>
          <cell r="G230" t="str">
            <v>312 3638252</v>
          </cell>
          <cell r="H230" t="str">
            <v>martinezmarramos@hotmail.com</v>
          </cell>
          <cell r="I230" t="str">
            <v>15516</v>
          </cell>
          <cell r="J230" t="str">
            <v>PAIPA</v>
          </cell>
        </row>
        <row r="231">
          <cell r="A231">
            <v>74381737</v>
          </cell>
          <cell r="B231" t="str">
            <v>CC</v>
          </cell>
          <cell r="C231">
            <v>74381737</v>
          </cell>
          <cell r="D231">
            <v>2</v>
          </cell>
          <cell r="E231" t="str">
            <v>BENITEZ GUTIERREZ EDWIN ISMAEL</v>
          </cell>
          <cell r="F231" t="str">
            <v>MZ 24 BLOQUE D ESTACION DE ALEJANDRIA</v>
          </cell>
          <cell r="H231" t="str">
            <v>EDWINBENITEZ24@YAHOO.ES</v>
          </cell>
          <cell r="I231" t="str">
            <v>15516</v>
          </cell>
          <cell r="J231" t="str">
            <v>PAIPA</v>
          </cell>
        </row>
        <row r="232">
          <cell r="A232">
            <v>76330503</v>
          </cell>
          <cell r="B232" t="str">
            <v>CC</v>
          </cell>
          <cell r="C232">
            <v>76330503</v>
          </cell>
          <cell r="D232">
            <v>5</v>
          </cell>
          <cell r="E232" t="str">
            <v>ORTIZ CABRERA LUIS ARMANDO</v>
          </cell>
          <cell r="F232" t="str">
            <v>Calle 21A # 69B - 71</v>
          </cell>
          <cell r="G232">
            <v>3006092512</v>
          </cell>
          <cell r="H232" t="str">
            <v>luiarmandoortiz@hotmail.com</v>
          </cell>
          <cell r="I232">
            <v>11001</v>
          </cell>
          <cell r="J232" t="str">
            <v>BOGOTA D.C.</v>
          </cell>
        </row>
        <row r="233">
          <cell r="A233">
            <v>77036224</v>
          </cell>
          <cell r="B233" t="str">
            <v>CC</v>
          </cell>
          <cell r="C233">
            <v>77036224</v>
          </cell>
          <cell r="D233">
            <v>9</v>
          </cell>
          <cell r="E233" t="str">
            <v>COTES MENDEZ EFRAIN ALFONSO</v>
          </cell>
          <cell r="F233" t="str">
            <v>CR 7B #153-65</v>
          </cell>
          <cell r="H233" t="str">
            <v>efracome@yahoo.com</v>
          </cell>
          <cell r="I233">
            <v>11001</v>
          </cell>
          <cell r="J233" t="str">
            <v>BOGOTA D.C.</v>
          </cell>
        </row>
        <row r="234">
          <cell r="A234">
            <v>79136869</v>
          </cell>
          <cell r="B234" t="str">
            <v>CC</v>
          </cell>
          <cell r="C234">
            <v>79136869</v>
          </cell>
          <cell r="D234">
            <v>5</v>
          </cell>
          <cell r="E234" t="str">
            <v>RODRIGUEZ RODRIGUEZ CARLOS ALBERTO</v>
          </cell>
          <cell r="F234" t="str">
            <v>Carrera 50  50  14 OF 1401</v>
          </cell>
          <cell r="G234">
            <v>3163538369</v>
          </cell>
          <cell r="H234" t="str">
            <v>rrca7101@gmail.com</v>
          </cell>
          <cell r="I234">
            <v>11001</v>
          </cell>
          <cell r="J234" t="str">
            <v>BOGOTA D.C.</v>
          </cell>
        </row>
        <row r="235">
          <cell r="A235">
            <v>79139360</v>
          </cell>
          <cell r="B235" t="str">
            <v>CC</v>
          </cell>
          <cell r="C235">
            <v>79139360</v>
          </cell>
          <cell r="D235">
            <v>2</v>
          </cell>
          <cell r="E235" t="str">
            <v>PULIDO VICTOR</v>
          </cell>
          <cell r="F235" t="str">
            <v>CR 55 #159-63</v>
          </cell>
          <cell r="H235" t="str">
            <v>verometag@gmail.com</v>
          </cell>
          <cell r="I235">
            <v>11001</v>
          </cell>
          <cell r="J235" t="str">
            <v>BOGOTA D.C.</v>
          </cell>
        </row>
        <row r="236">
          <cell r="A236">
            <v>79236257</v>
          </cell>
          <cell r="B236" t="str">
            <v>CC</v>
          </cell>
          <cell r="C236">
            <v>79236257</v>
          </cell>
          <cell r="D236">
            <v>7</v>
          </cell>
          <cell r="E236" t="str">
            <v>CUBIDES RAMON</v>
          </cell>
          <cell r="F236" t="str">
            <v>CR 94 F # 86A - 25</v>
          </cell>
          <cell r="H236" t="str">
            <v>RAMONCUBIDESRODRIGUEZ@GMAIL.COM</v>
          </cell>
          <cell r="I236">
            <v>11001</v>
          </cell>
          <cell r="J236" t="str">
            <v>BOGOTA D.C.</v>
          </cell>
        </row>
        <row r="237">
          <cell r="A237">
            <v>79288484</v>
          </cell>
          <cell r="B237" t="str">
            <v>CC</v>
          </cell>
          <cell r="C237">
            <v>79288484</v>
          </cell>
          <cell r="D237">
            <v>5</v>
          </cell>
          <cell r="E237" t="str">
            <v>PUENTES SANDOVAL RAFAEL</v>
          </cell>
          <cell r="F237" t="str">
            <v xml:space="preserve"> CL 63 C 30 12</v>
          </cell>
          <cell r="G237">
            <v>3176490107</v>
          </cell>
          <cell r="H237" t="str">
            <v>katapuentes2000@gmail.com</v>
          </cell>
          <cell r="I237">
            <v>11001</v>
          </cell>
          <cell r="J237" t="str">
            <v>BOGOTA D.C.</v>
          </cell>
        </row>
        <row r="238">
          <cell r="A238">
            <v>79292013</v>
          </cell>
          <cell r="B238" t="str">
            <v>CC</v>
          </cell>
          <cell r="C238">
            <v>79292013</v>
          </cell>
          <cell r="D238">
            <v>5</v>
          </cell>
          <cell r="E238" t="str">
            <v>FONSECA OCHOA JUAN</v>
          </cell>
          <cell r="F238" t="str">
            <v>VEREDA LA ESPERANZA</v>
          </cell>
          <cell r="H238" t="str">
            <v>juanfo8a@gmail.com</v>
          </cell>
          <cell r="I238" t="str">
            <v>15516</v>
          </cell>
          <cell r="J238" t="str">
            <v>PAIPA</v>
          </cell>
        </row>
        <row r="239">
          <cell r="A239">
            <v>79396940</v>
          </cell>
          <cell r="B239" t="str">
            <v>CC</v>
          </cell>
          <cell r="C239">
            <v>79396940</v>
          </cell>
          <cell r="D239">
            <v>5</v>
          </cell>
          <cell r="E239" t="str">
            <v>BELTRAN AYURE ORLANDO RAMON</v>
          </cell>
          <cell r="F239" t="str">
            <v>CRR 42 18 13MZ LK CA 27 BRR BUQUE ALTO</v>
          </cell>
          <cell r="H239" t="str">
            <v>orlandocholaos66@gmail.com</v>
          </cell>
          <cell r="I239">
            <v>50001</v>
          </cell>
          <cell r="J239" t="str">
            <v>VILLAVICENCIO</v>
          </cell>
        </row>
        <row r="240">
          <cell r="A240">
            <v>79443452</v>
          </cell>
          <cell r="B240" t="str">
            <v>CC</v>
          </cell>
          <cell r="C240">
            <v>79443452</v>
          </cell>
          <cell r="D240">
            <v>4</v>
          </cell>
          <cell r="E240" t="str">
            <v>DIAZ PRIETO JORGE FERNANDO</v>
          </cell>
          <cell r="F240" t="str">
            <v>Carrera 22 41-35</v>
          </cell>
          <cell r="G240">
            <v>3114932116</v>
          </cell>
          <cell r="H240" t="str">
            <v>jorgefernandodiaz@icloud.com</v>
          </cell>
          <cell r="I240">
            <v>11001</v>
          </cell>
          <cell r="J240" t="str">
            <v>BOGOTA D.C.</v>
          </cell>
        </row>
        <row r="241">
          <cell r="A241">
            <v>79556398</v>
          </cell>
          <cell r="B241" t="str">
            <v>CC</v>
          </cell>
          <cell r="C241">
            <v>79556398</v>
          </cell>
          <cell r="D241">
            <v>1</v>
          </cell>
          <cell r="E241" t="str">
            <v>PINZON RAQUEL</v>
          </cell>
          <cell r="F241" t="str">
            <v>AV 30 # 58 - 69</v>
          </cell>
          <cell r="H241" t="str">
            <v>raquelpinzonvega@hotmail.com</v>
          </cell>
          <cell r="I241">
            <v>11001</v>
          </cell>
          <cell r="J241" t="str">
            <v>BOGOTA D.C.</v>
          </cell>
        </row>
        <row r="242">
          <cell r="A242">
            <v>79595596</v>
          </cell>
          <cell r="B242" t="str">
            <v>CC</v>
          </cell>
          <cell r="C242">
            <v>79595596</v>
          </cell>
          <cell r="D242">
            <v>8</v>
          </cell>
          <cell r="E242" t="str">
            <v>TENJO RAUL</v>
          </cell>
          <cell r="F242" t="str">
            <v>cll 29 # 19 - 23</v>
          </cell>
          <cell r="H242" t="str">
            <v>raultenjo@gmail.com</v>
          </cell>
          <cell r="I242">
            <v>11001</v>
          </cell>
          <cell r="J242" t="str">
            <v>BOGOTA D.C.</v>
          </cell>
        </row>
        <row r="243">
          <cell r="A243">
            <v>79684254</v>
          </cell>
          <cell r="B243" t="str">
            <v>CC</v>
          </cell>
          <cell r="C243">
            <v>79684254</v>
          </cell>
          <cell r="D243">
            <v>6</v>
          </cell>
          <cell r="E243" t="str">
            <v>ROJAS AGUILAR JAIRO</v>
          </cell>
          <cell r="F243" t="str">
            <v>cll 65 # 39-235</v>
          </cell>
          <cell r="H243" t="str">
            <v>jairoaguilar@yahoo.com</v>
          </cell>
          <cell r="I243">
            <v>5001</v>
          </cell>
          <cell r="J243" t="str">
            <v>MEDELLIN</v>
          </cell>
        </row>
        <row r="244">
          <cell r="A244">
            <v>79724441</v>
          </cell>
          <cell r="B244" t="str">
            <v>CC</v>
          </cell>
          <cell r="C244">
            <v>79724441</v>
          </cell>
          <cell r="D244">
            <v>1</v>
          </cell>
          <cell r="E244" t="str">
            <v>RODRIGUEZ CORTES RICARDO ANDRES</v>
          </cell>
          <cell r="F244" t="str">
            <v>CLL 23 #68-50</v>
          </cell>
          <cell r="H244" t="str">
            <v>richirod@gmail.com</v>
          </cell>
          <cell r="I244">
            <v>11001</v>
          </cell>
          <cell r="J244" t="str">
            <v>BOGOTA D.C.</v>
          </cell>
        </row>
        <row r="245">
          <cell r="A245">
            <v>79728133</v>
          </cell>
          <cell r="B245" t="str">
            <v>RT</v>
          </cell>
          <cell r="C245">
            <v>79728133</v>
          </cell>
          <cell r="D245">
            <v>4</v>
          </cell>
          <cell r="E245" t="str">
            <v>ARBOLEDA GUZMAN ELMER ANTONIO</v>
          </cell>
          <cell r="F245" t="str">
            <v>cl 19 41a 48</v>
          </cell>
          <cell r="H245" t="str">
            <v>ferrevalles2ar@gmail.com</v>
          </cell>
          <cell r="I245">
            <v>50001</v>
          </cell>
          <cell r="J245" t="str">
            <v>VILLAVICENCIO</v>
          </cell>
        </row>
        <row r="246">
          <cell r="A246">
            <v>79863827</v>
          </cell>
          <cell r="B246" t="str">
            <v>CC</v>
          </cell>
          <cell r="C246">
            <v>79863827</v>
          </cell>
          <cell r="D246">
            <v>4</v>
          </cell>
          <cell r="E246" t="str">
            <v>LOPEZ VEGA JAVIER IJINIO</v>
          </cell>
          <cell r="F246" t="str">
            <v>CR 16 14 51</v>
          </cell>
          <cell r="G246">
            <v>3107726619</v>
          </cell>
          <cell r="H246" t="str">
            <v>javier.lopezvega@gmail.com</v>
          </cell>
          <cell r="I246">
            <v>15238</v>
          </cell>
          <cell r="J246" t="str">
            <v>DUITAMA</v>
          </cell>
        </row>
        <row r="247">
          <cell r="A247">
            <v>79865363</v>
          </cell>
          <cell r="B247" t="str">
            <v>CC</v>
          </cell>
          <cell r="C247">
            <v>79865363</v>
          </cell>
          <cell r="D247">
            <v>8</v>
          </cell>
          <cell r="E247" t="str">
            <v>CUSGUEN JOSE JOAQUIN</v>
          </cell>
          <cell r="F247" t="str">
            <v>carrera 26 # 27a-49</v>
          </cell>
          <cell r="H247" t="str">
            <v>eventosstars1@hotmail.com</v>
          </cell>
          <cell r="I247" t="str">
            <v>15516</v>
          </cell>
          <cell r="J247" t="str">
            <v>PAIPA</v>
          </cell>
        </row>
        <row r="248">
          <cell r="A248">
            <v>79869266</v>
          </cell>
          <cell r="B248" t="str">
            <v>CC</v>
          </cell>
          <cell r="C248">
            <v>79869266</v>
          </cell>
          <cell r="D248">
            <v>1</v>
          </cell>
          <cell r="E248" t="str">
            <v>CAMARGO CIPAGAUTA GERMAN</v>
          </cell>
          <cell r="F248" t="str">
            <v>CR 24 22 04</v>
          </cell>
          <cell r="G248">
            <v>3134538141</v>
          </cell>
          <cell r="H248" t="str">
            <v>andrea.camargo2305@gmail.com</v>
          </cell>
          <cell r="I248" t="str">
            <v>15516</v>
          </cell>
          <cell r="J248" t="str">
            <v>PAIPA</v>
          </cell>
        </row>
        <row r="249">
          <cell r="A249">
            <v>79878543</v>
          </cell>
          <cell r="B249" t="str">
            <v>CC</v>
          </cell>
          <cell r="C249">
            <v>79878543</v>
          </cell>
          <cell r="D249">
            <v>3</v>
          </cell>
          <cell r="E249" t="str">
            <v>ACOSTA CARLOS ALFONSO</v>
          </cell>
          <cell r="F249" t="str">
            <v>cr 13 # 23 - 05</v>
          </cell>
          <cell r="G249">
            <v>3114671148</v>
          </cell>
          <cell r="H249" t="str">
            <v>acostacarlos-@hotmail.com</v>
          </cell>
          <cell r="I249" t="str">
            <v>15516</v>
          </cell>
          <cell r="J249" t="str">
            <v>PAIPA</v>
          </cell>
        </row>
        <row r="250">
          <cell r="A250">
            <v>79939043</v>
          </cell>
          <cell r="B250" t="str">
            <v>RT</v>
          </cell>
          <cell r="C250">
            <v>79939043</v>
          </cell>
          <cell r="D250">
            <v>5</v>
          </cell>
          <cell r="E250" t="str">
            <v>ARDILA FINO ANDRES ADOLFON</v>
          </cell>
          <cell r="F250" t="str">
            <v>CR 74 35 B 49</v>
          </cell>
          <cell r="H250" t="str">
            <v>director@casacreativa.co</v>
          </cell>
          <cell r="I250">
            <v>50001</v>
          </cell>
          <cell r="J250" t="str">
            <v>VILLAVICENCIO</v>
          </cell>
        </row>
        <row r="251">
          <cell r="A251">
            <v>79939046</v>
          </cell>
          <cell r="B251" t="str">
            <v>RT</v>
          </cell>
          <cell r="C251">
            <v>79939043</v>
          </cell>
          <cell r="D251">
            <v>5</v>
          </cell>
          <cell r="E251" t="str">
            <v>ARDILA FINO ANDRES ADOLFON</v>
          </cell>
          <cell r="F251" t="str">
            <v>CR 74 35 B 49</v>
          </cell>
          <cell r="H251" t="str">
            <v>director@casacreativa.co</v>
          </cell>
          <cell r="I251">
            <v>50001</v>
          </cell>
          <cell r="J251" t="str">
            <v>VILLAVICENCIO</v>
          </cell>
        </row>
        <row r="252">
          <cell r="A252">
            <v>79961050</v>
          </cell>
          <cell r="B252" t="str">
            <v>CC</v>
          </cell>
          <cell r="C252">
            <v>79961050</v>
          </cell>
          <cell r="D252">
            <v>9</v>
          </cell>
          <cell r="E252" t="str">
            <v>VARGAS GARZON EDWIN</v>
          </cell>
          <cell r="F252" t="str">
            <v>condominio terracota casa#4</v>
          </cell>
          <cell r="H252" t="str">
            <v>dihuckaby93@gmail.com</v>
          </cell>
          <cell r="I252">
            <v>25386</v>
          </cell>
          <cell r="J252" t="str">
            <v>LA MESA</v>
          </cell>
        </row>
        <row r="253">
          <cell r="A253">
            <v>79980613</v>
          </cell>
          <cell r="B253" t="str">
            <v>CC</v>
          </cell>
          <cell r="C253">
            <v>79980613</v>
          </cell>
          <cell r="D253">
            <v>6</v>
          </cell>
          <cell r="E253" t="str">
            <v>CATELLANOS CEPEDA ALEXANDER</v>
          </cell>
          <cell r="F253" t="str">
            <v>CR 9 13 13 0F 312</v>
          </cell>
          <cell r="G253">
            <v>3193702227</v>
          </cell>
          <cell r="H253" t="str">
            <v>alex.caste.cepe@gmail.com</v>
          </cell>
          <cell r="I253">
            <v>11001</v>
          </cell>
          <cell r="J253" t="str">
            <v>BOGOTA D.C.</v>
          </cell>
        </row>
        <row r="254">
          <cell r="A254">
            <v>800021811</v>
          </cell>
          <cell r="B254" t="str">
            <v>NT</v>
          </cell>
          <cell r="C254">
            <v>800021811</v>
          </cell>
          <cell r="D254">
            <v>9</v>
          </cell>
          <cell r="E254" t="str">
            <v>SAYCO Y ASINPRO - OSA</v>
          </cell>
          <cell r="F254" t="str">
            <v>KR 12 18 33 OF 305</v>
          </cell>
          <cell r="G254" t="str">
            <v>(608) 744 2048</v>
          </cell>
          <cell r="H254" t="str">
            <v>servicioalcliente@saycoacinpro.org.co</v>
          </cell>
          <cell r="I254">
            <v>15001</v>
          </cell>
          <cell r="J254" t="str">
            <v>TUNJA</v>
          </cell>
        </row>
        <row r="255">
          <cell r="A255">
            <v>800046913</v>
          </cell>
          <cell r="B255" t="str">
            <v>NT</v>
          </cell>
          <cell r="C255">
            <v>800046913</v>
          </cell>
          <cell r="D255">
            <v>1</v>
          </cell>
          <cell r="E255" t="str">
            <v>ELECTROPARRA LTDA</v>
          </cell>
          <cell r="F255" t="str">
            <v>CR 17 10 27</v>
          </cell>
          <cell r="G255">
            <v>7651959</v>
          </cell>
          <cell r="H255" t="str">
            <v>electroparra@yahoo.com</v>
          </cell>
          <cell r="I255">
            <v>15041</v>
          </cell>
          <cell r="J255" t="str">
            <v>DUITAMA</v>
          </cell>
        </row>
        <row r="256">
          <cell r="A256">
            <v>800088940</v>
          </cell>
          <cell r="B256" t="str">
            <v>NT</v>
          </cell>
          <cell r="C256">
            <v>800088940</v>
          </cell>
          <cell r="D256">
            <v>9</v>
          </cell>
          <cell r="E256" t="str">
            <v>PAIPA TOURS LTDA</v>
          </cell>
          <cell r="F256" t="str">
            <v>calle 25 # 19-44</v>
          </cell>
          <cell r="G256">
            <v>7850673</v>
          </cell>
          <cell r="H256" t="str">
            <v>ventas@paipatoursboyaca.com</v>
          </cell>
          <cell r="I256" t="str">
            <v>15516</v>
          </cell>
          <cell r="J256" t="str">
            <v>PAIPA</v>
          </cell>
        </row>
        <row r="257">
          <cell r="A257">
            <v>800100125</v>
          </cell>
          <cell r="B257" t="str">
            <v>NT</v>
          </cell>
          <cell r="C257">
            <v>800100125</v>
          </cell>
          <cell r="D257">
            <v>3</v>
          </cell>
          <cell r="E257" t="str">
            <v>LADRRIGRES SAS</v>
          </cell>
          <cell r="F257" t="str">
            <v>KM 48 VIA UBATE VDA PAJARITO</v>
          </cell>
          <cell r="G257">
            <v>3112038313</v>
          </cell>
          <cell r="H257" t="str">
            <v>GERENCIA@LADRIGRES.COM</v>
          </cell>
          <cell r="I257">
            <v>25793</v>
          </cell>
          <cell r="J257" t="str">
            <v>TAUSA</v>
          </cell>
        </row>
        <row r="258">
          <cell r="A258">
            <v>800130144</v>
          </cell>
          <cell r="B258" t="str">
            <v>NT</v>
          </cell>
          <cell r="C258">
            <v>800130144</v>
          </cell>
          <cell r="D258">
            <v>1</v>
          </cell>
          <cell r="E258" t="str">
            <v>BURICA S A</v>
          </cell>
          <cell r="F258" t="str">
            <v>CRA 1 47 68</v>
          </cell>
          <cell r="G258">
            <v>3113876259</v>
          </cell>
          <cell r="H258" t="str">
            <v>siesafe@siesa.com</v>
          </cell>
          <cell r="I258">
            <v>76001</v>
          </cell>
          <cell r="J258" t="str">
            <v>CALI</v>
          </cell>
        </row>
        <row r="259">
          <cell r="A259">
            <v>800130426</v>
          </cell>
          <cell r="B259" t="str">
            <v>NT</v>
          </cell>
          <cell r="C259">
            <v>800130426</v>
          </cell>
          <cell r="D259">
            <v>3</v>
          </cell>
          <cell r="E259" t="str">
            <v>G&amp;J FERRETERIAS S.A</v>
          </cell>
          <cell r="F259" t="str">
            <v>CARRERA 62 12 78 LOCAL 1 CC PUESTE ARANDA</v>
          </cell>
          <cell r="G259">
            <v>6012600783</v>
          </cell>
          <cell r="H259" t="str">
            <v>impuestos@gyj.com.co</v>
          </cell>
          <cell r="I259">
            <v>11001</v>
          </cell>
          <cell r="J259" t="str">
            <v>BOGOTA D.C.</v>
          </cell>
        </row>
        <row r="260">
          <cell r="A260">
            <v>800149695</v>
          </cell>
          <cell r="B260" t="str">
            <v>NT</v>
          </cell>
          <cell r="C260">
            <v>800149695</v>
          </cell>
          <cell r="D260">
            <v>1</v>
          </cell>
          <cell r="E260" t="str">
            <v>DROGUERIAS Y FARMACIAS CRUZ VERDE SAS</v>
          </cell>
          <cell r="F260" t="str">
            <v>CALLE 97 # 13-14</v>
          </cell>
          <cell r="G260">
            <v>4865000</v>
          </cell>
          <cell r="H260" t="str">
            <v>ventascruzverde@comercial.com</v>
          </cell>
          <cell r="I260">
            <v>11001</v>
          </cell>
          <cell r="J260" t="str">
            <v>BOGOTA D.C.</v>
          </cell>
        </row>
        <row r="261">
          <cell r="A261">
            <v>800153993</v>
          </cell>
          <cell r="B261" t="str">
            <v>NT</v>
          </cell>
          <cell r="C261">
            <v>800153993</v>
          </cell>
          <cell r="D261">
            <v>7</v>
          </cell>
          <cell r="E261" t="str">
            <v>CLARO</v>
          </cell>
          <cell r="F261" t="str">
            <v>Carrera 68 A No. 24 B - 10 Plaza Claro</v>
          </cell>
          <cell r="G261">
            <v>7441818</v>
          </cell>
          <cell r="H261" t="str">
            <v>solucionesclaro@claro.com.co.</v>
          </cell>
          <cell r="I261">
            <v>11001</v>
          </cell>
          <cell r="J261" t="str">
            <v>BOGOTA D.C.</v>
          </cell>
        </row>
        <row r="262">
          <cell r="A262">
            <v>800156522</v>
          </cell>
          <cell r="B262" t="str">
            <v>NT</v>
          </cell>
          <cell r="C262">
            <v>800156522</v>
          </cell>
          <cell r="D262">
            <v>5</v>
          </cell>
          <cell r="E262" t="str">
            <v>HOTEL SORATAMA S.A.S.</v>
          </cell>
          <cell r="F262" t="str">
            <v>CR 7 19 20</v>
          </cell>
          <cell r="G262">
            <v>24856600</v>
          </cell>
          <cell r="H262" t="str">
            <v>800156522@factureinbox.co</v>
          </cell>
          <cell r="I262">
            <v>66001</v>
          </cell>
          <cell r="J262" t="str">
            <v>PEREIRA</v>
          </cell>
        </row>
        <row r="263">
          <cell r="A263">
            <v>800185683</v>
          </cell>
          <cell r="B263" t="str">
            <v>NT</v>
          </cell>
          <cell r="C263">
            <v>800185683</v>
          </cell>
          <cell r="D263">
            <v>6</v>
          </cell>
          <cell r="E263" t="str">
            <v>STARWEAR INTERNATIONAL S.A</v>
          </cell>
          <cell r="F263" t="str">
            <v>calle 100 #65-26</v>
          </cell>
          <cell r="H263" t="str">
            <v>sterwearventas@gmail.com</v>
          </cell>
          <cell r="I263">
            <v>11001</v>
          </cell>
          <cell r="J263" t="str">
            <v>BOGOTA D.C.</v>
          </cell>
        </row>
        <row r="264">
          <cell r="A264">
            <v>800191700</v>
          </cell>
          <cell r="B264" t="str">
            <v>NT</v>
          </cell>
          <cell r="C264">
            <v>800191700</v>
          </cell>
          <cell r="D264">
            <v>8</v>
          </cell>
          <cell r="E264" t="str">
            <v>CUEROS VÉLEZ</v>
          </cell>
          <cell r="F264" t="str">
            <v>Cl 29 52 115</v>
          </cell>
          <cell r="G264">
            <v>5743555100</v>
          </cell>
          <cell r="H264" t="str">
            <v>impuestos@cuerosvelez.com</v>
          </cell>
          <cell r="I264">
            <v>5001</v>
          </cell>
          <cell r="J264" t="str">
            <v>MEDELLIN</v>
          </cell>
        </row>
        <row r="265">
          <cell r="A265">
            <v>800194600</v>
          </cell>
          <cell r="B265" t="str">
            <v>NT</v>
          </cell>
          <cell r="C265">
            <v>800194600</v>
          </cell>
          <cell r="D265">
            <v>3</v>
          </cell>
          <cell r="E265" t="str">
            <v>LA CORPORACION COLOMBIANA DE INVESTIGACION AGROPECUARIA - AGROSAVIA</v>
          </cell>
          <cell r="F265" t="str">
            <v>CR 13 A 28 38 OF 238</v>
          </cell>
          <cell r="G265">
            <v>6014227300</v>
          </cell>
          <cell r="H265" t="str">
            <v>contabilidad@agrosavia.co</v>
          </cell>
          <cell r="I265">
            <v>11001</v>
          </cell>
          <cell r="J265" t="str">
            <v>BOGOTA D.C.</v>
          </cell>
        </row>
        <row r="266">
          <cell r="A266">
            <v>800242106</v>
          </cell>
          <cell r="B266" t="str">
            <v>NT</v>
          </cell>
          <cell r="C266">
            <v>800242106</v>
          </cell>
          <cell r="D266">
            <v>2</v>
          </cell>
          <cell r="E266" t="str">
            <v>SODIMAC COLOMBIA SA</v>
          </cell>
          <cell r="F266" t="str">
            <v>Av Universitaria #50 - 21</v>
          </cell>
          <cell r="G266">
            <v>3077115</v>
          </cell>
          <cell r="H266" t="str">
            <v>solicitudfacturas@homecenter.co</v>
          </cell>
          <cell r="I266">
            <v>50001</v>
          </cell>
          <cell r="J266" t="str">
            <v>VILLAVICENCIO</v>
          </cell>
        </row>
        <row r="267">
          <cell r="A267">
            <v>800251569</v>
          </cell>
          <cell r="B267" t="str">
            <v>NT</v>
          </cell>
          <cell r="C267">
            <v>800251569</v>
          </cell>
          <cell r="D267">
            <v>7</v>
          </cell>
          <cell r="E267" t="str">
            <v>INTERRRAPIDISIMO SA</v>
          </cell>
          <cell r="F267" t="str">
            <v xml:space="preserve"> Carrera 30 # 7 - 45</v>
          </cell>
          <cell r="G267" t="str">
            <v>560 5000</v>
          </cell>
          <cell r="H267" t="str">
            <v>tratamiento.datos.personales@interrapidisimo.com</v>
          </cell>
          <cell r="I267">
            <v>11001</v>
          </cell>
          <cell r="J267" t="str">
            <v>BOGOTA D.C.</v>
          </cell>
        </row>
        <row r="268">
          <cell r="A268">
            <v>800256769</v>
          </cell>
          <cell r="B268" t="str">
            <v>NT</v>
          </cell>
          <cell r="C268">
            <v>800256769</v>
          </cell>
          <cell r="D268">
            <v>6</v>
          </cell>
          <cell r="E268" t="str">
            <v>FIDEICOMISO VIPSA</v>
          </cell>
          <cell r="F268" t="str">
            <v>57-83 oficina 1001, torre 7</v>
          </cell>
          <cell r="G268">
            <v>3123060332</v>
          </cell>
          <cell r="H268" t="str">
            <v>atencionalusuario@coviandina.com</v>
          </cell>
          <cell r="I268">
            <v>11001</v>
          </cell>
          <cell r="J268" t="str">
            <v>BOGOTA D.C.</v>
          </cell>
        </row>
        <row r="269">
          <cell r="A269">
            <v>80032657</v>
          </cell>
          <cell r="B269" t="str">
            <v>CC</v>
          </cell>
          <cell r="C269">
            <v>80032657</v>
          </cell>
          <cell r="D269">
            <v>7</v>
          </cell>
          <cell r="E269" t="str">
            <v>AYALA GONZALEZ JOHN JAIRO</v>
          </cell>
          <cell r="F269" t="str">
            <v>CL 24 19 61</v>
          </cell>
          <cell r="G269">
            <v>3103253153</v>
          </cell>
          <cell r="H269" t="str">
            <v>ayactec.paipa@gmail.com</v>
          </cell>
          <cell r="I269" t="str">
            <v>15516</v>
          </cell>
          <cell r="J269" t="str">
            <v>PAIPA</v>
          </cell>
        </row>
        <row r="270">
          <cell r="A270">
            <v>80048150</v>
          </cell>
          <cell r="B270" t="str">
            <v>CC</v>
          </cell>
          <cell r="C270">
            <v>80048150</v>
          </cell>
          <cell r="D270">
            <v>5</v>
          </cell>
          <cell r="E270" t="str">
            <v>ALVAREZ DIAZ JOHN ALEXANDER</v>
          </cell>
          <cell r="F270" t="str">
            <v>TV 13 #54-65</v>
          </cell>
          <cell r="H270" t="str">
            <v>johnalexalvarezdiaz@gmail.com</v>
          </cell>
          <cell r="I270">
            <v>11001</v>
          </cell>
          <cell r="J270" t="str">
            <v>BOGOTA D.C.</v>
          </cell>
        </row>
        <row r="271">
          <cell r="A271">
            <v>80055872</v>
          </cell>
          <cell r="B271" t="str">
            <v>CC</v>
          </cell>
          <cell r="C271">
            <v>80055872</v>
          </cell>
          <cell r="D271">
            <v>3</v>
          </cell>
          <cell r="E271" t="str">
            <v>FORERO RAMIREZ JAIME</v>
          </cell>
          <cell r="F271" t="str">
            <v>cll 119 a # 57-60</v>
          </cell>
          <cell r="H271" t="str">
            <v>logistica.refineria@lebaguette.com.co</v>
          </cell>
          <cell r="I271">
            <v>11001</v>
          </cell>
          <cell r="J271" t="str">
            <v>BOGOTA D.C.</v>
          </cell>
        </row>
        <row r="272">
          <cell r="A272">
            <v>80143179</v>
          </cell>
          <cell r="B272" t="str">
            <v>CC</v>
          </cell>
          <cell r="C272">
            <v>80143179</v>
          </cell>
          <cell r="D272">
            <v>4</v>
          </cell>
          <cell r="E272" t="str">
            <v>ORTIZ GABRIEL</v>
          </cell>
          <cell r="F272" t="str">
            <v>cr 8 # 15- 73</v>
          </cell>
          <cell r="H272" t="str">
            <v>gaboartiz@hotmail.com</v>
          </cell>
          <cell r="I272">
            <v>11001</v>
          </cell>
          <cell r="J272" t="str">
            <v>BOGOTA D.C.</v>
          </cell>
        </row>
        <row r="273">
          <cell r="A273">
            <v>80182154</v>
          </cell>
          <cell r="B273" t="str">
            <v>CC</v>
          </cell>
          <cell r="C273">
            <v>80182154</v>
          </cell>
          <cell r="D273">
            <v>7</v>
          </cell>
          <cell r="E273" t="str">
            <v>PATIÑO ORTIZ JUAN CAMILO</v>
          </cell>
          <cell r="F273" t="str">
            <v>centro comercial 105</v>
          </cell>
          <cell r="H273" t="str">
            <v>aayala@alkhorayef.com</v>
          </cell>
          <cell r="I273">
            <v>11001</v>
          </cell>
          <cell r="J273" t="str">
            <v>BOGOTA D.C.</v>
          </cell>
        </row>
        <row r="274">
          <cell r="A274">
            <v>80414998</v>
          </cell>
          <cell r="B274" t="str">
            <v>RT</v>
          </cell>
          <cell r="C274">
            <v>80414998</v>
          </cell>
          <cell r="D274">
            <v>3</v>
          </cell>
          <cell r="E274" t="str">
            <v>MONROY DANILO ALONSO</v>
          </cell>
          <cell r="F274" t="str">
            <v>Clle 24 # 17-70 local 1</v>
          </cell>
          <cell r="H274" t="str">
            <v>daniloalonso748@hotmail.com</v>
          </cell>
          <cell r="I274" t="str">
            <v>15516</v>
          </cell>
          <cell r="J274" t="str">
            <v>PAIPA</v>
          </cell>
        </row>
        <row r="275">
          <cell r="A275">
            <v>805004875</v>
          </cell>
          <cell r="B275" t="str">
            <v>NT</v>
          </cell>
          <cell r="C275">
            <v>805004875</v>
          </cell>
          <cell r="D275">
            <v>6</v>
          </cell>
          <cell r="E275" t="str">
            <v>CALZATODO S A</v>
          </cell>
          <cell r="F275" t="str">
            <v>CR 14 C 56 32</v>
          </cell>
          <cell r="H275" t="str">
            <v>calzatodoza@gmail.com</v>
          </cell>
          <cell r="I275">
            <v>50001</v>
          </cell>
          <cell r="J275" t="str">
            <v>VILLAVICENCIO</v>
          </cell>
        </row>
        <row r="276">
          <cell r="A276">
            <v>80739105</v>
          </cell>
          <cell r="B276" t="str">
            <v>RT</v>
          </cell>
          <cell r="C276">
            <v>80739105</v>
          </cell>
          <cell r="D276">
            <v>9</v>
          </cell>
          <cell r="E276" t="str">
            <v>VERGARA J RONAL</v>
          </cell>
          <cell r="F276" t="str">
            <v>av 25 #45-52</v>
          </cell>
          <cell r="G276">
            <v>3114522535</v>
          </cell>
          <cell r="H276" t="str">
            <v>mundodeltamal@paipa.com</v>
          </cell>
          <cell r="I276" t="str">
            <v>15516</v>
          </cell>
          <cell r="J276" t="str">
            <v>PAIPA</v>
          </cell>
        </row>
        <row r="277">
          <cell r="A277">
            <v>811017013</v>
          </cell>
          <cell r="B277" t="str">
            <v>NT</v>
          </cell>
          <cell r="C277">
            <v>811017013</v>
          </cell>
          <cell r="D277">
            <v>2</v>
          </cell>
          <cell r="E277" t="str">
            <v>DISTRIBUCIONES E INVERSIONES ESPECIALES S.A.S.</v>
          </cell>
          <cell r="F277" t="str">
            <v>CRA 45 28 46</v>
          </cell>
          <cell r="G277">
            <v>3499520</v>
          </cell>
          <cell r="H277" t="str">
            <v>administrativo@dinvales.co</v>
          </cell>
          <cell r="I277">
            <v>5001</v>
          </cell>
          <cell r="J277" t="str">
            <v>MEDELLIN</v>
          </cell>
        </row>
        <row r="278">
          <cell r="A278">
            <v>811033238</v>
          </cell>
          <cell r="B278" t="str">
            <v>NT</v>
          </cell>
          <cell r="C278">
            <v>811033238</v>
          </cell>
          <cell r="D278">
            <v>1</v>
          </cell>
          <cell r="E278" t="str">
            <v>PROVENZAL SAS</v>
          </cell>
          <cell r="F278" t="str">
            <v>CARRERA 49 61 SUR 540 IN 102</v>
          </cell>
          <cell r="G278">
            <v>4496424</v>
          </cell>
          <cell r="H278" t="str">
            <v>recepcionfe.co@guru.soft.com</v>
          </cell>
          <cell r="I278">
            <v>5631</v>
          </cell>
          <cell r="J278" t="str">
            <v>SABANETA</v>
          </cell>
        </row>
        <row r="279">
          <cell r="A279">
            <v>816007746</v>
          </cell>
          <cell r="B279" t="str">
            <v>NT</v>
          </cell>
          <cell r="C279">
            <v>816007746</v>
          </cell>
          <cell r="D279">
            <v>8</v>
          </cell>
          <cell r="E279" t="str">
            <v>FAM SOCIEDAD POR ACCIONES SIMPLIFICADAS</v>
          </cell>
          <cell r="F279" t="str">
            <v>CALLE 14 15 12</v>
          </cell>
          <cell r="G279">
            <v>3504227438</v>
          </cell>
          <cell r="H279" t="str">
            <v>816007746@factureinbox.co</v>
          </cell>
          <cell r="I279">
            <v>66682</v>
          </cell>
          <cell r="J279" t="str">
            <v>SANTA ROSA DE CABAL</v>
          </cell>
        </row>
        <row r="280">
          <cell r="A280">
            <v>822004452</v>
          </cell>
          <cell r="B280" t="str">
            <v>NT</v>
          </cell>
          <cell r="C280">
            <v>822004452</v>
          </cell>
          <cell r="D280">
            <v>6</v>
          </cell>
          <cell r="E280" t="str">
            <v>CARNES DANNY 7 DE AGOSTO</v>
          </cell>
          <cell r="F280" t="str">
            <v>CRA 38 26 C 72</v>
          </cell>
          <cell r="G280">
            <v>6086707700</v>
          </cell>
          <cell r="H280" t="str">
            <v>CARNES@GMAIL.COM</v>
          </cell>
          <cell r="I280">
            <v>50001</v>
          </cell>
          <cell r="J280" t="str">
            <v>VILLAVICENCIO</v>
          </cell>
        </row>
        <row r="281">
          <cell r="A281">
            <v>822007117</v>
          </cell>
          <cell r="B281" t="str">
            <v>NT</v>
          </cell>
          <cell r="C281">
            <v>822007117</v>
          </cell>
          <cell r="D281">
            <v>7</v>
          </cell>
          <cell r="E281" t="str">
            <v>DISTRIBUCIONES LA NIEVE SAS</v>
          </cell>
          <cell r="F281" t="str">
            <v>CR 22 5B 114 BODEGA L-01 PARQUE</v>
          </cell>
          <cell r="G281">
            <v>3203414212</v>
          </cell>
          <cell r="H281" t="str">
            <v>impuestos@lanieve.co</v>
          </cell>
          <cell r="I281">
            <v>50001</v>
          </cell>
          <cell r="J281" t="str">
            <v>VILLAVICENCIO</v>
          </cell>
        </row>
        <row r="282">
          <cell r="A282">
            <v>822007832</v>
          </cell>
          <cell r="B282" t="str">
            <v>NT</v>
          </cell>
          <cell r="C282">
            <v>822007832</v>
          </cell>
          <cell r="D282">
            <v>5</v>
          </cell>
          <cell r="E282" t="str">
            <v>INVERSIONES LA GARZA SAS</v>
          </cell>
          <cell r="F282" t="str">
            <v>CALLE 34-34-69 BARZAL</v>
          </cell>
          <cell r="G282">
            <v>6628555</v>
          </cell>
          <cell r="H282" t="str">
            <v>contabilidad@lagarza.com.co</v>
          </cell>
          <cell r="I282">
            <v>50001</v>
          </cell>
          <cell r="J282" t="str">
            <v>VILLAVICENCIO</v>
          </cell>
        </row>
        <row r="283">
          <cell r="A283">
            <v>823004536</v>
          </cell>
          <cell r="B283" t="str">
            <v>NT</v>
          </cell>
          <cell r="C283">
            <v>823004536</v>
          </cell>
          <cell r="D283">
            <v>1</v>
          </cell>
          <cell r="E283" t="str">
            <v>COMUNICACIONES DEL CARIBE S.A.S.</v>
          </cell>
          <cell r="F283" t="str">
            <v>cll 25 25B 126</v>
          </cell>
          <cell r="G283">
            <v>2765591</v>
          </cell>
          <cell r="H283" t="str">
            <v>contabilidad@comunicaribe.com</v>
          </cell>
          <cell r="I283">
            <v>68773</v>
          </cell>
          <cell r="J283" t="str">
            <v>SUCRE</v>
          </cell>
        </row>
        <row r="284">
          <cell r="A284">
            <v>826000089</v>
          </cell>
          <cell r="B284" t="str">
            <v>NT</v>
          </cell>
          <cell r="C284">
            <v>826000089</v>
          </cell>
          <cell r="D284">
            <v>1</v>
          </cell>
          <cell r="E284" t="str">
            <v>COMPANIA COLOMBIANA DE CONCRETOS S.A</v>
          </cell>
          <cell r="G284">
            <v>6275847</v>
          </cell>
          <cell r="H284" t="str">
            <v>contabilidad@colconcretos.com</v>
          </cell>
          <cell r="I284">
            <v>11001</v>
          </cell>
          <cell r="J284" t="str">
            <v>BOGOTA D.C.</v>
          </cell>
        </row>
        <row r="285">
          <cell r="A285">
            <v>826000212</v>
          </cell>
          <cell r="B285" t="str">
            <v>NT</v>
          </cell>
          <cell r="C285">
            <v>826000212</v>
          </cell>
          <cell r="D285">
            <v>1</v>
          </cell>
          <cell r="E285" t="str">
            <v>ORGANIZACION AGUINALDO PAIPANO</v>
          </cell>
          <cell r="F285" t="str">
            <v xml:space="preserve"> CL 25 20 20</v>
          </cell>
          <cell r="G285">
            <v>3112171733</v>
          </cell>
          <cell r="H285" t="str">
            <v xml:space="preserve"> aguinaldopaipano@gmail.com</v>
          </cell>
          <cell r="I285" t="str">
            <v>15516</v>
          </cell>
          <cell r="J285" t="str">
            <v>PAIPA</v>
          </cell>
        </row>
        <row r="286">
          <cell r="A286">
            <v>826000214</v>
          </cell>
          <cell r="B286" t="str">
            <v>NT</v>
          </cell>
          <cell r="C286">
            <v>826000214</v>
          </cell>
          <cell r="D286">
            <v>6</v>
          </cell>
          <cell r="E286" t="str">
            <v>INSTITUTO TERMAL DE PAIPA</v>
          </cell>
          <cell r="F286" t="str">
            <v>km 4 pantano de vargas</v>
          </cell>
          <cell r="H286" t="str">
            <v>itp@paipa-boyaca.gov.co</v>
          </cell>
          <cell r="I286" t="str">
            <v>15516</v>
          </cell>
          <cell r="J286" t="str">
            <v>PAIPA</v>
          </cell>
        </row>
        <row r="287">
          <cell r="A287">
            <v>826000346</v>
          </cell>
          <cell r="B287" t="str">
            <v>NT</v>
          </cell>
          <cell r="C287">
            <v>826000346</v>
          </cell>
          <cell r="D287">
            <v>1</v>
          </cell>
          <cell r="E287" t="str">
            <v>ANALIZAR LABORATORIO FISICOQUIMICO LTDA</v>
          </cell>
          <cell r="F287" t="str">
            <v>CR 33 16 27</v>
          </cell>
          <cell r="G287">
            <v>3138150403</v>
          </cell>
          <cell r="H287" t="str">
            <v>contabilidadanalizar@gmail.com</v>
          </cell>
          <cell r="I287">
            <v>15041</v>
          </cell>
          <cell r="J287" t="str">
            <v>DUITAMA</v>
          </cell>
        </row>
        <row r="288">
          <cell r="A288">
            <v>826000361</v>
          </cell>
          <cell r="B288" t="str">
            <v>NT</v>
          </cell>
          <cell r="C288">
            <v>826000361</v>
          </cell>
          <cell r="D288">
            <v>0</v>
          </cell>
          <cell r="E288" t="str">
            <v>ALMACENES PARAISO SA</v>
          </cell>
          <cell r="F288" t="str">
            <v>CRA 24 # 22-23</v>
          </cell>
          <cell r="H288" t="str">
            <v>almacenparaiso@gmail.com</v>
          </cell>
          <cell r="I288">
            <v>15041</v>
          </cell>
          <cell r="J288" t="str">
            <v>DUITAMA</v>
          </cell>
        </row>
        <row r="289">
          <cell r="A289">
            <v>826000404</v>
          </cell>
          <cell r="B289" t="str">
            <v>NT</v>
          </cell>
          <cell r="C289">
            <v>826000404</v>
          </cell>
          <cell r="D289">
            <v>9</v>
          </cell>
          <cell r="E289" t="str">
            <v>COMERCIALIZADORA DE COMBUSTIBLES Y TRANSPORTES LTDA</v>
          </cell>
          <cell r="F289" t="str">
            <v>KM 3 VIA DUITAMA PAIPA</v>
          </cell>
          <cell r="H289" t="str">
            <v>L@GMAIL.COM</v>
          </cell>
          <cell r="I289">
            <v>15041</v>
          </cell>
          <cell r="J289" t="str">
            <v>DUITAMA</v>
          </cell>
        </row>
        <row r="290">
          <cell r="A290">
            <v>826000697</v>
          </cell>
          <cell r="B290" t="str">
            <v>NT</v>
          </cell>
          <cell r="C290">
            <v>826000697</v>
          </cell>
          <cell r="D290">
            <v>1</v>
          </cell>
          <cell r="E290" t="str">
            <v>CENTRALCO SAS - EDS LA ESPERANZA</v>
          </cell>
          <cell r="F290" t="str">
            <v>km 8 via Tunja- paipa</v>
          </cell>
          <cell r="G290">
            <v>7850266</v>
          </cell>
          <cell r="H290" t="str">
            <v>centralco@hotmail.com</v>
          </cell>
          <cell r="I290" t="str">
            <v>15516</v>
          </cell>
          <cell r="J290" t="str">
            <v>PAIPA</v>
          </cell>
        </row>
        <row r="291">
          <cell r="A291">
            <v>826000777</v>
          </cell>
          <cell r="B291" t="str">
            <v>NT</v>
          </cell>
          <cell r="C291">
            <v>826000777</v>
          </cell>
          <cell r="D291">
            <v>0</v>
          </cell>
          <cell r="E291" t="str">
            <v xml:space="preserve">      AGROAMIGOS S.A.S</v>
          </cell>
          <cell r="F291" t="str">
            <v>calle 23 # 23-11</v>
          </cell>
          <cell r="G291">
            <v>3125220208</v>
          </cell>
          <cell r="H291" t="str">
            <v>agroamigos@hotmail.com</v>
          </cell>
          <cell r="I291" t="str">
            <v>15516</v>
          </cell>
          <cell r="J291" t="str">
            <v>PAIPA</v>
          </cell>
        </row>
        <row r="292">
          <cell r="A292">
            <v>826001605</v>
          </cell>
          <cell r="B292" t="str">
            <v>NT</v>
          </cell>
          <cell r="C292">
            <v>826001605</v>
          </cell>
          <cell r="D292">
            <v>7</v>
          </cell>
          <cell r="E292" t="str">
            <v>CUERPO DE BOMBEROS VOLUNTARIOS DE PAIPA</v>
          </cell>
          <cell r="F292" t="str">
            <v>plaza de mercado local 2</v>
          </cell>
          <cell r="G292">
            <v>7582775</v>
          </cell>
          <cell r="H292" t="str">
            <v>paipabomberosvoluntarios@gmail.com</v>
          </cell>
          <cell r="I292" t="str">
            <v>15516</v>
          </cell>
          <cell r="J292" t="str">
            <v>PAIPA</v>
          </cell>
        </row>
        <row r="293">
          <cell r="A293">
            <v>826002216</v>
          </cell>
          <cell r="B293" t="str">
            <v>NT</v>
          </cell>
          <cell r="C293">
            <v>826002216</v>
          </cell>
          <cell r="D293">
            <v>1</v>
          </cell>
          <cell r="E293" t="str">
            <v>ACUEDUCTO VEREDA LA ESPERANZA PAIPA</v>
          </cell>
          <cell r="F293" t="str">
            <v>Escuela vereda la Esperanza</v>
          </cell>
          <cell r="G293">
            <v>3115803496</v>
          </cell>
          <cell r="H293" t="str">
            <v>acueductoveredalaesperanza@paipa.gov.co</v>
          </cell>
          <cell r="I293" t="str">
            <v>15516</v>
          </cell>
          <cell r="J293" t="str">
            <v>PAIPA</v>
          </cell>
        </row>
        <row r="294">
          <cell r="A294">
            <v>826002535</v>
          </cell>
          <cell r="B294" t="str">
            <v>NT</v>
          </cell>
          <cell r="C294">
            <v>826002535</v>
          </cell>
          <cell r="D294">
            <v>4</v>
          </cell>
          <cell r="E294" t="str">
            <v>NE&amp; TEL COM.SAS</v>
          </cell>
          <cell r="F294" t="str">
            <v>calle 25 # 20-87</v>
          </cell>
          <cell r="G294">
            <v>7850980</v>
          </cell>
          <cell r="H294" t="str">
            <v>contable@neytel.com</v>
          </cell>
          <cell r="I294" t="str">
            <v>15516</v>
          </cell>
          <cell r="J294" t="str">
            <v>PAIPA</v>
          </cell>
        </row>
        <row r="295">
          <cell r="A295">
            <v>826003482</v>
          </cell>
          <cell r="B295" t="str">
            <v>NT</v>
          </cell>
          <cell r="C295">
            <v>826003482</v>
          </cell>
          <cell r="D295">
            <v>7</v>
          </cell>
          <cell r="E295" t="str">
            <v>GRUPO EMPRESARIAL VINCULAMOS SAS</v>
          </cell>
          <cell r="F295" t="str">
            <v>CR 35 16 74</v>
          </cell>
          <cell r="G295">
            <v>987634562</v>
          </cell>
          <cell r="H295" t="str">
            <v>grupovinculamos@gmail.com</v>
          </cell>
          <cell r="I295">
            <v>15041</v>
          </cell>
          <cell r="J295" t="str">
            <v>DUITAMA</v>
          </cell>
        </row>
        <row r="296">
          <cell r="A296">
            <v>830003584</v>
          </cell>
          <cell r="B296" t="str">
            <v>NT</v>
          </cell>
          <cell r="C296">
            <v>830003584</v>
          </cell>
          <cell r="D296">
            <v>4</v>
          </cell>
          <cell r="E296" t="str">
            <v>DPORTE SAS</v>
          </cell>
          <cell r="F296" t="str">
            <v>cr 7 113 43 of 304</v>
          </cell>
          <cell r="G296">
            <v>5223087</v>
          </cell>
          <cell r="H296" t="str">
            <v>financiera@prochampions.com</v>
          </cell>
          <cell r="I296">
            <v>11001</v>
          </cell>
          <cell r="J296" t="str">
            <v>BOGOTA D.C.</v>
          </cell>
        </row>
        <row r="297">
          <cell r="A297">
            <v>830010181</v>
          </cell>
          <cell r="B297" t="str">
            <v>NT</v>
          </cell>
          <cell r="C297">
            <v>830010181</v>
          </cell>
          <cell r="D297">
            <v>9</v>
          </cell>
          <cell r="E297" t="str">
            <v>WHIRLPOOL COLOMBIA SAS</v>
          </cell>
          <cell r="F297" t="str">
            <v>CR 7 #116-50</v>
          </cell>
          <cell r="G297">
            <v>5717462121</v>
          </cell>
          <cell r="H297" t="str">
            <v>facturacioncolombia@whirlpool.com</v>
          </cell>
          <cell r="I297">
            <v>11001</v>
          </cell>
          <cell r="J297" t="str">
            <v>BOGOTA D.C.</v>
          </cell>
        </row>
        <row r="298">
          <cell r="A298">
            <v>830045034</v>
          </cell>
          <cell r="B298" t="str">
            <v>NT</v>
          </cell>
          <cell r="C298">
            <v>830045034</v>
          </cell>
          <cell r="D298">
            <v>5</v>
          </cell>
          <cell r="E298" t="str">
            <v>PISOTRANS S.A.</v>
          </cell>
          <cell r="F298" t="str">
            <v>AV CARACAS 35 55</v>
          </cell>
          <cell r="G298">
            <v>3311515</v>
          </cell>
          <cell r="H298" t="str">
            <v>recepcion.electronica@alfa.com.co</v>
          </cell>
          <cell r="I298">
            <v>11001</v>
          </cell>
          <cell r="J298" t="str">
            <v>BOGOTA D.C.</v>
          </cell>
        </row>
        <row r="299">
          <cell r="A299">
            <v>830045472</v>
          </cell>
          <cell r="B299" t="str">
            <v>NT</v>
          </cell>
          <cell r="C299">
            <v>830045472</v>
          </cell>
          <cell r="D299">
            <v>8</v>
          </cell>
          <cell r="E299" t="str">
            <v>VANTI GAS NATURAL CUNDIBOYACENCE SA ESP</v>
          </cell>
          <cell r="F299" t="str">
            <v>Calle 71A No. 5-38</v>
          </cell>
          <cell r="G299" t="str">
            <v xml:space="preserve"> 601- 7053256</v>
          </cell>
          <cell r="H299" t="str">
            <v>gc-regulado@grupovanti.com</v>
          </cell>
          <cell r="I299">
            <v>11001</v>
          </cell>
          <cell r="J299" t="str">
            <v>BOGOTA D.C.</v>
          </cell>
        </row>
        <row r="300">
          <cell r="A300">
            <v>830048145</v>
          </cell>
          <cell r="B300" t="str">
            <v>NT</v>
          </cell>
          <cell r="C300">
            <v>830048145</v>
          </cell>
          <cell r="D300">
            <v>8</v>
          </cell>
          <cell r="E300" t="str">
            <v>SIIGO S.A.S</v>
          </cell>
          <cell r="F300" t="str">
            <v>CARRERA 18 # 79A-42</v>
          </cell>
          <cell r="G300">
            <v>5802606</v>
          </cell>
          <cell r="H300" t="str">
            <v>www.siigo.om</v>
          </cell>
          <cell r="I300">
            <v>11001</v>
          </cell>
          <cell r="J300" t="str">
            <v>BOGOTA D.C.</v>
          </cell>
        </row>
        <row r="301">
          <cell r="A301">
            <v>830048328</v>
          </cell>
          <cell r="B301" t="str">
            <v>NT</v>
          </cell>
          <cell r="C301">
            <v>830048328</v>
          </cell>
          <cell r="D301">
            <v>9</v>
          </cell>
          <cell r="E301" t="str">
            <v>KEVINS ORAFA SA</v>
          </cell>
          <cell r="F301" t="str">
            <v>primavera villavicencio calle 15 #40-01 locAL 155</v>
          </cell>
          <cell r="H301" t="str">
            <v>cleiente@kevins.com.co</v>
          </cell>
          <cell r="I301">
            <v>50001</v>
          </cell>
          <cell r="J301" t="str">
            <v>VILLAVICENCIO</v>
          </cell>
        </row>
        <row r="302">
          <cell r="A302">
            <v>830052998</v>
          </cell>
          <cell r="B302" t="str">
            <v>NT</v>
          </cell>
          <cell r="C302">
            <v>830052998</v>
          </cell>
          <cell r="D302">
            <v>9</v>
          </cell>
          <cell r="E302" t="str">
            <v>CONCESION BRICEÑO TUNJA</v>
          </cell>
          <cell r="F302" t="str">
            <v>NORTA KM 21INT. OLIMPICA</v>
          </cell>
          <cell r="G302" t="str">
            <v>317 442 2284</v>
          </cell>
          <cell r="H302" t="str">
            <v>btscontactenos@autoviabts.com</v>
          </cell>
          <cell r="I302">
            <v>11001</v>
          </cell>
          <cell r="J302" t="str">
            <v>BOGOTA D.C.</v>
          </cell>
        </row>
        <row r="303">
          <cell r="A303">
            <v>830054539</v>
          </cell>
          <cell r="B303" t="str">
            <v>NT</v>
          </cell>
          <cell r="C303">
            <v>830054539</v>
          </cell>
          <cell r="D303">
            <v>0</v>
          </cell>
          <cell r="E303" t="str">
            <v>ACCENORTE BOGOTA</v>
          </cell>
          <cell r="F303" t="str">
            <v>Peaje Andes</v>
          </cell>
          <cell r="G303">
            <v>6016760652</v>
          </cell>
          <cell r="H303" t="str">
            <v>conceccionandina@gmail.com</v>
          </cell>
          <cell r="I303">
            <v>11001</v>
          </cell>
          <cell r="J303" t="str">
            <v>BOGOTA D.C.</v>
          </cell>
        </row>
        <row r="304">
          <cell r="A304">
            <v>830063800</v>
          </cell>
          <cell r="B304" t="str">
            <v>NT</v>
          </cell>
          <cell r="C304">
            <v>830063800</v>
          </cell>
          <cell r="D304">
            <v>7</v>
          </cell>
          <cell r="E304" t="str">
            <v>COVAL COMERCIAL S.A.S</v>
          </cell>
          <cell r="F304" t="str">
            <v>AUT MEDELLIN KM 2 PUNTO 5 PAR INDUSTRIAL GUADALAJARA BG 3</v>
          </cell>
          <cell r="G304">
            <v>6018418445</v>
          </cell>
          <cell r="H304" t="str">
            <v>INFO@COVAL.COM.CO</v>
          </cell>
          <cell r="I304">
            <v>25214</v>
          </cell>
          <cell r="J304" t="str">
            <v>COTA</v>
          </cell>
        </row>
        <row r="305">
          <cell r="A305">
            <v>830070527</v>
          </cell>
          <cell r="B305" t="str">
            <v>NT</v>
          </cell>
          <cell r="C305">
            <v>830070527</v>
          </cell>
          <cell r="D305">
            <v>1</v>
          </cell>
          <cell r="E305" t="str">
            <v>REDEBAN MULTICOR S.A</v>
          </cell>
          <cell r="F305" t="str">
            <v>CARRE 20 # 33-15</v>
          </cell>
          <cell r="G305" t="str">
            <v>601 30771</v>
          </cell>
          <cell r="H305" t="str">
            <v>lnalza@rbm.com</v>
          </cell>
          <cell r="I305">
            <v>11001</v>
          </cell>
          <cell r="J305" t="str">
            <v>BOGOTA D.C.</v>
          </cell>
        </row>
        <row r="306">
          <cell r="A306">
            <v>830087479</v>
          </cell>
          <cell r="B306" t="str">
            <v>NT</v>
          </cell>
          <cell r="C306">
            <v>830087479</v>
          </cell>
          <cell r="D306">
            <v>9</v>
          </cell>
          <cell r="E306" t="str">
            <v>EXHIVICOL VIALAMBRE SAS</v>
          </cell>
          <cell r="F306" t="str">
            <v>CARRERA 27 N11 64</v>
          </cell>
          <cell r="G306">
            <v>3512405</v>
          </cell>
          <cell r="H306" t="str">
            <v>facturtacion@vialambrecom.com</v>
          </cell>
          <cell r="I306">
            <v>11001</v>
          </cell>
          <cell r="J306" t="str">
            <v>BOGOTA D.C.</v>
          </cell>
        </row>
        <row r="307">
          <cell r="A307">
            <v>830109723</v>
          </cell>
          <cell r="B307" t="str">
            <v>NT</v>
          </cell>
          <cell r="C307">
            <v>830109723</v>
          </cell>
          <cell r="D307">
            <v>8</v>
          </cell>
          <cell r="E307" t="str">
            <v>PAYU COLOMBIA S.A.S</v>
          </cell>
          <cell r="F307" t="str">
            <v>Calle 99 # 14 - 49 Piso 7</v>
          </cell>
          <cell r="G307">
            <v>7563126</v>
          </cell>
          <cell r="H307" t="str">
            <v>financiera@payulatam.com</v>
          </cell>
        </row>
        <row r="308">
          <cell r="A308">
            <v>830114015</v>
          </cell>
          <cell r="B308" t="str">
            <v>NT</v>
          </cell>
          <cell r="C308">
            <v>830114015</v>
          </cell>
          <cell r="D308">
            <v>1</v>
          </cell>
          <cell r="E308" t="str">
            <v>CRISTALERIA DE OCCIDENTE SAS</v>
          </cell>
          <cell r="F308" t="str">
            <v>CALLE 64 # 13-63</v>
          </cell>
          <cell r="G308">
            <v>2111175</v>
          </cell>
          <cell r="H308" t="str">
            <v>administracion@cristaleriadeoccidente.com</v>
          </cell>
          <cell r="I308">
            <v>11001</v>
          </cell>
          <cell r="J308" t="str">
            <v>BOGOTA D.C.</v>
          </cell>
        </row>
        <row r="309">
          <cell r="A309">
            <v>830122313</v>
          </cell>
          <cell r="B309" t="str">
            <v>NT</v>
          </cell>
          <cell r="C309">
            <v>830122313</v>
          </cell>
          <cell r="D309">
            <v>5</v>
          </cell>
          <cell r="E309" t="str">
            <v>HIPERDOTACIONES WORK SAFETY SAS</v>
          </cell>
          <cell r="F309" t="str">
            <v>CLL 15 25 70 PALOQUEMADO</v>
          </cell>
          <cell r="G309">
            <v>6017038780</v>
          </cell>
          <cell r="H309" t="str">
            <v>HIPERDOTACIONES@GMAIL.COM</v>
          </cell>
          <cell r="I309">
            <v>11001</v>
          </cell>
          <cell r="J309" t="str">
            <v>BOGOTA D.C.</v>
          </cell>
        </row>
        <row r="310">
          <cell r="A310">
            <v>830122424</v>
          </cell>
          <cell r="B310" t="str">
            <v>NT</v>
          </cell>
          <cell r="C310">
            <v>830122424</v>
          </cell>
          <cell r="D310">
            <v>4</v>
          </cell>
          <cell r="E310" t="str">
            <v>FRONTECH SAS</v>
          </cell>
          <cell r="F310" t="str">
            <v>CLL 122 7 A 18  OFC401</v>
          </cell>
          <cell r="G310">
            <v>6014324660</v>
          </cell>
          <cell r="H310" t="str">
            <v>FACTURACION@FRONTECHCOLOMBIA.COM</v>
          </cell>
          <cell r="I310">
            <v>11001</v>
          </cell>
          <cell r="J310" t="str">
            <v>BOGOTA D.C.</v>
          </cell>
        </row>
        <row r="311">
          <cell r="A311">
            <v>830122566</v>
          </cell>
          <cell r="B311" t="str">
            <v>NT</v>
          </cell>
          <cell r="C311">
            <v>830122566</v>
          </cell>
          <cell r="D311">
            <v>1</v>
          </cell>
          <cell r="E311" t="str">
            <v>MOVISTAR COLOMBIA TELECOMUNICACIONES S.A</v>
          </cell>
          <cell r="F311" t="str">
            <v>Transv 60 (avenida suba) # 114 A - 55</v>
          </cell>
          <cell r="G311">
            <v>6087851219</v>
          </cell>
          <cell r="H311" t="str">
            <v>facturasmovistar@mailf.movistar.co</v>
          </cell>
          <cell r="I311">
            <v>11001</v>
          </cell>
          <cell r="J311" t="str">
            <v>BOGOTA D.C.</v>
          </cell>
        </row>
        <row r="312">
          <cell r="A312">
            <v>830126782</v>
          </cell>
          <cell r="B312" t="str">
            <v>NT</v>
          </cell>
          <cell r="C312">
            <v>830126782</v>
          </cell>
          <cell r="D312">
            <v>4</v>
          </cell>
          <cell r="E312" t="str">
            <v>CONFECCIONES ANDRELIS SAS</v>
          </cell>
          <cell r="F312" t="str">
            <v>KR 109 # 17 - 43</v>
          </cell>
          <cell r="G312">
            <v>3123766427</v>
          </cell>
          <cell r="H312" t="str">
            <v xml:space="preserve"> sonylimon2@gmail.com</v>
          </cell>
          <cell r="I312" t="str">
            <v>15516</v>
          </cell>
          <cell r="J312" t="str">
            <v>PAIPA</v>
          </cell>
        </row>
        <row r="313">
          <cell r="A313">
            <v>830129327</v>
          </cell>
          <cell r="B313" t="str">
            <v>NT</v>
          </cell>
          <cell r="C313">
            <v>830129327</v>
          </cell>
          <cell r="D313">
            <v>1</v>
          </cell>
          <cell r="E313" t="str">
            <v>FARMATODO</v>
          </cell>
          <cell r="F313" t="str">
            <v>CALLE 15 45 36</v>
          </cell>
          <cell r="H313" t="str">
            <v>FARMATODO@GMAIL.COM</v>
          </cell>
          <cell r="I313">
            <v>50001</v>
          </cell>
          <cell r="J313" t="str">
            <v>VILLAVICENCIO</v>
          </cell>
        </row>
        <row r="314">
          <cell r="A314">
            <v>830507760</v>
          </cell>
          <cell r="B314" t="str">
            <v>NT</v>
          </cell>
          <cell r="C314">
            <v>830507760</v>
          </cell>
          <cell r="D314">
            <v>8</v>
          </cell>
          <cell r="E314" t="str">
            <v>NSDIS ANIMATION SOFTWARE SA</v>
          </cell>
          <cell r="F314" t="str">
            <v>CL 159 54 42</v>
          </cell>
          <cell r="G314">
            <v>3905565</v>
          </cell>
          <cell r="H314" t="str">
            <v>contador@nsdis.com</v>
          </cell>
          <cell r="I314">
            <v>11001</v>
          </cell>
          <cell r="J314" t="str">
            <v>BOGOTA D.C.</v>
          </cell>
        </row>
        <row r="315">
          <cell r="A315">
            <v>830514610</v>
          </cell>
          <cell r="B315" t="str">
            <v>NT</v>
          </cell>
          <cell r="C315">
            <v>830514610</v>
          </cell>
          <cell r="D315">
            <v>0</v>
          </cell>
          <cell r="E315" t="str">
            <v>AMBIENTES  CERAMICOS</v>
          </cell>
          <cell r="F315" t="str">
            <v>CARRERA 19 # 11-36</v>
          </cell>
          <cell r="G315" t="str">
            <v>608 7603719</v>
          </cell>
          <cell r="H315" t="str">
            <v>Facturaelectronica@ambientesceramicos.com</v>
          </cell>
          <cell r="I315">
            <v>15238</v>
          </cell>
          <cell r="J315" t="str">
            <v>DUITAMA</v>
          </cell>
        </row>
        <row r="316">
          <cell r="A316">
            <v>83252577</v>
          </cell>
          <cell r="B316" t="str">
            <v>CC</v>
          </cell>
          <cell r="C316">
            <v>83252577</v>
          </cell>
          <cell r="D316">
            <v>0</v>
          </cell>
          <cell r="E316" t="str">
            <v>OROZCO CASTILLO RULFO</v>
          </cell>
          <cell r="F316" t="str">
            <v>CR 19 12A-02</v>
          </cell>
          <cell r="G316">
            <v>3007978854</v>
          </cell>
          <cell r="H316" t="str">
            <v>pisosexitoduitama@hotmail.com</v>
          </cell>
          <cell r="I316">
            <v>15041</v>
          </cell>
          <cell r="J316" t="str">
            <v>DUITAMA</v>
          </cell>
        </row>
        <row r="317">
          <cell r="A317">
            <v>860001605</v>
          </cell>
          <cell r="B317" t="str">
            <v>NT</v>
          </cell>
          <cell r="C317">
            <v>860001605</v>
          </cell>
          <cell r="D317">
            <v>0</v>
          </cell>
          <cell r="E317" t="str">
            <v>NUREÑA SAS</v>
          </cell>
          <cell r="F317" t="str">
            <v>CR 25 · 13-40</v>
          </cell>
          <cell r="G317">
            <v>3906666</v>
          </cell>
          <cell r="H317" t="str">
            <v>fenusa@fenusa.com.co</v>
          </cell>
          <cell r="I317">
            <v>11001</v>
          </cell>
          <cell r="J317" t="str">
            <v>BOGOTA D.C.</v>
          </cell>
        </row>
        <row r="318">
          <cell r="A318">
            <v>860002180</v>
          </cell>
          <cell r="B318" t="str">
            <v>NT</v>
          </cell>
          <cell r="C318">
            <v>860002180</v>
          </cell>
          <cell r="D318">
            <v>7</v>
          </cell>
          <cell r="E318" t="str">
            <v>SEGUROS COMERCIALES BOLIVAR</v>
          </cell>
          <cell r="F318" t="str">
            <v>AV EL DORADO  #68B 31 P 3</v>
          </cell>
          <cell r="G318">
            <v>6013410077</v>
          </cell>
          <cell r="H318" t="str">
            <v>servicioalcliente@segurosbolivar.com</v>
          </cell>
          <cell r="I318">
            <v>11001</v>
          </cell>
          <cell r="J318" t="str">
            <v>BOGOTA D.C.</v>
          </cell>
        </row>
        <row r="319">
          <cell r="A319">
            <v>8600021807</v>
          </cell>
          <cell r="B319" t="str">
            <v>NT</v>
          </cell>
          <cell r="C319">
            <v>860002180</v>
          </cell>
          <cell r="D319">
            <v>7</v>
          </cell>
          <cell r="E319" t="str">
            <v>SEGUROS COMERCIALES BOLIVAR</v>
          </cell>
          <cell r="G319">
            <v>18000123322</v>
          </cell>
          <cell r="H319" t="str">
            <v>servicioalcliente@segurosbolivar.com</v>
          </cell>
        </row>
        <row r="320">
          <cell r="A320">
            <v>860002595</v>
          </cell>
          <cell r="B320" t="str">
            <v>NT</v>
          </cell>
          <cell r="C320">
            <v>860002595</v>
          </cell>
          <cell r="D320">
            <v>1</v>
          </cell>
          <cell r="E320" t="str">
            <v>NEWELL BRANDS DE COLOMBIA SAS</v>
          </cell>
          <cell r="F320" t="str">
            <v>CALLE 26 NO. 69B-45 OF. 503-505</v>
          </cell>
          <cell r="G320" t="str">
            <v>571-7700000</v>
          </cell>
          <cell r="H320" t="str">
            <v>attnproveedores.co@newellco.com</v>
          </cell>
          <cell r="I320">
            <v>11001</v>
          </cell>
          <cell r="J320" t="str">
            <v>BOGOTA D.C.</v>
          </cell>
        </row>
        <row r="321">
          <cell r="A321">
            <v>860007322</v>
          </cell>
          <cell r="B321" t="str">
            <v>NT</v>
          </cell>
          <cell r="C321">
            <v>860007322</v>
          </cell>
          <cell r="D321">
            <v>9</v>
          </cell>
          <cell r="E321" t="str">
            <v>CAMARA DE COMCERCIO DE BOGOTA</v>
          </cell>
          <cell r="F321" t="str">
            <v>AV CL 26-68 D 35</v>
          </cell>
          <cell r="G321" t="str">
            <v>601 5941000</v>
          </cell>
          <cell r="H321" t="str">
            <v>impuestosccb.org.co</v>
          </cell>
          <cell r="I321">
            <v>11001</v>
          </cell>
          <cell r="J321" t="str">
            <v>BOGOTA D.C.</v>
          </cell>
        </row>
        <row r="322">
          <cell r="A322">
            <v>860009578</v>
          </cell>
          <cell r="B322" t="str">
            <v>NT</v>
          </cell>
          <cell r="C322">
            <v>860009578</v>
          </cell>
          <cell r="D322">
            <v>6</v>
          </cell>
          <cell r="E322" t="str">
            <v>SEGUROS DEL ESTADO S.A</v>
          </cell>
          <cell r="F322" t="str">
            <v>CLL 83 19 10</v>
          </cell>
          <cell r="G322">
            <v>2186977</v>
          </cell>
          <cell r="H322" t="str">
            <v>facturacionelectronica@segurosdelestado.com</v>
          </cell>
          <cell r="I322">
            <v>11001</v>
          </cell>
          <cell r="J322" t="str">
            <v>BOGOTA D.C.</v>
          </cell>
        </row>
        <row r="323">
          <cell r="A323">
            <v>860011153</v>
          </cell>
          <cell r="B323" t="str">
            <v>NT</v>
          </cell>
          <cell r="C323">
            <v>860011153</v>
          </cell>
          <cell r="D323">
            <v>6</v>
          </cell>
          <cell r="E323" t="str">
            <v>POSITIVA ARL</v>
          </cell>
          <cell r="F323" t="str">
            <v>Calle 11 No. 12 – 78 Piso 2</v>
          </cell>
          <cell r="G323" t="str">
            <v xml:space="preserve"> (601) 330 -7000</v>
          </cell>
          <cell r="H323" t="str">
            <v>servicioalcliente@positiva.gov.co</v>
          </cell>
          <cell r="I323">
            <v>15104</v>
          </cell>
          <cell r="J323" t="str">
            <v>BOYACA</v>
          </cell>
        </row>
        <row r="324">
          <cell r="A324">
            <v>860013720</v>
          </cell>
          <cell r="B324" t="str">
            <v>NT</v>
          </cell>
          <cell r="C324">
            <v>860013720</v>
          </cell>
          <cell r="D324">
            <v>1</v>
          </cell>
          <cell r="E324" t="str">
            <v>PONTIFICIA UNIVERSIDAD JAVERIANA</v>
          </cell>
          <cell r="F324" t="str">
            <v>Carrera 7 # 40B - 36 Ed. Jorge Hoyos Vásquez</v>
          </cell>
          <cell r="G324">
            <v>3208320</v>
          </cell>
          <cell r="H324" t="str">
            <v>facturaelectronica@javeriana.edu.co</v>
          </cell>
          <cell r="I324">
            <v>11001</v>
          </cell>
          <cell r="J324" t="str">
            <v>BOGOTA D.C.</v>
          </cell>
        </row>
        <row r="325">
          <cell r="A325">
            <v>860014035</v>
          </cell>
          <cell r="B325" t="str">
            <v>NT</v>
          </cell>
          <cell r="C325">
            <v>860014035</v>
          </cell>
          <cell r="D325">
            <v>9</v>
          </cell>
          <cell r="E325" t="str">
            <v>UNIDAD RESIDENCIAL COLSEGURO-PROPIEDAD HORIZONTAL</v>
          </cell>
          <cell r="F325" t="str">
            <v>CR 10 #17-72</v>
          </cell>
          <cell r="G325" t="str">
            <v>316 5220293</v>
          </cell>
          <cell r="H325" t="str">
            <v>contabilidadurc2023@gmail.com</v>
          </cell>
          <cell r="I325">
            <v>11001</v>
          </cell>
          <cell r="J325" t="str">
            <v>BOGOTA D.C.</v>
          </cell>
        </row>
        <row r="326">
          <cell r="A326">
            <v>860017005</v>
          </cell>
          <cell r="B326" t="str">
            <v>NT</v>
          </cell>
          <cell r="C326">
            <v>860017005</v>
          </cell>
          <cell r="D326">
            <v>1</v>
          </cell>
          <cell r="E326" t="str">
            <v>CHALLENGER S A S</v>
          </cell>
          <cell r="F326" t="str">
            <v>DG 25G 94 - 55</v>
          </cell>
          <cell r="G326">
            <v>4256000</v>
          </cell>
          <cell r="H326" t="str">
            <v>femision-confirmaciones@challenger.co</v>
          </cell>
          <cell r="I326">
            <v>11001</v>
          </cell>
          <cell r="J326" t="str">
            <v>BOGOTA D.C.</v>
          </cell>
        </row>
        <row r="327">
          <cell r="A327">
            <v>860025461</v>
          </cell>
          <cell r="B327" t="str">
            <v>NT</v>
          </cell>
          <cell r="C327">
            <v>860025461</v>
          </cell>
          <cell r="D327">
            <v>0</v>
          </cell>
          <cell r="E327" t="str">
            <v>COMPAÑIA COMERCIAL E INDUSTRIAL LA SABANA AVESCO S.A.S</v>
          </cell>
          <cell r="F327" t="str">
            <v>CALLE 7 45 185 LOC 144</v>
          </cell>
          <cell r="G327">
            <v>6018612233</v>
          </cell>
          <cell r="H327" t="str">
            <v>kkrk6220@kokoriko.com.com</v>
          </cell>
          <cell r="I327">
            <v>50001</v>
          </cell>
          <cell r="J327" t="str">
            <v>VILLAVICENCIO</v>
          </cell>
        </row>
        <row r="328">
          <cell r="A328">
            <v>860032550</v>
          </cell>
          <cell r="B328" t="str">
            <v>NT</v>
          </cell>
          <cell r="C328">
            <v>860032550</v>
          </cell>
          <cell r="D328">
            <v>7</v>
          </cell>
          <cell r="E328" t="str">
            <v>ALFAGRES S.A.</v>
          </cell>
          <cell r="F328" t="str">
            <v>AVENIDA CARACAS N 35-55</v>
          </cell>
          <cell r="G328">
            <v>6015371575</v>
          </cell>
          <cell r="H328" t="str">
            <v>DLEGAL@alfa.com.co</v>
          </cell>
          <cell r="I328">
            <v>11001</v>
          </cell>
          <cell r="J328" t="str">
            <v>BOGOTA D.C.</v>
          </cell>
        </row>
        <row r="329">
          <cell r="A329">
            <v>860037013</v>
          </cell>
          <cell r="B329" t="str">
            <v>NT</v>
          </cell>
          <cell r="C329">
            <v>860037013</v>
          </cell>
          <cell r="D329">
            <v>6</v>
          </cell>
          <cell r="E329" t="str">
            <v>COMPAÑIA MUNDIAL DE SEGUROS SAS</v>
          </cell>
          <cell r="F329" t="str">
            <v>cll 33 6b 24</v>
          </cell>
          <cell r="H329" t="str">
            <v>serviciofacturaelectronica@segurosmundial.com.co</v>
          </cell>
          <cell r="I329">
            <v>11001</v>
          </cell>
          <cell r="J329" t="str">
            <v>BOGOTA D.C.</v>
          </cell>
        </row>
        <row r="330">
          <cell r="A330">
            <v>860039032</v>
          </cell>
          <cell r="B330" t="str">
            <v>NT</v>
          </cell>
          <cell r="C330">
            <v>860039032</v>
          </cell>
          <cell r="D330">
            <v>5</v>
          </cell>
          <cell r="E330" t="str">
            <v>ASOCIACION HOTELERA Y TURISTICA DE COLOMBIA COTELC</v>
          </cell>
          <cell r="F330" t="str">
            <v>CR 11 A # 69-79</v>
          </cell>
          <cell r="G330">
            <v>7427766</v>
          </cell>
          <cell r="H330" t="str">
            <v>jfernande@cotelco.org</v>
          </cell>
          <cell r="I330">
            <v>11001</v>
          </cell>
          <cell r="J330" t="str">
            <v>BOGOTA D.C.</v>
          </cell>
        </row>
        <row r="331">
          <cell r="A331">
            <v>860043347</v>
          </cell>
          <cell r="B331" t="str">
            <v>NT</v>
          </cell>
          <cell r="C331">
            <v>860043347</v>
          </cell>
          <cell r="D331">
            <v>5</v>
          </cell>
          <cell r="E331" t="str">
            <v>HACIENDA  SAN MATEO</v>
          </cell>
          <cell r="F331" t="str">
            <v>crr 6 barrio capellania</v>
          </cell>
          <cell r="H331" t="str">
            <v>haciendacapellaniapaipa@gmail.com</v>
          </cell>
          <cell r="I331" t="str">
            <v>15516</v>
          </cell>
          <cell r="J331" t="str">
            <v>PAIPA</v>
          </cell>
        </row>
        <row r="332">
          <cell r="A332">
            <v>860056971</v>
          </cell>
          <cell r="B332" t="str">
            <v>NT</v>
          </cell>
          <cell r="C332">
            <v>860056971</v>
          </cell>
          <cell r="D332">
            <v>8</v>
          </cell>
          <cell r="E332" t="str">
            <v>LA CAMPANA  SERVICIO DE ACERO</v>
          </cell>
          <cell r="F332" t="str">
            <v>CALLE 68 # 25-37</v>
          </cell>
          <cell r="G332" t="str">
            <v>744 1115</v>
          </cell>
          <cell r="H332" t="str">
            <v>facturacion@lacampana.co</v>
          </cell>
          <cell r="I332">
            <v>50001</v>
          </cell>
          <cell r="J332" t="str">
            <v>VILLAVICENCIO</v>
          </cell>
        </row>
        <row r="333">
          <cell r="A333">
            <v>860076919</v>
          </cell>
          <cell r="B333" t="str">
            <v>NT</v>
          </cell>
          <cell r="C333">
            <v>860076919</v>
          </cell>
          <cell r="D333">
            <v>1</v>
          </cell>
          <cell r="E333" t="str">
            <v>CREPES Y WAFLES SA</v>
          </cell>
          <cell r="F333" t="str">
            <v>CL 15 40 01 CC PRIMAVERA LC 143</v>
          </cell>
          <cell r="G333">
            <v>6016767610</v>
          </cell>
          <cell r="H333" t="str">
            <v>REST.PRIMAVERA@CREPESYWAFFLES.COM</v>
          </cell>
          <cell r="I333">
            <v>50001</v>
          </cell>
          <cell r="J333" t="str">
            <v>VILLAVICENCIO</v>
          </cell>
        </row>
        <row r="334">
          <cell r="A334">
            <v>86045233</v>
          </cell>
          <cell r="B334" t="str">
            <v>CC</v>
          </cell>
          <cell r="C334">
            <v>86045233</v>
          </cell>
          <cell r="D334">
            <v>6</v>
          </cell>
          <cell r="E334" t="str">
            <v>MORENO CARDENAS CARLOS ALBERTO</v>
          </cell>
          <cell r="F334" t="str">
            <v>calle 16 · 40a 45 este</v>
          </cell>
          <cell r="H334" t="str">
            <v>carmo1974@gmail.com</v>
          </cell>
          <cell r="I334">
            <v>50001</v>
          </cell>
          <cell r="J334" t="str">
            <v>VILLAVICENCIO</v>
          </cell>
        </row>
        <row r="335">
          <cell r="A335">
            <v>860500480</v>
          </cell>
          <cell r="B335" t="str">
            <v>NT</v>
          </cell>
          <cell r="C335">
            <v>860500480</v>
          </cell>
          <cell r="D335">
            <v>8</v>
          </cell>
          <cell r="E335" t="str">
            <v>ALMACENES CORONA SAS</v>
          </cell>
          <cell r="F335" t="str">
            <v>CL 26 86 85</v>
          </cell>
          <cell r="G335">
            <v>6014279300</v>
          </cell>
          <cell r="H335" t="str">
            <v>ACNOTIIFICACIONES@CORONA.COM.CO</v>
          </cell>
          <cell r="I335">
            <v>11001</v>
          </cell>
          <cell r="J335" t="str">
            <v>BOGOTA D.C.</v>
          </cell>
        </row>
        <row r="336">
          <cell r="A336">
            <v>860509926</v>
          </cell>
          <cell r="B336" t="str">
            <v>NT</v>
          </cell>
          <cell r="C336">
            <v>860509926</v>
          </cell>
          <cell r="D336">
            <v>1</v>
          </cell>
          <cell r="E336" t="str">
            <v>INVERSIONES BOGA LTDA.</v>
          </cell>
          <cell r="F336" t="str">
            <v>CR 3 58 54</v>
          </cell>
          <cell r="G336">
            <v>7436290</v>
          </cell>
          <cell r="H336" t="str">
            <v>bogatunja2020@gmail.com</v>
          </cell>
          <cell r="I336">
            <v>15001</v>
          </cell>
          <cell r="J336" t="str">
            <v>TUNJA</v>
          </cell>
        </row>
        <row r="337">
          <cell r="A337">
            <v>860512330</v>
          </cell>
          <cell r="B337" t="str">
            <v>NT</v>
          </cell>
          <cell r="C337">
            <v>860512330</v>
          </cell>
          <cell r="D337">
            <v>3</v>
          </cell>
          <cell r="E337" t="str">
            <v>SERVIENTREGA</v>
          </cell>
          <cell r="F337" t="str">
            <v>CALLE 6 # 34A-11</v>
          </cell>
          <cell r="H337" t="str">
            <v>servicioalcliente@servientrega.com</v>
          </cell>
          <cell r="I337">
            <v>11001</v>
          </cell>
          <cell r="J337" t="str">
            <v>BOGOTA D.C.</v>
          </cell>
        </row>
        <row r="338">
          <cell r="A338">
            <v>86086187</v>
          </cell>
          <cell r="B338" t="str">
            <v>CC</v>
          </cell>
          <cell r="C338">
            <v>86086187</v>
          </cell>
          <cell r="D338">
            <v>0</v>
          </cell>
          <cell r="E338" t="str">
            <v>CASTRO VARGAS ROBERTO</v>
          </cell>
          <cell r="F338" t="str">
            <v>calle 27-37-13 bodega 7 de agosto</v>
          </cell>
          <cell r="G338">
            <v>6698522</v>
          </cell>
          <cell r="H338" t="str">
            <v>chuchocastro77@gmail.comº</v>
          </cell>
          <cell r="I338">
            <v>50001</v>
          </cell>
          <cell r="J338" t="str">
            <v>VILLAVICENCIO</v>
          </cell>
        </row>
        <row r="339">
          <cell r="A339">
            <v>88033653</v>
          </cell>
          <cell r="B339" t="str">
            <v>CC</v>
          </cell>
          <cell r="C339">
            <v>88033653</v>
          </cell>
          <cell r="D339">
            <v>1</v>
          </cell>
          <cell r="E339" t="str">
            <v>AVILA AMEZQUITA DANIEL</v>
          </cell>
          <cell r="F339" t="str">
            <v>AV 40 26C 09</v>
          </cell>
          <cell r="G339">
            <v>3123399021</v>
          </cell>
          <cell r="H339" t="str">
            <v>LACTEOS@GMAIL.COM</v>
          </cell>
          <cell r="I339">
            <v>50001</v>
          </cell>
          <cell r="J339" t="str">
            <v>VILLAVICENCIO</v>
          </cell>
        </row>
        <row r="340">
          <cell r="A340">
            <v>88131933</v>
          </cell>
          <cell r="B340" t="str">
            <v>CC</v>
          </cell>
          <cell r="C340">
            <v>88131933</v>
          </cell>
          <cell r="D340">
            <v>9</v>
          </cell>
          <cell r="E340" t="str">
            <v>CACERES FABIAN LEONARDO</v>
          </cell>
          <cell r="F340" t="str">
            <v>CRA 51 # 103B - 81</v>
          </cell>
          <cell r="G340">
            <v>3212740920</v>
          </cell>
          <cell r="H340" t="str">
            <v>alfa290204@hotmail.com</v>
          </cell>
          <cell r="I340">
            <v>11001</v>
          </cell>
          <cell r="J340" t="str">
            <v>BOGOTA D.C.</v>
          </cell>
        </row>
        <row r="341">
          <cell r="A341">
            <v>890203975</v>
          </cell>
          <cell r="B341" t="str">
            <v>NT</v>
          </cell>
          <cell r="C341">
            <v>890203975</v>
          </cell>
          <cell r="D341">
            <v>7</v>
          </cell>
          <cell r="E341" t="str">
            <v>INVERSORA HOTELERA COLOMBIANA S.A- SOLAR CHICAMOCHA C. DE EVENTOS</v>
          </cell>
          <cell r="F341" t="str">
            <v>calle 34· 31-24</v>
          </cell>
          <cell r="G341">
            <v>6343000</v>
          </cell>
          <cell r="H341" t="str">
            <v>chicamocha@solarhoteles.com</v>
          </cell>
          <cell r="I341">
            <v>68001</v>
          </cell>
          <cell r="J341" t="str">
            <v>BUCARAMANGA</v>
          </cell>
        </row>
        <row r="342">
          <cell r="A342">
            <v>890317339</v>
          </cell>
          <cell r="B342" t="str">
            <v>NT</v>
          </cell>
          <cell r="C342">
            <v>890317339</v>
          </cell>
          <cell r="D342">
            <v>2</v>
          </cell>
          <cell r="E342" t="str">
            <v>PALOMARO S.A</v>
          </cell>
          <cell r="F342" t="str">
            <v>america cerrera 56 5C96-cr 65 80 06 cl 12a 48 ricate</v>
          </cell>
          <cell r="H342" t="str">
            <v>siesafe@siesa.com</v>
          </cell>
          <cell r="I342">
            <v>11001</v>
          </cell>
          <cell r="J342" t="str">
            <v>BOGOTA D.C.</v>
          </cell>
        </row>
        <row r="343">
          <cell r="A343">
            <v>890900098</v>
          </cell>
          <cell r="B343" t="str">
            <v>NT</v>
          </cell>
          <cell r="C343">
            <v>890900098</v>
          </cell>
          <cell r="D343">
            <v>2</v>
          </cell>
          <cell r="E343" t="str">
            <v>LANDERS Y CIA S.A.S.</v>
          </cell>
          <cell r="F343" t="str">
            <v>CR 53 NO 30 -27</v>
          </cell>
          <cell r="G343">
            <v>3500060</v>
          </cell>
          <cell r="H343" t="str">
            <v xml:space="preserve"> facturacion@landers.com.co</v>
          </cell>
          <cell r="I343">
            <v>5001</v>
          </cell>
          <cell r="J343" t="str">
            <v>MEDELLIN</v>
          </cell>
        </row>
        <row r="344">
          <cell r="A344">
            <v>890900281</v>
          </cell>
          <cell r="B344" t="str">
            <v>NT</v>
          </cell>
          <cell r="C344">
            <v>890900281</v>
          </cell>
          <cell r="D344">
            <v>4</v>
          </cell>
          <cell r="E344" t="str">
            <v>INDUSTRIAS HACEB SAS</v>
          </cell>
          <cell r="H344" t="str">
            <v>ASESOR.SERVICIO@HACEB.COM</v>
          </cell>
          <cell r="I344">
            <v>50001</v>
          </cell>
          <cell r="J344" t="str">
            <v>VILLAVICENCIO</v>
          </cell>
        </row>
        <row r="345">
          <cell r="A345">
            <v>890900608</v>
          </cell>
          <cell r="B345" t="str">
            <v>NT</v>
          </cell>
          <cell r="C345">
            <v>890900608</v>
          </cell>
          <cell r="D345">
            <v>9</v>
          </cell>
          <cell r="E345" t="str">
            <v>GRUPO EXITO SA  ALMACENES</v>
          </cell>
          <cell r="F345" t="str">
            <v>Av. Universitaria con calle 35</v>
          </cell>
          <cell r="G345">
            <v>18000428800</v>
          </cell>
          <cell r="H345" t="str">
            <v>FacturaCTSColombia@cen.biz</v>
          </cell>
          <cell r="I345">
            <v>15041</v>
          </cell>
          <cell r="J345" t="str">
            <v>DUITAMA</v>
          </cell>
        </row>
        <row r="346">
          <cell r="A346">
            <v>890900943</v>
          </cell>
          <cell r="B346" t="str">
            <v>NT</v>
          </cell>
          <cell r="C346">
            <v>890900943</v>
          </cell>
          <cell r="D346">
            <v>1</v>
          </cell>
          <cell r="E346" t="str">
            <v>COLOMBIANA DE COMERCIO SA</v>
          </cell>
          <cell r="F346" t="str">
            <v>Cl 11 # 31a 42 Bogota</v>
          </cell>
          <cell r="G346" t="str">
            <v>601-3649752</v>
          </cell>
          <cell r="H346" t="str">
            <v>alkomprar.serviciocliente@corbeta.com</v>
          </cell>
          <cell r="I346">
            <v>11001</v>
          </cell>
          <cell r="J346" t="str">
            <v>BOGOTA D.C.</v>
          </cell>
        </row>
        <row r="347">
          <cell r="A347">
            <v>890916575</v>
          </cell>
          <cell r="B347" t="str">
            <v>NT</v>
          </cell>
          <cell r="C347">
            <v>890916575</v>
          </cell>
          <cell r="D347">
            <v>4</v>
          </cell>
          <cell r="E347" t="str">
            <v>DISTRIBUIDORA DE VINOS Y LICORES S.A.S.</v>
          </cell>
          <cell r="F347" t="str">
            <v>CR 43 A 25 A 45</v>
          </cell>
          <cell r="G347">
            <v>2323060</v>
          </cell>
          <cell r="H347" t="str">
            <v>fe@dislicores.com</v>
          </cell>
          <cell r="I347">
            <v>5001</v>
          </cell>
          <cell r="J347" t="str">
            <v>MEDELLIN</v>
          </cell>
        </row>
        <row r="348">
          <cell r="A348">
            <v>891800215</v>
          </cell>
          <cell r="B348" t="str">
            <v>NT</v>
          </cell>
          <cell r="C348">
            <v>891800215</v>
          </cell>
          <cell r="D348">
            <v>2</v>
          </cell>
          <cell r="E348" t="str">
            <v>NOGO BOYACA LTDA.</v>
          </cell>
          <cell r="F348" t="str">
            <v>CRA 12 14 99</v>
          </cell>
          <cell r="G348">
            <v>6087706708</v>
          </cell>
          <cell r="H348" t="str">
            <v>facturacionelectronica@nogoboyaca.com.co</v>
          </cell>
          <cell r="I348">
            <v>15759</v>
          </cell>
          <cell r="J348" t="str">
            <v>SOGAMOSO</v>
          </cell>
        </row>
        <row r="349">
          <cell r="A349">
            <v>891800219</v>
          </cell>
          <cell r="B349" t="str">
            <v>NT</v>
          </cell>
          <cell r="C349">
            <v>891800219</v>
          </cell>
          <cell r="D349">
            <v>1</v>
          </cell>
          <cell r="E349" t="str">
            <v>EBSA EMPRESA DE ENERGIA BOYACENCE  A.E.S.P</v>
          </cell>
          <cell r="F349" t="str">
            <v>cra 10  # 15-87</v>
          </cell>
          <cell r="G349" t="str">
            <v>608 7405000</v>
          </cell>
          <cell r="H349" t="str">
            <v>servicioalcliente@ebsa.com.co</v>
          </cell>
          <cell r="I349">
            <v>15104</v>
          </cell>
          <cell r="J349" t="str">
            <v>BOYACA</v>
          </cell>
        </row>
        <row r="350">
          <cell r="A350">
            <v>891800498</v>
          </cell>
          <cell r="B350" t="str">
            <v>NT</v>
          </cell>
          <cell r="C350">
            <v>891800498</v>
          </cell>
          <cell r="D350">
            <v>1</v>
          </cell>
          <cell r="E350" t="str">
            <v>GOBERNACION DE BOYACA</v>
          </cell>
          <cell r="F350" t="str">
            <v>Calle 20 No. 9-90, Casa de la Torre, Tunja</v>
          </cell>
          <cell r="G350" t="str">
            <v>608 742 0150</v>
          </cell>
          <cell r="H350" t="str">
            <v>impuesto.vehiculos@boyaca.gov.co</v>
          </cell>
          <cell r="I350">
            <v>15001</v>
          </cell>
          <cell r="J350" t="str">
            <v>TUNJA</v>
          </cell>
        </row>
        <row r="351">
          <cell r="A351">
            <v>891801193</v>
          </cell>
          <cell r="B351" t="str">
            <v>NT</v>
          </cell>
          <cell r="C351">
            <v>891801193</v>
          </cell>
          <cell r="D351">
            <v>3</v>
          </cell>
          <cell r="E351" t="str">
            <v>INVERSIONES LADRILLOS MAGUNCIA SAS</v>
          </cell>
          <cell r="F351" t="str">
            <v>KM 25 VIA TUNJA PAIPA</v>
          </cell>
          <cell r="H351" t="str">
            <v>FINANCIERA@LADRILLERAMAGUNCIA.COM</v>
          </cell>
          <cell r="I351">
            <v>15763</v>
          </cell>
          <cell r="J351" t="str">
            <v>SOTAQUIRA</v>
          </cell>
        </row>
        <row r="352">
          <cell r="A352">
            <v>891801240</v>
          </cell>
          <cell r="B352" t="str">
            <v>NT</v>
          </cell>
          <cell r="C352">
            <v>891801240</v>
          </cell>
          <cell r="D352">
            <v>1</v>
          </cell>
          <cell r="E352" t="str">
            <v>ALCALDIA DE PAIPA</v>
          </cell>
          <cell r="F352" t="str">
            <v>cra 22 # C 29 A 47 AP 605 TO 2</v>
          </cell>
          <cell r="G352">
            <v>87850135</v>
          </cell>
          <cell r="H352" t="str">
            <v>contactenos@paipa-boyaca.gov.co</v>
          </cell>
          <cell r="I352" t="str">
            <v>15516</v>
          </cell>
          <cell r="J352" t="str">
            <v>PAIPA</v>
          </cell>
        </row>
        <row r="353">
          <cell r="A353">
            <v>891801302</v>
          </cell>
          <cell r="B353" t="str">
            <v>NT</v>
          </cell>
          <cell r="C353">
            <v>891801302</v>
          </cell>
          <cell r="D353">
            <v>1</v>
          </cell>
          <cell r="E353" t="str">
            <v>LOPEZ HERMANOS GEOTECNIA Y AGUAS SUBTERRANEAS SAS</v>
          </cell>
          <cell r="F353" t="str">
            <v>AV NORTE 48 57</v>
          </cell>
          <cell r="G353">
            <v>7403972</v>
          </cell>
          <cell r="H353" t="str">
            <v>LOPEZHERMANOS@GMAIL.COM</v>
          </cell>
          <cell r="I353">
            <v>15001</v>
          </cell>
          <cell r="J353" t="str">
            <v>TUNJA</v>
          </cell>
        </row>
        <row r="354">
          <cell r="A354">
            <v>891801918</v>
          </cell>
          <cell r="B354" t="str">
            <v>NT</v>
          </cell>
          <cell r="C354">
            <v>891801918</v>
          </cell>
          <cell r="D354">
            <v>6</v>
          </cell>
          <cell r="E354" t="str">
            <v>SOELCO S.A.S.</v>
          </cell>
          <cell r="F354" t="str">
            <v>CLL 22C 29A 47</v>
          </cell>
          <cell r="G354">
            <v>3009122122</v>
          </cell>
          <cell r="H354" t="str">
            <v>facturacion@soelco.com.co</v>
          </cell>
          <cell r="I354">
            <v>15001</v>
          </cell>
          <cell r="J354" t="str">
            <v>TUNJA</v>
          </cell>
        </row>
        <row r="355">
          <cell r="A355">
            <v>891855025</v>
          </cell>
          <cell r="B355" t="str">
            <v>NT</v>
          </cell>
          <cell r="C355">
            <v>891855025</v>
          </cell>
          <cell r="D355">
            <v>6</v>
          </cell>
          <cell r="E355" t="str">
            <v>CAMARA COMERCIO DUITAMA</v>
          </cell>
          <cell r="F355" t="str">
            <v>TV 19 23 141</v>
          </cell>
          <cell r="G355">
            <v>60876025906</v>
          </cell>
          <cell r="H355" t="str">
            <v>acontabilidad@ccduitama.org.com</v>
          </cell>
          <cell r="I355">
            <v>15238</v>
          </cell>
          <cell r="J355" t="str">
            <v>DUITAMA</v>
          </cell>
        </row>
        <row r="356">
          <cell r="A356">
            <v>891855895</v>
          </cell>
          <cell r="B356" t="str">
            <v>NT</v>
          </cell>
          <cell r="C356">
            <v>891855895</v>
          </cell>
          <cell r="D356">
            <v>7</v>
          </cell>
          <cell r="E356" t="str">
            <v>ASOCIACION HOTELERA COTELCO</v>
          </cell>
          <cell r="F356" t="str">
            <v>CENTRO CIVICO Y COMERCIAL PLAZA REAL OF.204A</v>
          </cell>
          <cell r="G356">
            <v>7402204</v>
          </cell>
          <cell r="H356" t="str">
            <v>cotelcoboyaca@gmail.com</v>
          </cell>
          <cell r="I356">
            <v>15104</v>
          </cell>
          <cell r="J356" t="str">
            <v>BOYACA</v>
          </cell>
        </row>
        <row r="357">
          <cell r="A357">
            <v>892002252</v>
          </cell>
          <cell r="B357" t="str">
            <v>NT</v>
          </cell>
          <cell r="C357">
            <v>892002252</v>
          </cell>
          <cell r="D357">
            <v>5</v>
          </cell>
          <cell r="E357" t="str">
            <v>CORPORACION CLUB VILLAVICENCIO</v>
          </cell>
          <cell r="F357" t="str">
            <v>CALLE 33 · 44B-03</v>
          </cell>
          <cell r="G357">
            <v>6086611193</v>
          </cell>
          <cell r="H357" t="str">
            <v>tesoreriaclubvillavicencio@gmail.com</v>
          </cell>
          <cell r="I357">
            <v>50001</v>
          </cell>
          <cell r="J357" t="str">
            <v>VILLAVICENCIO</v>
          </cell>
        </row>
        <row r="358">
          <cell r="A358">
            <v>899999061</v>
          </cell>
          <cell r="B358" t="str">
            <v>NT</v>
          </cell>
          <cell r="C358">
            <v>899999061</v>
          </cell>
          <cell r="D358">
            <v>9</v>
          </cell>
          <cell r="E358" t="str">
            <v>ALCALDIA DE BOGOTA</v>
          </cell>
          <cell r="F358" t="str">
            <v>Cra. 8 #10-65</v>
          </cell>
          <cell r="G358" t="str">
            <v>601 338 50 00</v>
          </cell>
          <cell r="H358" t="str">
            <v>radicacion_virtual@shd.gov.co</v>
          </cell>
          <cell r="I358">
            <v>11001</v>
          </cell>
          <cell r="J358" t="str">
            <v>BOGOTA D.C.</v>
          </cell>
        </row>
        <row r="359">
          <cell r="A359">
            <v>900010727</v>
          </cell>
          <cell r="B359" t="str">
            <v>NT</v>
          </cell>
          <cell r="C359">
            <v>900010727</v>
          </cell>
          <cell r="D359">
            <v>3</v>
          </cell>
          <cell r="E359" t="str">
            <v>INTROTECH SAS</v>
          </cell>
          <cell r="F359" t="str">
            <v>cll 165b3 14a -07</v>
          </cell>
          <cell r="G359">
            <v>8039103</v>
          </cell>
          <cell r="H359" t="str">
            <v>administrador@introtech.com.co</v>
          </cell>
          <cell r="I359">
            <v>11001</v>
          </cell>
          <cell r="J359" t="str">
            <v>BOGOTA D.C.</v>
          </cell>
        </row>
        <row r="360">
          <cell r="A360">
            <v>900031780</v>
          </cell>
          <cell r="B360" t="str">
            <v>NT</v>
          </cell>
          <cell r="C360">
            <v>900031780</v>
          </cell>
          <cell r="D360">
            <v>4</v>
          </cell>
          <cell r="E360" t="str">
            <v>SM ASOCIADOS S.A.</v>
          </cell>
          <cell r="F360" t="str">
            <v>AV los libertadores 22 77</v>
          </cell>
          <cell r="G360">
            <v>3105518809</v>
          </cell>
          <cell r="H360" t="str">
            <v>symfacturacion@hotmail.com</v>
          </cell>
          <cell r="I360" t="str">
            <v>15516</v>
          </cell>
          <cell r="J360" t="str">
            <v>PAIPA</v>
          </cell>
        </row>
        <row r="361">
          <cell r="A361">
            <v>900034102</v>
          </cell>
          <cell r="B361" t="str">
            <v>NT</v>
          </cell>
          <cell r="C361">
            <v>900034102</v>
          </cell>
          <cell r="D361">
            <v>4</v>
          </cell>
          <cell r="E361" t="str">
            <v>FERRETERIA ANDRES MARTINEZ SAS</v>
          </cell>
          <cell r="F361" t="str">
            <v>CR 25 15 65</v>
          </cell>
          <cell r="G361">
            <v>6017443636</v>
          </cell>
          <cell r="H361" t="str">
            <v>GERENCIA@AMFERRETERIA.COM</v>
          </cell>
          <cell r="I361">
            <v>11001</v>
          </cell>
          <cell r="J361" t="str">
            <v>BOGOTA D.C.</v>
          </cell>
        </row>
        <row r="362">
          <cell r="A362">
            <v>900059238</v>
          </cell>
          <cell r="B362" t="str">
            <v>NT</v>
          </cell>
          <cell r="C362">
            <v>900059238</v>
          </cell>
          <cell r="D362">
            <v>5</v>
          </cell>
          <cell r="E362" t="str">
            <v>MAKRO SUPERMAYORISTA SAS</v>
          </cell>
          <cell r="F362" t="str">
            <v xml:space="preserve"> CALLE 192 # 19-12 - Bogotá D.C</v>
          </cell>
          <cell r="G362" t="str">
            <v>678-1616</v>
          </cell>
          <cell r="H362" t="str">
            <v>ventas@makro.com.co</v>
          </cell>
          <cell r="I362">
            <v>11001</v>
          </cell>
          <cell r="J362" t="str">
            <v>BOGOTA D.C.</v>
          </cell>
        </row>
        <row r="363">
          <cell r="A363">
            <v>900062992</v>
          </cell>
          <cell r="B363" t="str">
            <v>NT</v>
          </cell>
          <cell r="C363">
            <v>900062992</v>
          </cell>
          <cell r="D363">
            <v>1</v>
          </cell>
          <cell r="E363" t="str">
            <v>EVACOL SAS</v>
          </cell>
          <cell r="F363" t="str">
            <v xml:space="preserve"> CRA 23 13 100</v>
          </cell>
          <cell r="G363">
            <v>6959484</v>
          </cell>
          <cell r="H363" t="str">
            <v>cartera@evacol.com</v>
          </cell>
          <cell r="I363">
            <v>76892</v>
          </cell>
          <cell r="J363" t="str">
            <v>YUMBO</v>
          </cell>
        </row>
        <row r="364">
          <cell r="A364">
            <v>900072847</v>
          </cell>
          <cell r="B364" t="str">
            <v>NT</v>
          </cell>
          <cell r="C364">
            <v>900072847</v>
          </cell>
          <cell r="D364">
            <v>4</v>
          </cell>
          <cell r="E364" t="str">
            <v>GNE SOLUCIONES SAS</v>
          </cell>
          <cell r="F364" t="str">
            <v>CARRERA 14 # 99-33</v>
          </cell>
          <cell r="G364">
            <v>3798000</v>
          </cell>
          <cell r="H364" t="str">
            <v>www.biomax.co</v>
          </cell>
          <cell r="I364">
            <v>11001</v>
          </cell>
          <cell r="J364" t="str">
            <v>BOGOTA D.C.</v>
          </cell>
        </row>
        <row r="365">
          <cell r="A365">
            <v>900078103</v>
          </cell>
          <cell r="B365" t="str">
            <v>NT</v>
          </cell>
          <cell r="C365">
            <v>900078103</v>
          </cell>
          <cell r="D365">
            <v>0</v>
          </cell>
          <cell r="E365" t="str">
            <v>ESTACION DE COMBUSTIBLE DH PRIMAX AURORA</v>
          </cell>
          <cell r="F365" t="str">
            <v xml:space="preserve"> Km 1, Gachancipa - Sesquilé, Tunja</v>
          </cell>
          <cell r="G365">
            <v>3506114884</v>
          </cell>
          <cell r="H365" t="str">
            <v>estacioprimashdguachape@hotmail.com</v>
          </cell>
          <cell r="I365">
            <v>25295</v>
          </cell>
          <cell r="J365" t="str">
            <v>GACHANCIPA</v>
          </cell>
        </row>
        <row r="366">
          <cell r="A366">
            <v>900089075</v>
          </cell>
          <cell r="B366" t="str">
            <v>NT</v>
          </cell>
          <cell r="C366">
            <v>900089075</v>
          </cell>
          <cell r="D366">
            <v>1</v>
          </cell>
          <cell r="E366" t="str">
            <v>CENTRO COMERCIAL UNICENTRO</v>
          </cell>
          <cell r="F366" t="str">
            <v>av 40 # 26c-10</v>
          </cell>
          <cell r="G366">
            <v>6707770</v>
          </cell>
          <cell r="H366" t="str">
            <v>@centrocomercialunicentro.com</v>
          </cell>
          <cell r="I366">
            <v>50001</v>
          </cell>
          <cell r="J366" t="str">
            <v>VILLAVICENCIO</v>
          </cell>
        </row>
        <row r="367">
          <cell r="A367">
            <v>900092995</v>
          </cell>
          <cell r="B367" t="str">
            <v>NT</v>
          </cell>
          <cell r="C367">
            <v>900092995</v>
          </cell>
          <cell r="D367">
            <v>1</v>
          </cell>
          <cell r="E367" t="str">
            <v>OMEGA SERVICES SAS</v>
          </cell>
          <cell r="F367" t="str">
            <v>CLL 23 15 24</v>
          </cell>
          <cell r="G367">
            <v>3138322352</v>
          </cell>
          <cell r="H367" t="str">
            <v>facturacion@omegaservices.com.co</v>
          </cell>
          <cell r="I367">
            <v>11001</v>
          </cell>
          <cell r="J367" t="str">
            <v>BOGOTA D.C.</v>
          </cell>
        </row>
        <row r="368">
          <cell r="A368">
            <v>900137023</v>
          </cell>
          <cell r="B368" t="str">
            <v>NT</v>
          </cell>
          <cell r="C368">
            <v>900137023</v>
          </cell>
          <cell r="D368">
            <v>3</v>
          </cell>
          <cell r="E368" t="str">
            <v>AREQUIPE 10 PAIPA INVERSIONES 8 A SAS</v>
          </cell>
          <cell r="F368" t="str">
            <v>CALLE 25  #25-18</v>
          </cell>
          <cell r="H368" t="str">
            <v>arequipe10paipagmail.com</v>
          </cell>
          <cell r="I368" t="str">
            <v>15516</v>
          </cell>
          <cell r="J368" t="str">
            <v>PAIPA</v>
          </cell>
        </row>
        <row r="369">
          <cell r="A369">
            <v>900142123</v>
          </cell>
          <cell r="B369" t="str">
            <v>NT</v>
          </cell>
          <cell r="C369">
            <v>900142123</v>
          </cell>
          <cell r="D369">
            <v>1</v>
          </cell>
          <cell r="E369" t="str">
            <v>INVERSIONES MALACA S</v>
          </cell>
          <cell r="G369">
            <v>2948181</v>
          </cell>
          <cell r="H369" t="str">
            <v>servicioalcliente@mariohernandez.com</v>
          </cell>
          <cell r="I369">
            <v>50001</v>
          </cell>
          <cell r="J369" t="str">
            <v>VILLAVICENCIO</v>
          </cell>
        </row>
        <row r="370">
          <cell r="A370">
            <v>900155107</v>
          </cell>
          <cell r="B370" t="str">
            <v>NT</v>
          </cell>
          <cell r="C370">
            <v>900155107</v>
          </cell>
          <cell r="D370">
            <v>1</v>
          </cell>
          <cell r="E370" t="str">
            <v>CENCOSUD COLOMBIA SA</v>
          </cell>
          <cell r="F370" t="str">
            <v>AV 9 125-30</v>
          </cell>
          <cell r="H370" t="str">
            <v>portalventassas@gmail.com</v>
          </cell>
          <cell r="I370">
            <v>11001</v>
          </cell>
          <cell r="J370" t="str">
            <v>BOGOTA D.C.</v>
          </cell>
        </row>
        <row r="371">
          <cell r="A371">
            <v>900213759</v>
          </cell>
          <cell r="B371" t="str">
            <v>NT</v>
          </cell>
          <cell r="C371">
            <v>900213759</v>
          </cell>
          <cell r="D371">
            <v>0</v>
          </cell>
          <cell r="E371" t="str">
            <v>LA RECETA</v>
          </cell>
          <cell r="F371" t="str">
            <v>CENTRO BOGOTA</v>
          </cell>
          <cell r="H371" t="str">
            <v>inversionerslareseta@hotmail.com}</v>
          </cell>
          <cell r="I371">
            <v>11001</v>
          </cell>
          <cell r="J371" t="str">
            <v>BOGOTA D.C.</v>
          </cell>
        </row>
        <row r="372">
          <cell r="A372">
            <v>900221416</v>
          </cell>
          <cell r="B372" t="str">
            <v>NT</v>
          </cell>
          <cell r="C372">
            <v>900221416</v>
          </cell>
          <cell r="D372">
            <v>3</v>
          </cell>
          <cell r="E372" t="str">
            <v>EL SAUZALITO COMERCIALIZADORA DE ALIMENTOS ROJAS A</v>
          </cell>
          <cell r="F372" t="str">
            <v>VEREDA VANEGA SECTOR APOSENTOS</v>
          </cell>
          <cell r="G372">
            <v>3112574817</v>
          </cell>
          <cell r="H372" t="str">
            <v>aguassauzalito@hotmail.com</v>
          </cell>
          <cell r="I372">
            <v>15759</v>
          </cell>
          <cell r="J372" t="str">
            <v>SOGAMOSO</v>
          </cell>
        </row>
        <row r="373">
          <cell r="A373">
            <v>900223334</v>
          </cell>
          <cell r="B373" t="str">
            <v>NT</v>
          </cell>
          <cell r="C373">
            <v>900223334</v>
          </cell>
          <cell r="D373">
            <v>7</v>
          </cell>
          <cell r="E373" t="str">
            <v>MANUFACTURAS BAJO CERO SAS</v>
          </cell>
          <cell r="F373" t="str">
            <v>CRA 27 B 74 34</v>
          </cell>
          <cell r="G373">
            <v>6211853</v>
          </cell>
          <cell r="H373" t="str">
            <v>contabilidad@bajocero.com.co</v>
          </cell>
          <cell r="I373">
            <v>11001</v>
          </cell>
          <cell r="J373" t="str">
            <v>BOGOTA D.C.</v>
          </cell>
        </row>
        <row r="374">
          <cell r="A374">
            <v>9002593485</v>
          </cell>
          <cell r="B374" t="str">
            <v>NT</v>
          </cell>
          <cell r="C374">
            <v>900259348</v>
          </cell>
          <cell r="D374">
            <v>5</v>
          </cell>
          <cell r="E374" t="str">
            <v>REDVITAL EMPRESA DE SERVICIOS PUBLICOS ACUEDUCTO Y ALCANTARILLADO</v>
          </cell>
          <cell r="F374" t="str">
            <v>Km1 via francisco montaña No 5-99</v>
          </cell>
          <cell r="G374">
            <v>3208585284</v>
          </cell>
          <cell r="H374" t="str">
            <v>redvital@redvitalpaipa.com</v>
          </cell>
          <cell r="I374" t="str">
            <v>15516</v>
          </cell>
          <cell r="J374" t="str">
            <v>PAIPA</v>
          </cell>
        </row>
        <row r="375">
          <cell r="A375">
            <v>900276962</v>
          </cell>
          <cell r="B375" t="str">
            <v>NT</v>
          </cell>
          <cell r="C375">
            <v>900276962</v>
          </cell>
          <cell r="D375">
            <v>1</v>
          </cell>
          <cell r="E375" t="str">
            <v>KOBA COLOMBIA SAS</v>
          </cell>
          <cell r="F375" t="str">
            <v>CR 19 #23 - 64</v>
          </cell>
          <cell r="G375" t="str">
            <v xml:space="preserve"> 01 8000 120201</v>
          </cell>
          <cell r="H375" t="str">
            <v xml:space="preserve"> facturacionelectronica@d1.com.co</v>
          </cell>
          <cell r="I375">
            <v>50001</v>
          </cell>
          <cell r="J375" t="str">
            <v>VILLAVICENCIO</v>
          </cell>
        </row>
        <row r="376">
          <cell r="A376">
            <v>900297127</v>
          </cell>
          <cell r="B376" t="str">
            <v>NT</v>
          </cell>
          <cell r="C376">
            <v>900297127</v>
          </cell>
          <cell r="D376">
            <v>6</v>
          </cell>
          <cell r="E376" t="str">
            <v>COMERCIALIZADORA BOYANCENSE VERDE SA</v>
          </cell>
          <cell r="F376" t="str">
            <v>TV 24 27 A 31</v>
          </cell>
          <cell r="G376">
            <v>3132833202</v>
          </cell>
          <cell r="H376" t="str">
            <v>COMERCIALIZADORABOYACENCE@GMAIL.COM</v>
          </cell>
          <cell r="I376" t="str">
            <v>15516</v>
          </cell>
          <cell r="J376" t="str">
            <v>PAIPA</v>
          </cell>
        </row>
        <row r="377">
          <cell r="A377">
            <v>900319753</v>
          </cell>
          <cell r="B377" t="str">
            <v>NT</v>
          </cell>
          <cell r="C377">
            <v>900319753</v>
          </cell>
          <cell r="D377">
            <v>3</v>
          </cell>
          <cell r="E377" t="str">
            <v>PRICESMART COLOMBIA SAS</v>
          </cell>
          <cell r="F377" t="str">
            <v>Cl. 94a, 11a-53</v>
          </cell>
          <cell r="G377" t="str">
            <v>+57 3178936646</v>
          </cell>
          <cell r="H377" t="str">
            <v>FacturaCTSColombia@cen.biz</v>
          </cell>
          <cell r="I377">
            <v>50001</v>
          </cell>
          <cell r="J377" t="str">
            <v>VILLAVICENCIO</v>
          </cell>
        </row>
        <row r="378">
          <cell r="A378">
            <v>900341086</v>
          </cell>
          <cell r="B378" t="str">
            <v>NT</v>
          </cell>
          <cell r="C378">
            <v>900341086</v>
          </cell>
          <cell r="D378">
            <v>0</v>
          </cell>
          <cell r="E378" t="str">
            <v>COMERCIAL NUTRESA S.A.S</v>
          </cell>
          <cell r="H378" t="str">
            <v>comercialnutresa@gmail.com</v>
          </cell>
          <cell r="I378">
            <v>50001</v>
          </cell>
          <cell r="J378" t="str">
            <v>VILLAVICENCIO</v>
          </cell>
        </row>
        <row r="379">
          <cell r="A379">
            <v>900342297</v>
          </cell>
          <cell r="B379" t="str">
            <v>NT</v>
          </cell>
          <cell r="C379">
            <v>900342297</v>
          </cell>
          <cell r="D379">
            <v>2</v>
          </cell>
          <cell r="E379" t="str">
            <v>COMERCIALIZADORA ARTURO CALLE SAS</v>
          </cell>
          <cell r="F379" t="str">
            <v>avenida boyaca # 152B-62</v>
          </cell>
          <cell r="G379">
            <v>7438800</v>
          </cell>
          <cell r="H379" t="str">
            <v>facturacion_cartera@arturocalle.com.co</v>
          </cell>
          <cell r="I379" t="str">
            <v>15516</v>
          </cell>
          <cell r="J379" t="str">
            <v>PAIPA</v>
          </cell>
        </row>
        <row r="380">
          <cell r="A380">
            <v>900345431</v>
          </cell>
          <cell r="B380" t="str">
            <v>NT</v>
          </cell>
          <cell r="C380">
            <v>900345431</v>
          </cell>
          <cell r="D380">
            <v>7</v>
          </cell>
          <cell r="E380" t="str">
            <v>AGROPAISA S.A.S</v>
          </cell>
          <cell r="F380" t="str">
            <v>cr 35 w 71 37 bod 59</v>
          </cell>
          <cell r="G380">
            <v>6378080</v>
          </cell>
          <cell r="H380" t="str">
            <v>servicioalcliente@agropaisa.com.co</v>
          </cell>
          <cell r="I380">
            <v>68001</v>
          </cell>
          <cell r="J380" t="str">
            <v>BUCARAMANGA</v>
          </cell>
        </row>
        <row r="381">
          <cell r="A381">
            <v>900345464</v>
          </cell>
          <cell r="B381" t="str">
            <v>NT</v>
          </cell>
          <cell r="C381">
            <v>900345464</v>
          </cell>
          <cell r="D381">
            <v>1</v>
          </cell>
          <cell r="E381" t="str">
            <v>NATURESSE SAS BIC</v>
          </cell>
          <cell r="F381" t="str">
            <v>CALLE 47 #1-61</v>
          </cell>
          <cell r="G381">
            <v>4476995</v>
          </cell>
          <cell r="H381" t="str">
            <v>siesafe@siesa.com</v>
          </cell>
          <cell r="I381">
            <v>76001</v>
          </cell>
          <cell r="J381" t="str">
            <v>CALI</v>
          </cell>
        </row>
        <row r="382">
          <cell r="A382">
            <v>900355487</v>
          </cell>
          <cell r="B382" t="str">
            <v>NT</v>
          </cell>
          <cell r="C382">
            <v>900355487</v>
          </cell>
          <cell r="D382">
            <v>1</v>
          </cell>
          <cell r="E382" t="str">
            <v>JES INGENIERIA DE PROYECTOS Y CONSTRUCCIONES S.A.S</v>
          </cell>
          <cell r="F382" t="str">
            <v>CL 131A 98C 27</v>
          </cell>
          <cell r="G382">
            <v>8295604</v>
          </cell>
          <cell r="H382" t="str">
            <v>jairoestevezjes@gmail.com</v>
          </cell>
          <cell r="I382">
            <v>11001</v>
          </cell>
          <cell r="J382" t="str">
            <v>BOGOTA D.C.</v>
          </cell>
        </row>
        <row r="383">
          <cell r="A383">
            <v>900360228</v>
          </cell>
          <cell r="B383" t="str">
            <v>NT</v>
          </cell>
          <cell r="C383">
            <v>900360228</v>
          </cell>
          <cell r="D383">
            <v>0</v>
          </cell>
          <cell r="E383" t="str">
            <v>MANOA PARQUE SAS</v>
          </cell>
          <cell r="F383" t="str">
            <v>CALLE 17 15 37</v>
          </cell>
          <cell r="G383">
            <v>7602127</v>
          </cell>
          <cell r="H383" t="str">
            <v>manoaparque@gmal.com</v>
          </cell>
          <cell r="I383">
            <v>15041</v>
          </cell>
          <cell r="J383" t="str">
            <v>DUITAMA</v>
          </cell>
        </row>
        <row r="384">
          <cell r="A384">
            <v>900420555</v>
          </cell>
          <cell r="B384" t="str">
            <v>NT</v>
          </cell>
          <cell r="C384">
            <v>900420555</v>
          </cell>
          <cell r="D384">
            <v>2</v>
          </cell>
          <cell r="E384" t="str">
            <v>MUCURA CLUB HOTEL SAS</v>
          </cell>
          <cell r="F384" t="str">
            <v>MANGA 2da AV. # 22 - 91</v>
          </cell>
          <cell r="G384" t="str">
            <v>314 4806902</v>
          </cell>
          <cell r="H384" t="str">
            <v>mucuraclubhotel@gmail.com</v>
          </cell>
          <cell r="I384">
            <v>13001</v>
          </cell>
          <cell r="J384" t="str">
            <v>CARTAGENA (Distrito)</v>
          </cell>
        </row>
        <row r="385">
          <cell r="A385">
            <v>900436116</v>
          </cell>
          <cell r="B385" t="str">
            <v>NT</v>
          </cell>
          <cell r="C385">
            <v>900436116</v>
          </cell>
          <cell r="D385">
            <v>2</v>
          </cell>
          <cell r="E385" t="str">
            <v>TECNOLOGIA EN CONTROL DE VECTORES Y FUMIGACIONES LIMITADA</v>
          </cell>
          <cell r="F385" t="str">
            <v>CLL 27 A 47</v>
          </cell>
          <cell r="G385">
            <v>3203456632</v>
          </cell>
          <cell r="H385" t="str">
            <v>tcvfumigaciones@gmail.com</v>
          </cell>
          <cell r="I385" t="str">
            <v>15516</v>
          </cell>
          <cell r="J385" t="str">
            <v>PAIPA</v>
          </cell>
        </row>
        <row r="386">
          <cell r="A386">
            <v>900448328</v>
          </cell>
          <cell r="B386" t="str">
            <v>NT</v>
          </cell>
          <cell r="C386">
            <v>900448328</v>
          </cell>
          <cell r="D386">
            <v>9</v>
          </cell>
          <cell r="E386" t="str">
            <v>NACIONA DE TORNILLOS Y MANGUERAS SAS</v>
          </cell>
          <cell r="H386" t="str">
            <v>NACIONALDETORNILLOS@GMAIL.COM</v>
          </cell>
          <cell r="I386">
            <v>50001</v>
          </cell>
          <cell r="J386" t="str">
            <v>VILLAVICENCIO</v>
          </cell>
        </row>
        <row r="387">
          <cell r="A387">
            <v>900455493</v>
          </cell>
          <cell r="B387" t="str">
            <v>NT</v>
          </cell>
          <cell r="C387">
            <v>900455493</v>
          </cell>
          <cell r="D387">
            <v>5</v>
          </cell>
          <cell r="E387" t="str">
            <v>GLD NEGOCIOS SAS</v>
          </cell>
          <cell r="F387" t="str">
            <v>Cra. 23 #24-3</v>
          </cell>
          <cell r="G387" t="str">
            <v>310 3133010</v>
          </cell>
          <cell r="H387" t="str">
            <v>contabilidad@egonet.co</v>
          </cell>
          <cell r="I387" t="str">
            <v>15516</v>
          </cell>
          <cell r="J387" t="str">
            <v>PAIPA</v>
          </cell>
        </row>
        <row r="388">
          <cell r="A388">
            <v>900459737</v>
          </cell>
          <cell r="B388" t="str">
            <v>NT</v>
          </cell>
          <cell r="C388">
            <v>900459737</v>
          </cell>
          <cell r="D388">
            <v>5</v>
          </cell>
          <cell r="E388" t="str">
            <v>GRUPO EDS AUTOGAS S.A.S</v>
          </cell>
          <cell r="F388" t="str">
            <v>CR 48 48 SUR 75</v>
          </cell>
          <cell r="G388">
            <v>6046071311</v>
          </cell>
          <cell r="H388" t="str">
            <v>emisionfacturaautogas@autogas.com.co</v>
          </cell>
          <cell r="I388">
            <v>5266</v>
          </cell>
          <cell r="J388" t="str">
            <v>ENVIGADO</v>
          </cell>
        </row>
        <row r="389">
          <cell r="A389">
            <v>900461405</v>
          </cell>
          <cell r="B389" t="str">
            <v>NT</v>
          </cell>
          <cell r="C389">
            <v>900461405</v>
          </cell>
          <cell r="D389">
            <v>1</v>
          </cell>
          <cell r="E389" t="str">
            <v>INVERSIONES  CARVAZUL SAS</v>
          </cell>
          <cell r="F389" t="str">
            <v>calle 30 apto 605 torre colsubsidio</v>
          </cell>
          <cell r="H389" t="str">
            <v>inversionescarvazulsas@gmail.com</v>
          </cell>
          <cell r="I389">
            <v>11001</v>
          </cell>
          <cell r="J389" t="str">
            <v>BOGOTA D.C.</v>
          </cell>
        </row>
        <row r="390">
          <cell r="A390">
            <v>900475892</v>
          </cell>
          <cell r="B390" t="str">
            <v>NT</v>
          </cell>
          <cell r="C390">
            <v>900475892</v>
          </cell>
          <cell r="D390">
            <v>6</v>
          </cell>
          <cell r="E390" t="str">
            <v>WRS INGENIERIA SAS</v>
          </cell>
          <cell r="F390" t="str">
            <v>CR 18 86 A 80 OF 101</v>
          </cell>
          <cell r="G390">
            <v>3399768</v>
          </cell>
          <cell r="H390" t="str">
            <v>WRSINGENIERIA@GMAIL.COM</v>
          </cell>
          <cell r="I390">
            <v>11001</v>
          </cell>
          <cell r="J390" t="str">
            <v>BOGOTA D.C.</v>
          </cell>
        </row>
        <row r="391">
          <cell r="A391">
            <v>900480569</v>
          </cell>
          <cell r="B391" t="str">
            <v>NT</v>
          </cell>
          <cell r="C391">
            <v>900480569</v>
          </cell>
          <cell r="D391">
            <v>1</v>
          </cell>
          <cell r="E391" t="str">
            <v>JERONIMO MARTINS  COLOMBIA SAS</v>
          </cell>
          <cell r="F391" t="str">
            <v>CL 25· 23-53</v>
          </cell>
          <cell r="H391" t="str">
            <v>facturaelectronica_ara@efacturacadena.com</v>
          </cell>
          <cell r="I391" t="str">
            <v>15516</v>
          </cell>
          <cell r="J391" t="str">
            <v>PAIPA</v>
          </cell>
        </row>
        <row r="392">
          <cell r="A392">
            <v>900491537</v>
          </cell>
          <cell r="B392" t="str">
            <v>NT</v>
          </cell>
          <cell r="C392">
            <v>900491537</v>
          </cell>
          <cell r="D392">
            <v>3</v>
          </cell>
          <cell r="E392" t="str">
            <v>ARQUITECTURA LOTUS SAS</v>
          </cell>
          <cell r="F392" t="str">
            <v>CR 22 26 63 B. CENTRO</v>
          </cell>
          <cell r="G392">
            <v>3203446759</v>
          </cell>
          <cell r="H392" t="str">
            <v>arquitecturalotus@gmail.com</v>
          </cell>
          <cell r="I392" t="str">
            <v>15516</v>
          </cell>
          <cell r="J392" t="str">
            <v>PAIPA</v>
          </cell>
        </row>
        <row r="393">
          <cell r="A393">
            <v>900494060</v>
          </cell>
          <cell r="B393" t="str">
            <v>NT</v>
          </cell>
          <cell r="C393">
            <v>900494060</v>
          </cell>
          <cell r="D393">
            <v>6</v>
          </cell>
          <cell r="E393" t="str">
            <v>HYDROCARE SAS</v>
          </cell>
          <cell r="F393" t="str">
            <v>CARRERA 36 # 7 52 PISO 2</v>
          </cell>
          <cell r="H393" t="str">
            <v>YULY@LAVANTY.COM</v>
          </cell>
          <cell r="I393">
            <v>5001</v>
          </cell>
          <cell r="J393" t="str">
            <v>MEDELLIN</v>
          </cell>
        </row>
        <row r="394">
          <cell r="A394">
            <v>900499068</v>
          </cell>
          <cell r="B394" t="str">
            <v>NT</v>
          </cell>
          <cell r="C394">
            <v>900499068</v>
          </cell>
          <cell r="D394">
            <v>7</v>
          </cell>
          <cell r="E394" t="str">
            <v>WOMPI SAS</v>
          </cell>
          <cell r="F394" t="str">
            <v>CARRERA 48 · 24-76</v>
          </cell>
          <cell r="H394" t="str">
            <v>tificacijudicial@bancolombia.com.</v>
          </cell>
          <cell r="I394">
            <v>11001</v>
          </cell>
          <cell r="J394" t="str">
            <v>BOGOTA D.C.</v>
          </cell>
        </row>
        <row r="395">
          <cell r="A395">
            <v>900509433</v>
          </cell>
          <cell r="B395" t="str">
            <v>NT</v>
          </cell>
          <cell r="C395">
            <v>900509433</v>
          </cell>
          <cell r="D395">
            <v>7</v>
          </cell>
          <cell r="E395" t="str">
            <v>EL PINTOR PS DISTRIBUCIONES S.A.S</v>
          </cell>
          <cell r="F395" t="str">
            <v>CL 15 11 79</v>
          </cell>
          <cell r="G395">
            <v>7715266</v>
          </cell>
          <cell r="H395" t="str">
            <v xml:space="preserve"> elpintorpscontabilidad@yahoo.com</v>
          </cell>
          <cell r="I395">
            <v>15759</v>
          </cell>
          <cell r="J395" t="str">
            <v>SOGAMOSO</v>
          </cell>
        </row>
        <row r="396">
          <cell r="A396">
            <v>900512637</v>
          </cell>
          <cell r="B396" t="str">
            <v>NT</v>
          </cell>
          <cell r="C396">
            <v>900512637</v>
          </cell>
          <cell r="D396">
            <v>3</v>
          </cell>
          <cell r="E396" t="str">
            <v>INTERLIFT S.A.S</v>
          </cell>
          <cell r="F396" t="str">
            <v>VDA VUELTA GRANDEKM2 5 AUT MEDELLIN BG 126</v>
          </cell>
          <cell r="G396">
            <v>3183065082</v>
          </cell>
          <cell r="H396" t="str">
            <v>ISIDOROJIMENEZ@INTERIFT.CO</v>
          </cell>
          <cell r="I396">
            <v>25214</v>
          </cell>
          <cell r="J396" t="str">
            <v>COTA</v>
          </cell>
        </row>
        <row r="397">
          <cell r="A397">
            <v>900518164</v>
          </cell>
          <cell r="B397" t="str">
            <v>NT</v>
          </cell>
          <cell r="C397">
            <v>900518164</v>
          </cell>
          <cell r="D397">
            <v>9</v>
          </cell>
          <cell r="E397" t="str">
            <v>INVERCIONES CELERO SAS</v>
          </cell>
          <cell r="F397" t="str">
            <v>calle 27 #37-13 b. 7 de agosto</v>
          </cell>
          <cell r="G397">
            <v>6601023</v>
          </cell>
          <cell r="H397" t="str">
            <v>inversionescelerosas@gmail.com</v>
          </cell>
          <cell r="I397">
            <v>50001</v>
          </cell>
          <cell r="J397" t="str">
            <v>VILLAVICENCIO</v>
          </cell>
        </row>
        <row r="398">
          <cell r="A398">
            <v>900581542</v>
          </cell>
          <cell r="B398" t="str">
            <v>NT</v>
          </cell>
          <cell r="C398">
            <v>900581542</v>
          </cell>
          <cell r="D398">
            <v>7</v>
          </cell>
          <cell r="E398" t="str">
            <v>EL FARO ELECTRICO SAS</v>
          </cell>
          <cell r="F398" t="str">
            <v>CR 16 11 77</v>
          </cell>
          <cell r="G398">
            <v>3164269770</v>
          </cell>
          <cell r="H398" t="str">
            <v>contabilidad@elfaroelectrico.co</v>
          </cell>
          <cell r="I398">
            <v>50001</v>
          </cell>
          <cell r="J398" t="str">
            <v>VILLAVICENCIO</v>
          </cell>
        </row>
        <row r="399">
          <cell r="A399">
            <v>900610518</v>
          </cell>
          <cell r="B399" t="str">
            <v>NT</v>
          </cell>
          <cell r="C399">
            <v>900610518</v>
          </cell>
          <cell r="D399">
            <v>5</v>
          </cell>
          <cell r="E399" t="str">
            <v>DESPEGAR COLOMBIA S.A.S</v>
          </cell>
          <cell r="F399" t="str">
            <v>CARRERA 106# 15A-25 MZ 15 BODEGA 101</v>
          </cell>
          <cell r="G399" t="str">
            <v>601 634666</v>
          </cell>
          <cell r="H399" t="str">
            <v>https://tuquejasuma.com/despegarcom/reclamos/factu</v>
          </cell>
          <cell r="I399">
            <v>11001</v>
          </cell>
          <cell r="J399" t="str">
            <v>BOGOTA D.C.</v>
          </cell>
        </row>
        <row r="400">
          <cell r="A400">
            <v>900624919</v>
          </cell>
          <cell r="B400" t="str">
            <v>NT</v>
          </cell>
          <cell r="C400">
            <v>900624919</v>
          </cell>
          <cell r="D400">
            <v>6</v>
          </cell>
          <cell r="E400" t="str">
            <v>INVERSIONES PALUAN SAS</v>
          </cell>
          <cell r="F400" t="str">
            <v>CL 24 19 121</v>
          </cell>
          <cell r="G400">
            <v>6087851112</v>
          </cell>
          <cell r="H400" t="str">
            <v xml:space="preserve"> masdescuentosdrogueria@hotmail.com</v>
          </cell>
          <cell r="I400">
            <v>50001</v>
          </cell>
          <cell r="J400" t="str">
            <v>VILLAVICENCIO</v>
          </cell>
        </row>
        <row r="401">
          <cell r="A401">
            <v>900643456</v>
          </cell>
          <cell r="B401" t="str">
            <v>NT</v>
          </cell>
          <cell r="C401">
            <v>900643456</v>
          </cell>
          <cell r="D401">
            <v>9</v>
          </cell>
          <cell r="E401" t="str">
            <v>CARNES BRICEÑO SAS</v>
          </cell>
          <cell r="F401" t="str">
            <v>AV 40 CR 36 26 C 21 BRR SIETE DE AGOSTO</v>
          </cell>
          <cell r="H401" t="str">
            <v>CARNES.BRICENO@GMAIL.COM</v>
          </cell>
          <cell r="I401">
            <v>50001</v>
          </cell>
          <cell r="J401" t="str">
            <v>VILLAVICENCIO</v>
          </cell>
        </row>
        <row r="402">
          <cell r="A402">
            <v>900649119</v>
          </cell>
          <cell r="B402" t="str">
            <v>NT</v>
          </cell>
          <cell r="C402">
            <v>900649119</v>
          </cell>
          <cell r="D402">
            <v>9</v>
          </cell>
          <cell r="E402" t="str">
            <v>PATRIMONIO AUTONOMO FONDO NACIONAL DEL TURISMO</v>
          </cell>
          <cell r="F402" t="str">
            <v>cll 28 #13a-24</v>
          </cell>
          <cell r="H402" t="str">
            <v>fonturbogota@gmail.com</v>
          </cell>
          <cell r="I402">
            <v>11001</v>
          </cell>
          <cell r="J402" t="str">
            <v>BOGOTA D.C.</v>
          </cell>
        </row>
        <row r="403">
          <cell r="A403">
            <v>9006491199</v>
          </cell>
          <cell r="B403" t="str">
            <v>NT</v>
          </cell>
          <cell r="C403">
            <v>900649119</v>
          </cell>
          <cell r="D403">
            <v>9</v>
          </cell>
          <cell r="E403" t="str">
            <v>PATRIMONIO AUTONOMO FONDO NACIONAL DEL TURISMO</v>
          </cell>
          <cell r="F403" t="str">
            <v>cll 28 #13a-24</v>
          </cell>
          <cell r="G403">
            <v>3275500</v>
          </cell>
          <cell r="H403" t="str">
            <v>fonturbogota@gmail.com</v>
          </cell>
          <cell r="I403">
            <v>11001</v>
          </cell>
          <cell r="J403" t="str">
            <v>BOGOTA D.C.</v>
          </cell>
        </row>
        <row r="404">
          <cell r="A404">
            <v>900696618</v>
          </cell>
          <cell r="B404" t="str">
            <v>NT</v>
          </cell>
          <cell r="C404">
            <v>900696618</v>
          </cell>
          <cell r="D404">
            <v>2</v>
          </cell>
          <cell r="E404" t="str">
            <v>MAGUENTA SEGUROS - CONTRATO DE ASISTENCIA MEDICA</v>
          </cell>
          <cell r="F404" t="str">
            <v>Calle 45F # 73-36 - Medellín.</v>
          </cell>
          <cell r="G404">
            <v>3055293556</v>
          </cell>
          <cell r="H404" t="str">
            <v>a1@magentaseguroi.cet</v>
          </cell>
          <cell r="I404">
            <v>5001</v>
          </cell>
          <cell r="J404" t="str">
            <v>MEDELLIN</v>
          </cell>
        </row>
        <row r="405">
          <cell r="A405">
            <v>900742226</v>
          </cell>
          <cell r="B405" t="str">
            <v>NT</v>
          </cell>
          <cell r="C405">
            <v>900742226</v>
          </cell>
          <cell r="D405">
            <v>6</v>
          </cell>
          <cell r="E405" t="str">
            <v>COLCHONES CORONADO SAS</v>
          </cell>
          <cell r="F405" t="str">
            <v>CALLE 76 # 80A-24</v>
          </cell>
          <cell r="G405">
            <v>3209044716</v>
          </cell>
          <cell r="H405" t="str">
            <v>financiera@colchonescoronado.com</v>
          </cell>
          <cell r="I405">
            <v>11001</v>
          </cell>
          <cell r="J405" t="str">
            <v>BOGOTA D.C.</v>
          </cell>
        </row>
        <row r="406">
          <cell r="A406">
            <v>900783521</v>
          </cell>
          <cell r="B406" t="str">
            <v>NT</v>
          </cell>
          <cell r="C406">
            <v>900783521</v>
          </cell>
          <cell r="D406">
            <v>1</v>
          </cell>
          <cell r="E406" t="str">
            <v>ARCOE SAS</v>
          </cell>
          <cell r="F406" t="str">
            <v>CL 31 26 31 BRR PORVENIR</v>
          </cell>
          <cell r="G406">
            <v>3173833547</v>
          </cell>
          <cell r="H406" t="str">
            <v>fcmvillavicencio@hotmail.com</v>
          </cell>
          <cell r="I406">
            <v>50001</v>
          </cell>
          <cell r="J406" t="str">
            <v>VILLAVICENCIO</v>
          </cell>
        </row>
        <row r="407">
          <cell r="A407">
            <v>900803391</v>
          </cell>
          <cell r="B407" t="str">
            <v>NT</v>
          </cell>
          <cell r="C407">
            <v>900803391</v>
          </cell>
          <cell r="D407">
            <v>6</v>
          </cell>
          <cell r="E407" t="str">
            <v>CEMENTOS NACIONALES S.A.</v>
          </cell>
          <cell r="F407" t="str">
            <v>CR 10 A 66 02</v>
          </cell>
          <cell r="G407">
            <v>6087706758</v>
          </cell>
          <cell r="H407" t="str">
            <v>CARLOS.RINCON@CEMENTOSNACIONALES.COM.CO</v>
          </cell>
          <cell r="I407">
            <v>15759</v>
          </cell>
          <cell r="J407" t="str">
            <v>SOGAMOSO</v>
          </cell>
        </row>
        <row r="408">
          <cell r="A408">
            <v>900803721</v>
          </cell>
          <cell r="B408" t="str">
            <v>NT</v>
          </cell>
          <cell r="C408">
            <v>900803721</v>
          </cell>
          <cell r="D408">
            <v>3</v>
          </cell>
          <cell r="E408" t="str">
            <v>DAGROS SAS</v>
          </cell>
          <cell r="F408" t="str">
            <v>CALLE 24 # 24-76 VDA DE PIEDRA TUTA BOYA</v>
          </cell>
          <cell r="H408" t="str">
            <v>inversionescarvazulsas@gmail.com</v>
          </cell>
          <cell r="I408" t="str">
            <v>15516</v>
          </cell>
          <cell r="J408" t="str">
            <v>PAIPA</v>
          </cell>
        </row>
        <row r="409">
          <cell r="A409">
            <v>900838860</v>
          </cell>
          <cell r="B409" t="str">
            <v>NT</v>
          </cell>
          <cell r="C409">
            <v>900838860</v>
          </cell>
          <cell r="D409">
            <v>1</v>
          </cell>
          <cell r="E409" t="str">
            <v>TFIV SOCIEDAD POR ACCIONES SIMPLIFICADA</v>
          </cell>
          <cell r="F409" t="str">
            <v>CL 27 17 21</v>
          </cell>
          <cell r="G409">
            <v>3188413619</v>
          </cell>
          <cell r="H409" t="str">
            <v>tfivsas@gmail.com</v>
          </cell>
          <cell r="I409" t="str">
            <v>15516</v>
          </cell>
          <cell r="J409" t="str">
            <v>PAIPA</v>
          </cell>
        </row>
        <row r="410">
          <cell r="A410">
            <v>900862215</v>
          </cell>
          <cell r="B410" t="str">
            <v>NT</v>
          </cell>
          <cell r="C410">
            <v>900862215</v>
          </cell>
          <cell r="D410">
            <v>1</v>
          </cell>
          <cell r="E410" t="str">
            <v>CONCESIONARIA VIAL DE ORIENTE</v>
          </cell>
          <cell r="F410" t="str">
            <v>CL 26 59 41 OF 904</v>
          </cell>
          <cell r="G410">
            <v>5717457582</v>
          </cell>
          <cell r="H410" t="str">
            <v>atencionalusuario@covioriente.co</v>
          </cell>
          <cell r="I410">
            <v>50001</v>
          </cell>
          <cell r="J410" t="str">
            <v>VILLAVICENCIO</v>
          </cell>
        </row>
        <row r="411">
          <cell r="A411">
            <v>900868271</v>
          </cell>
          <cell r="B411" t="str">
            <v>NT</v>
          </cell>
          <cell r="C411">
            <v>900868271</v>
          </cell>
          <cell r="D411">
            <v>1</v>
          </cell>
          <cell r="E411" t="str">
            <v>DECATHLON COLOMBIA SAS</v>
          </cell>
          <cell r="F411" t="str">
            <v>AV CL 19 28 80 LC A 156</v>
          </cell>
          <cell r="G411">
            <v>6013297949</v>
          </cell>
          <cell r="H411" t="str">
            <v>SERVICIOALCLIENTE.NQS@DECATHLON.COM</v>
          </cell>
          <cell r="I411">
            <v>50001</v>
          </cell>
          <cell r="J411" t="str">
            <v>VILLAVICENCIO</v>
          </cell>
        </row>
        <row r="412">
          <cell r="A412">
            <v>900871932</v>
          </cell>
          <cell r="B412" t="str">
            <v>NT</v>
          </cell>
          <cell r="C412">
            <v>900871932</v>
          </cell>
          <cell r="D412">
            <v>0</v>
          </cell>
          <cell r="E412" t="str">
            <v>AMENI GROUP</v>
          </cell>
          <cell r="F412" t="str">
            <v>CALLE 76 · 48-25 itagui</v>
          </cell>
          <cell r="G412">
            <v>4449553</v>
          </cell>
          <cell r="H412" t="str">
            <v>@.com</v>
          </cell>
          <cell r="I412">
            <v>5360</v>
          </cell>
          <cell r="J412" t="str">
            <v>ITAGUI</v>
          </cell>
        </row>
        <row r="413">
          <cell r="A413">
            <v>900872769</v>
          </cell>
          <cell r="B413" t="str">
            <v>NT</v>
          </cell>
          <cell r="C413">
            <v>900872769</v>
          </cell>
          <cell r="D413">
            <v>0</v>
          </cell>
          <cell r="E413" t="str">
            <v>SKECHERS COLOMBIA SAS</v>
          </cell>
          <cell r="F413" t="str">
            <v>CIIU4772 Av Calle 19 #2880 loc A101-103</v>
          </cell>
          <cell r="G413">
            <v>4325880</v>
          </cell>
          <cell r="H413" t="str">
            <v>finanzascol@skechers.com</v>
          </cell>
          <cell r="I413">
            <v>11001</v>
          </cell>
          <cell r="J413" t="str">
            <v>BOGOTA D.C.</v>
          </cell>
        </row>
        <row r="414">
          <cell r="A414">
            <v>900881345</v>
          </cell>
          <cell r="B414" t="str">
            <v>NT</v>
          </cell>
          <cell r="C414">
            <v>900881345</v>
          </cell>
          <cell r="D414">
            <v>1</v>
          </cell>
          <cell r="E414" t="str">
            <v>LOBBYPMS S.A.S</v>
          </cell>
          <cell r="F414" t="str">
            <v>CL 11 # 43B-50 OF 406- MEDELLIN</v>
          </cell>
          <cell r="G414">
            <v>3044784507</v>
          </cell>
          <cell r="H414" t="str">
            <v>central@lobbypms.com</v>
          </cell>
          <cell r="I414">
            <v>5001</v>
          </cell>
          <cell r="J414" t="str">
            <v>MEDELLIN</v>
          </cell>
        </row>
        <row r="415">
          <cell r="A415">
            <v>900900533</v>
          </cell>
          <cell r="B415" t="str">
            <v>NT</v>
          </cell>
          <cell r="C415">
            <v>900900533</v>
          </cell>
          <cell r="D415">
            <v>0</v>
          </cell>
          <cell r="E415" t="str">
            <v>LUIS PALACIO LINEA PREMIUM DUITAMA</v>
          </cell>
          <cell r="F415" t="str">
            <v>CARRERA 16 Nº 14-59 LOCAL 109-110</v>
          </cell>
          <cell r="G415">
            <v>2011245</v>
          </cell>
          <cell r="H415" t="str">
            <v>representacioneslapsas@hotmail.com</v>
          </cell>
          <cell r="I415">
            <v>15041</v>
          </cell>
          <cell r="J415" t="str">
            <v>DUITAMA</v>
          </cell>
        </row>
        <row r="416">
          <cell r="A416">
            <v>900903515</v>
          </cell>
          <cell r="B416" t="str">
            <v>NT</v>
          </cell>
          <cell r="C416">
            <v>900903515</v>
          </cell>
          <cell r="D416">
            <v>1</v>
          </cell>
          <cell r="E416" t="str">
            <v>BIOFRESH COLOMBIA SAS</v>
          </cell>
          <cell r="F416" t="str">
            <v>CR 5 18 A 57  SAMARKANDA</v>
          </cell>
          <cell r="G416">
            <v>6018237413</v>
          </cell>
          <cell r="H416" t="str">
            <v>biofreshcolombia@gmail.com</v>
          </cell>
          <cell r="I416">
            <v>25286</v>
          </cell>
          <cell r="J416" t="str">
            <v>FUNZA</v>
          </cell>
        </row>
        <row r="417">
          <cell r="A417">
            <v>900907298</v>
          </cell>
          <cell r="B417" t="str">
            <v>NT</v>
          </cell>
          <cell r="C417">
            <v>900907298</v>
          </cell>
          <cell r="D417">
            <v>6</v>
          </cell>
          <cell r="E417" t="str">
            <v>COMERCIALIZADORA TODO TODO SAS</v>
          </cell>
          <cell r="F417" t="str">
            <v>CALLE 19 · 13-25</v>
          </cell>
          <cell r="H417" t="str">
            <v>todotodotunja@gmail.com</v>
          </cell>
          <cell r="I417">
            <v>15001</v>
          </cell>
          <cell r="J417" t="str">
            <v>TUNJA</v>
          </cell>
        </row>
        <row r="418">
          <cell r="A418">
            <v>900913673</v>
          </cell>
          <cell r="B418" t="str">
            <v>NT</v>
          </cell>
          <cell r="C418">
            <v>900913673</v>
          </cell>
          <cell r="D418">
            <v>1</v>
          </cell>
          <cell r="E418" t="str">
            <v>SERVINTEGRAPETROLERA SAS</v>
          </cell>
          <cell r="F418" t="str">
            <v>CL 16 5 15</v>
          </cell>
          <cell r="H418" t="str">
            <v>gaco61913@gmail.com</v>
          </cell>
          <cell r="I418">
            <v>50006</v>
          </cell>
          <cell r="J418" t="str">
            <v>ACACIAS</v>
          </cell>
        </row>
        <row r="419">
          <cell r="A419">
            <v>900913780</v>
          </cell>
          <cell r="B419" t="str">
            <v>NT</v>
          </cell>
          <cell r="C419">
            <v>900913780</v>
          </cell>
          <cell r="D419">
            <v>1</v>
          </cell>
          <cell r="E419" t="str">
            <v>P&amp;S ASOCIADOS  SAS</v>
          </cell>
          <cell r="F419" t="str">
            <v>CR 11 75 22</v>
          </cell>
          <cell r="G419">
            <v>3108760822</v>
          </cell>
          <cell r="H419" t="str">
            <v>pys.asociados.sas@gmail.com</v>
          </cell>
          <cell r="I419">
            <v>15001</v>
          </cell>
          <cell r="J419" t="str">
            <v>TUNJA</v>
          </cell>
        </row>
        <row r="420">
          <cell r="A420">
            <v>900943243</v>
          </cell>
          <cell r="B420" t="str">
            <v>NT</v>
          </cell>
          <cell r="C420">
            <v>900943243</v>
          </cell>
          <cell r="D420">
            <v>4</v>
          </cell>
          <cell r="E420" t="str">
            <v>DOLLARCITY SURAMERICANA COMERCIAL SAS</v>
          </cell>
          <cell r="F420" t="str">
            <v>AV 3 57 NORTE 30</v>
          </cell>
          <cell r="H420" t="str">
            <v>facturaelectronicacolombia@dollarcity.com</v>
          </cell>
          <cell r="I420">
            <v>76001</v>
          </cell>
          <cell r="J420" t="str">
            <v>CALI</v>
          </cell>
        </row>
        <row r="421">
          <cell r="A421">
            <v>900957360</v>
          </cell>
          <cell r="B421" t="str">
            <v>NT</v>
          </cell>
          <cell r="C421">
            <v>900957360</v>
          </cell>
          <cell r="D421">
            <v>9</v>
          </cell>
          <cell r="E421" t="str">
            <v>EQUIPOS PESADOS Y MULTISERVICIO SAS</v>
          </cell>
          <cell r="F421" t="str">
            <v>CALLE 17 # 37A-48 DUITAMA</v>
          </cell>
          <cell r="H421" t="str">
            <v>equipospesadosmultiservicios@gmail.com</v>
          </cell>
          <cell r="I421">
            <v>15238</v>
          </cell>
          <cell r="J421" t="str">
            <v>DUITAMA</v>
          </cell>
        </row>
        <row r="422">
          <cell r="A422">
            <v>900972985</v>
          </cell>
          <cell r="B422" t="str">
            <v>NT</v>
          </cell>
          <cell r="C422">
            <v>900972985</v>
          </cell>
          <cell r="D422">
            <v>4</v>
          </cell>
          <cell r="E422" t="str">
            <v>DOTACION BOYACA SEGURIDAD INDUSTRIAL</v>
          </cell>
          <cell r="F422" t="str">
            <v>CARRERA 11 # 11-25 TUNJA</v>
          </cell>
          <cell r="G422">
            <v>743555</v>
          </cell>
          <cell r="H422" t="str">
            <v>contabilidad@dotacionesboyaca.comcom</v>
          </cell>
          <cell r="I422">
            <v>15001</v>
          </cell>
          <cell r="J422" t="str">
            <v>TUNJA</v>
          </cell>
        </row>
        <row r="423">
          <cell r="A423">
            <v>900987911</v>
          </cell>
          <cell r="B423" t="str">
            <v>NT</v>
          </cell>
          <cell r="C423">
            <v>900987911</v>
          </cell>
          <cell r="D423">
            <v>5</v>
          </cell>
          <cell r="E423" t="str">
            <v>SABAJON CIPRES SOCIEDAD POR ACCIONES SIMPLIFICADA</v>
          </cell>
          <cell r="F423" t="str">
            <v>CRA 19 19 07</v>
          </cell>
          <cell r="G423">
            <v>3133867736</v>
          </cell>
          <cell r="H423" t="str">
            <v>facturacioncipres@yahoo.com</v>
          </cell>
          <cell r="I423" t="str">
            <v>15516</v>
          </cell>
          <cell r="J423" t="str">
            <v>PAIPA</v>
          </cell>
        </row>
        <row r="424">
          <cell r="A424">
            <v>900992965</v>
          </cell>
          <cell r="B424" t="str">
            <v>NT</v>
          </cell>
          <cell r="C424">
            <v>900992965</v>
          </cell>
          <cell r="D424">
            <v>2</v>
          </cell>
          <cell r="E424" t="str">
            <v>COMERCIALIZADORA TC SAS</v>
          </cell>
          <cell r="F424" t="str">
            <v>CLL 8 26 72</v>
          </cell>
          <cell r="H424" t="str">
            <v>ventas@telonescolombia.com</v>
          </cell>
          <cell r="I424">
            <v>11001</v>
          </cell>
          <cell r="J424" t="str">
            <v>BOGOTA D.C.</v>
          </cell>
        </row>
        <row r="425">
          <cell r="A425">
            <v>900996012</v>
          </cell>
          <cell r="B425" t="str">
            <v>NT</v>
          </cell>
          <cell r="C425">
            <v>900996012</v>
          </cell>
          <cell r="D425">
            <v>7</v>
          </cell>
          <cell r="E425" t="str">
            <v>KB NEGOCIOS SAS</v>
          </cell>
          <cell r="F425" t="str">
            <v>av universitaria 51 20 local 143</v>
          </cell>
          <cell r="H425" t="str">
            <v>koajbtunja@gmail.com</v>
          </cell>
          <cell r="I425">
            <v>15001</v>
          </cell>
          <cell r="J425" t="str">
            <v>TUNJA</v>
          </cell>
        </row>
        <row r="426">
          <cell r="A426">
            <v>901000330</v>
          </cell>
          <cell r="B426" t="str">
            <v>NT</v>
          </cell>
          <cell r="C426">
            <v>901000330</v>
          </cell>
          <cell r="D426">
            <v>4</v>
          </cell>
          <cell r="E426" t="str">
            <v>KUSHKI COLOMBIA SAS</v>
          </cell>
          <cell r="F426" t="str">
            <v>calle 80 # 11-42 oficina 502</v>
          </cell>
          <cell r="G426">
            <v>5188170</v>
          </cell>
          <cell r="H426" t="str">
            <v>soporte@kushkipagos.com</v>
          </cell>
          <cell r="I426">
            <v>11001</v>
          </cell>
          <cell r="J426" t="str">
            <v>BOGOTA D.C.</v>
          </cell>
        </row>
        <row r="427">
          <cell r="A427">
            <v>901005268</v>
          </cell>
          <cell r="B427" t="str">
            <v>NT</v>
          </cell>
          <cell r="C427">
            <v>901005268</v>
          </cell>
          <cell r="D427">
            <v>8</v>
          </cell>
          <cell r="E427" t="str">
            <v>PARTES Y SUMINISTROS ORIENTAL DE REPUESTOS SAS</v>
          </cell>
          <cell r="F427" t="str">
            <v>AV PRIMERA DE MAYO 51 C 32 SUR</v>
          </cell>
          <cell r="G427">
            <v>3108049754</v>
          </cell>
          <cell r="H427" t="str">
            <v>agilnotificacionesed@agilcolombia.net</v>
          </cell>
          <cell r="I427">
            <v>11001</v>
          </cell>
          <cell r="J427" t="str">
            <v>BOGOTA D.C.</v>
          </cell>
        </row>
        <row r="428">
          <cell r="A428">
            <v>901023244</v>
          </cell>
          <cell r="B428" t="str">
            <v>NT</v>
          </cell>
          <cell r="C428">
            <v>901023244</v>
          </cell>
          <cell r="D428">
            <v>8</v>
          </cell>
          <cell r="E428" t="str">
            <v>PL SUMINISTRO</v>
          </cell>
          <cell r="F428" t="str">
            <v>CALLE 6 # 18-77</v>
          </cell>
          <cell r="H428" t="str">
            <v>informacionplsuministros@gmail.com</v>
          </cell>
          <cell r="I428">
            <v>15238</v>
          </cell>
          <cell r="J428" t="str">
            <v>DUITAMA</v>
          </cell>
        </row>
        <row r="429">
          <cell r="A429">
            <v>901032442</v>
          </cell>
          <cell r="B429" t="str">
            <v>NT</v>
          </cell>
          <cell r="C429">
            <v>901032442</v>
          </cell>
          <cell r="D429">
            <v>8</v>
          </cell>
          <cell r="E429" t="str">
            <v>LUCTRA SAS</v>
          </cell>
          <cell r="F429" t="str">
            <v>CALLE 22 # 20-77</v>
          </cell>
          <cell r="H429" t="str">
            <v>luctraventa@gmail.coim</v>
          </cell>
          <cell r="I429" t="str">
            <v>15516</v>
          </cell>
          <cell r="J429" t="str">
            <v>PAIPA</v>
          </cell>
        </row>
        <row r="430">
          <cell r="A430">
            <v>901057522</v>
          </cell>
          <cell r="B430" t="str">
            <v>NT</v>
          </cell>
          <cell r="C430">
            <v>901057522</v>
          </cell>
          <cell r="D430">
            <v>7</v>
          </cell>
          <cell r="E430" t="str">
            <v>INVERSIONES JEARCAMA SAS</v>
          </cell>
          <cell r="F430" t="str">
            <v>CALLE 2 · 7-47</v>
          </cell>
          <cell r="H430" t="str">
            <v>inversionesjearcamasas@gmail.com</v>
          </cell>
          <cell r="I430">
            <v>11001</v>
          </cell>
          <cell r="J430" t="str">
            <v>BOGOTA D.C.</v>
          </cell>
        </row>
        <row r="431">
          <cell r="A431">
            <v>901060148</v>
          </cell>
          <cell r="B431" t="str">
            <v>NT</v>
          </cell>
          <cell r="C431">
            <v>901060148</v>
          </cell>
          <cell r="D431">
            <v>6</v>
          </cell>
          <cell r="E431" t="str">
            <v>COELFER MB SAS - CONTRURAMA PORFIA</v>
          </cell>
          <cell r="F431" t="str">
            <v>carrera 43 -54A sur 26-28 B. porfia</v>
          </cell>
          <cell r="G431">
            <v>6740995</v>
          </cell>
          <cell r="H431" t="str">
            <v>contruramaporfia@gmail.com</v>
          </cell>
          <cell r="I431">
            <v>50001</v>
          </cell>
          <cell r="J431" t="str">
            <v>VILLAVICENCIO</v>
          </cell>
        </row>
        <row r="432">
          <cell r="A432">
            <v>901062604</v>
          </cell>
          <cell r="B432" t="str">
            <v>NT</v>
          </cell>
          <cell r="C432">
            <v>901062604</v>
          </cell>
          <cell r="D432">
            <v>2</v>
          </cell>
          <cell r="E432" t="str">
            <v>DISTRIAGROS SAS</v>
          </cell>
          <cell r="F432" t="str">
            <v>Cra 24 No. 24 – 44</v>
          </cell>
          <cell r="H432" t="str">
            <v>contactenos@distriagrossas.com</v>
          </cell>
          <cell r="I432" t="str">
            <v>15516</v>
          </cell>
          <cell r="J432" t="str">
            <v>PAIPA</v>
          </cell>
        </row>
        <row r="433">
          <cell r="A433">
            <v>901092684</v>
          </cell>
          <cell r="B433" t="str">
            <v>NT</v>
          </cell>
          <cell r="C433">
            <v>901092684</v>
          </cell>
          <cell r="D433">
            <v>1</v>
          </cell>
          <cell r="E433" t="str">
            <v>LA DIVISA DE DON JUAN SAS</v>
          </cell>
          <cell r="F433" t="str">
            <v>FINCA LA UNION VEREDA FILO BONITO</v>
          </cell>
          <cell r="G433">
            <v>3106055219</v>
          </cell>
          <cell r="H433" t="str">
            <v>adivisadedonjuan@gmail.com</v>
          </cell>
          <cell r="I433">
            <v>66001</v>
          </cell>
          <cell r="J433" t="str">
            <v>PEREIRA</v>
          </cell>
        </row>
        <row r="434">
          <cell r="A434">
            <v>901093606</v>
          </cell>
          <cell r="B434" t="str">
            <v>NT</v>
          </cell>
          <cell r="C434">
            <v>901093606</v>
          </cell>
          <cell r="D434">
            <v>1</v>
          </cell>
          <cell r="E434" t="str">
            <v>SOLUCIONES Y MAQUINARIAS BOMBEA SAS</v>
          </cell>
          <cell r="F434" t="str">
            <v>CALLE 13 # 18-51</v>
          </cell>
          <cell r="G434" t="str">
            <v>Sin telefono</v>
          </cell>
          <cell r="H434" t="str">
            <v>bombeasas@gmail.com</v>
          </cell>
          <cell r="I434">
            <v>11001</v>
          </cell>
          <cell r="J434" t="str">
            <v>BOGOTA D.C.</v>
          </cell>
        </row>
        <row r="435">
          <cell r="A435">
            <v>901103536</v>
          </cell>
          <cell r="B435" t="str">
            <v>NT</v>
          </cell>
          <cell r="C435">
            <v>901103536</v>
          </cell>
          <cell r="D435">
            <v>7</v>
          </cell>
          <cell r="E435" t="str">
            <v>FULLMOTO STORE SAS</v>
          </cell>
          <cell r="F435" t="str">
            <v>calle 10 # 52-101</v>
          </cell>
          <cell r="G435" t="str">
            <v>607 3220309</v>
          </cell>
          <cell r="H435" t="str">
            <v>entafullmotostore@gmail.com</v>
          </cell>
          <cell r="I435" t="str">
            <v>15516</v>
          </cell>
          <cell r="J435" t="str">
            <v>PAIPA</v>
          </cell>
        </row>
        <row r="436">
          <cell r="A436">
            <v>901106003</v>
          </cell>
          <cell r="B436" t="str">
            <v>NT</v>
          </cell>
          <cell r="C436">
            <v>901106003</v>
          </cell>
          <cell r="D436">
            <v>7</v>
          </cell>
          <cell r="E436" t="str">
            <v>LM INVESTMEN HOUSE</v>
          </cell>
          <cell r="F436" t="str">
            <v>CARRERA 169-76 OFC-204</v>
          </cell>
          <cell r="G436">
            <v>5229696</v>
          </cell>
          <cell r="H436" t="str">
            <v>lminvestment@hotmail.com</v>
          </cell>
          <cell r="I436">
            <v>15238</v>
          </cell>
          <cell r="J436" t="str">
            <v>DUITAMA</v>
          </cell>
        </row>
        <row r="437">
          <cell r="A437">
            <v>901106206</v>
          </cell>
          <cell r="B437" t="str">
            <v>NT</v>
          </cell>
          <cell r="C437">
            <v>901106206</v>
          </cell>
          <cell r="D437">
            <v>5</v>
          </cell>
          <cell r="E437" t="str">
            <v>CONSULTORIA Y COMERCIALIZADORA DAZA RAMIREZ S.A.S</v>
          </cell>
          <cell r="F437" t="str">
            <v>CLL 25 19 28</v>
          </cell>
          <cell r="G437">
            <v>3118423971</v>
          </cell>
          <cell r="H437" t="str">
            <v>koaj@gmail.com</v>
          </cell>
          <cell r="I437" t="str">
            <v>15516</v>
          </cell>
          <cell r="J437" t="str">
            <v>PAIPA</v>
          </cell>
        </row>
        <row r="438">
          <cell r="A438">
            <v>901106317</v>
          </cell>
          <cell r="B438" t="str">
            <v>NT</v>
          </cell>
          <cell r="C438">
            <v>901106317</v>
          </cell>
          <cell r="D438">
            <v>4</v>
          </cell>
          <cell r="E438" t="str">
            <v>ASICS COLOMBIA S.A.S</v>
          </cell>
          <cell r="F438" t="str">
            <v>MALL PLAZA NQS AV 19 28 80 LC B21</v>
          </cell>
          <cell r="H438" t="str">
            <v>FACTURACIONASICS@GMAIL.COM</v>
          </cell>
          <cell r="I438">
            <v>11001</v>
          </cell>
          <cell r="J438" t="str">
            <v>BOGOTA D.C.</v>
          </cell>
        </row>
        <row r="439">
          <cell r="A439">
            <v>901117651</v>
          </cell>
          <cell r="B439" t="str">
            <v>NT</v>
          </cell>
          <cell r="C439">
            <v>901117651</v>
          </cell>
          <cell r="D439">
            <v>7</v>
          </cell>
          <cell r="E439" t="str">
            <v>ELECTRICOS AVAL SAS</v>
          </cell>
          <cell r="F439" t="str">
            <v>CL 35 27 33</v>
          </cell>
          <cell r="G439">
            <v>3000145455</v>
          </cell>
          <cell r="H439" t="str">
            <v>electricosaval@hotmail.com</v>
          </cell>
          <cell r="I439">
            <v>50001</v>
          </cell>
          <cell r="J439" t="str">
            <v>VILLAVICENCIO</v>
          </cell>
        </row>
        <row r="440">
          <cell r="A440">
            <v>901136153</v>
          </cell>
          <cell r="B440" t="str">
            <v>NT</v>
          </cell>
          <cell r="C440">
            <v>901136153</v>
          </cell>
          <cell r="D440">
            <v>1</v>
          </cell>
          <cell r="E440" t="str">
            <v>MAGENTA ASSISTANCE - SEGURO HOTELERO</v>
          </cell>
          <cell r="F440" t="str">
            <v>calle 45 F · 73-36</v>
          </cell>
          <cell r="G440" t="str">
            <v>018000413851 -</v>
          </cell>
          <cell r="H440" t="str">
            <v>info@magentaseguro.com</v>
          </cell>
          <cell r="I440">
            <v>5001</v>
          </cell>
          <cell r="J440" t="str">
            <v>MEDELLIN</v>
          </cell>
        </row>
        <row r="441">
          <cell r="A441">
            <v>901138291</v>
          </cell>
          <cell r="B441" t="str">
            <v>NT</v>
          </cell>
          <cell r="C441">
            <v>901138291</v>
          </cell>
          <cell r="D441">
            <v>9</v>
          </cell>
          <cell r="E441" t="str">
            <v>EDS LA TURIRTICA DE PAIPA SAS</v>
          </cell>
          <cell r="F441" t="str">
            <v>carrera 19 26-45 barrio gaitan</v>
          </cell>
          <cell r="G441">
            <v>7850137</v>
          </cell>
          <cell r="H441" t="str">
            <v>inversionescarvazulsas@gmail.com</v>
          </cell>
          <cell r="I441" t="str">
            <v>15516</v>
          </cell>
          <cell r="J441" t="str">
            <v>PAIPA</v>
          </cell>
        </row>
        <row r="442">
          <cell r="A442">
            <v>901144651</v>
          </cell>
          <cell r="B442" t="str">
            <v>NT</v>
          </cell>
          <cell r="C442">
            <v>901144651</v>
          </cell>
          <cell r="D442">
            <v>1</v>
          </cell>
          <cell r="E442" t="str">
            <v>REAL DE ALUMINIOS SAS</v>
          </cell>
          <cell r="F442" t="str">
            <v>CLL 20 14 66</v>
          </cell>
          <cell r="G442">
            <v>3123508279</v>
          </cell>
          <cell r="H442" t="str">
            <v>raluminios4@gmail.com</v>
          </cell>
          <cell r="I442">
            <v>15001</v>
          </cell>
          <cell r="J442" t="str">
            <v>TUNJA</v>
          </cell>
        </row>
        <row r="443">
          <cell r="A443">
            <v>901145641</v>
          </cell>
          <cell r="B443" t="str">
            <v>NT</v>
          </cell>
          <cell r="C443">
            <v>901145641</v>
          </cell>
          <cell r="D443">
            <v>2</v>
          </cell>
          <cell r="E443" t="str">
            <v>CDA LANCEROS SAS</v>
          </cell>
          <cell r="F443" t="str">
            <v>av libertadores # 10C-45</v>
          </cell>
          <cell r="H443" t="str">
            <v>cdaloslanceros@hotmail.com</v>
          </cell>
          <cell r="I443" t="str">
            <v>15516</v>
          </cell>
          <cell r="J443" t="str">
            <v>PAIPA</v>
          </cell>
        </row>
        <row r="444">
          <cell r="A444">
            <v>901158089</v>
          </cell>
          <cell r="B444" t="str">
            <v>NT</v>
          </cell>
          <cell r="C444">
            <v>901158089</v>
          </cell>
          <cell r="D444">
            <v>2</v>
          </cell>
          <cell r="E444" t="str">
            <v>INVERSIONES FECHER SAS</v>
          </cell>
          <cell r="F444" t="str">
            <v>CALLE 36 · 88-20</v>
          </cell>
          <cell r="G444">
            <v>6075826494</v>
          </cell>
          <cell r="H444" t="str">
            <v>fecherventas1outlook.es</v>
          </cell>
          <cell r="I444">
            <v>5001</v>
          </cell>
          <cell r="J444" t="str">
            <v>MEDELLIN</v>
          </cell>
        </row>
        <row r="445">
          <cell r="A445">
            <v>901158947</v>
          </cell>
          <cell r="B445" t="str">
            <v>NT</v>
          </cell>
          <cell r="C445">
            <v>901158947</v>
          </cell>
          <cell r="D445">
            <v>7</v>
          </cell>
          <cell r="E445" t="str">
            <v>TUSREPUESTOS.CO S.A.S.</v>
          </cell>
          <cell r="F445" t="str">
            <v>AK 14 68 83</v>
          </cell>
          <cell r="G445">
            <v>3213088585</v>
          </cell>
          <cell r="H445" t="str">
            <v>infotusrepuestos@gmail.com</v>
          </cell>
          <cell r="I445">
            <v>11001</v>
          </cell>
          <cell r="J445" t="str">
            <v>BOGOTA D.C.</v>
          </cell>
        </row>
        <row r="446">
          <cell r="A446">
            <v>901172467</v>
          </cell>
          <cell r="B446" t="str">
            <v>RT</v>
          </cell>
          <cell r="C446">
            <v>901172467</v>
          </cell>
          <cell r="D446">
            <v>1</v>
          </cell>
          <cell r="E446" t="str">
            <v>MAKRO ALEJO</v>
          </cell>
          <cell r="F446" t="str">
            <v>avenida libertadores 21-78</v>
          </cell>
          <cell r="H446" t="str">
            <v xml:space="preserve"> notificaciones@makro.com.co</v>
          </cell>
          <cell r="I446" t="str">
            <v>15516</v>
          </cell>
          <cell r="J446" t="str">
            <v>PAIPA</v>
          </cell>
        </row>
        <row r="447">
          <cell r="A447">
            <v>901182036</v>
          </cell>
          <cell r="B447" t="str">
            <v>NT</v>
          </cell>
          <cell r="C447">
            <v>901182036</v>
          </cell>
          <cell r="D447">
            <v>3</v>
          </cell>
          <cell r="E447" t="str">
            <v>TECNOWED COLOMBIA SAS</v>
          </cell>
          <cell r="F447" t="str">
            <v>CARRERA 18A # 103-11</v>
          </cell>
          <cell r="G447">
            <v>5085600</v>
          </cell>
          <cell r="H447" t="str">
            <v>afacturar@tecnowed.com</v>
          </cell>
          <cell r="I447" t="str">
            <v>15516</v>
          </cell>
          <cell r="J447" t="str">
            <v>PAIPA</v>
          </cell>
        </row>
        <row r="448">
          <cell r="A448">
            <v>901237917</v>
          </cell>
          <cell r="B448" t="str">
            <v>NT</v>
          </cell>
          <cell r="C448">
            <v>901237917</v>
          </cell>
          <cell r="D448">
            <v>5</v>
          </cell>
          <cell r="E448" t="str">
            <v>INVERSIONES SANTANILLA SAS</v>
          </cell>
          <cell r="F448" t="str">
            <v>CR 63 19 39 SUR BB. MILENTA</v>
          </cell>
          <cell r="H448" t="str">
            <v>santillainversionesventa@gmail.com</v>
          </cell>
          <cell r="I448">
            <v>11001</v>
          </cell>
          <cell r="J448" t="str">
            <v>BOGOTA D.C.</v>
          </cell>
        </row>
        <row r="449">
          <cell r="A449">
            <v>901239308</v>
          </cell>
          <cell r="B449" t="str">
            <v>NT</v>
          </cell>
          <cell r="C449">
            <v>901239308</v>
          </cell>
          <cell r="D449">
            <v>9</v>
          </cell>
          <cell r="E449" t="str">
            <v>COOPERATIVA MULTICTIVA PRODUCTORES EL MIRADO</v>
          </cell>
          <cell r="F449" t="str">
            <v>VEREDA EL MIRADOR</v>
          </cell>
          <cell r="H449" t="str">
            <v>cooperativamultiactivaventas@gmail.com</v>
          </cell>
          <cell r="I449">
            <v>54250</v>
          </cell>
          <cell r="J449" t="str">
            <v>EL TARRA</v>
          </cell>
        </row>
        <row r="450">
          <cell r="A450">
            <v>901242218</v>
          </cell>
          <cell r="B450" t="str">
            <v>NT</v>
          </cell>
          <cell r="C450">
            <v>901242218</v>
          </cell>
          <cell r="D450">
            <v>5</v>
          </cell>
          <cell r="E450" t="str">
            <v>ELECTRIFICADOR SAS  LA FERIA DEL BOMBILLO</v>
          </cell>
          <cell r="F450" t="str">
            <v>CARRERA 18 #14A - 24</v>
          </cell>
          <cell r="H450" t="str">
            <v>electrificadorsas@gmail.com</v>
          </cell>
          <cell r="I450">
            <v>15238</v>
          </cell>
          <cell r="J450" t="str">
            <v>DUITAMA</v>
          </cell>
        </row>
        <row r="451">
          <cell r="A451">
            <v>901253638</v>
          </cell>
          <cell r="B451" t="str">
            <v>NT</v>
          </cell>
          <cell r="C451">
            <v>901253638</v>
          </cell>
          <cell r="D451">
            <v>2</v>
          </cell>
          <cell r="E451" t="str">
            <v>IDEAS PARA FRANQUICIAS SAS</v>
          </cell>
          <cell r="F451" t="str">
            <v>AV CARACAS #27 85 BRR OLAYA</v>
          </cell>
          <cell r="G451">
            <v>313123127581</v>
          </cell>
          <cell r="H451" t="str">
            <v>ideasfranquicias@outlook.com</v>
          </cell>
          <cell r="I451">
            <v>11001</v>
          </cell>
          <cell r="J451" t="str">
            <v>BOGOTA D.C.</v>
          </cell>
        </row>
        <row r="452">
          <cell r="A452">
            <v>901254114</v>
          </cell>
          <cell r="B452" t="str">
            <v>NT</v>
          </cell>
          <cell r="C452">
            <v>901254114</v>
          </cell>
          <cell r="D452">
            <v>1</v>
          </cell>
          <cell r="E452" t="str">
            <v>VIDRIOS SAN LORENZO SAS</v>
          </cell>
          <cell r="F452" t="str">
            <v>CALLE 22 C 29A 47AP 605 TO 2</v>
          </cell>
          <cell r="G452">
            <v>2694397</v>
          </cell>
          <cell r="H452" t="str">
            <v>ventas@vidriossanlorenzo.com</v>
          </cell>
          <cell r="I452">
            <v>15238</v>
          </cell>
          <cell r="J452" t="str">
            <v>DUITAMA</v>
          </cell>
        </row>
        <row r="453">
          <cell r="A453">
            <v>9012590896</v>
          </cell>
          <cell r="B453" t="str">
            <v>CE</v>
          </cell>
          <cell r="C453">
            <v>9012590896</v>
          </cell>
          <cell r="D453">
            <v>4</v>
          </cell>
          <cell r="E453" t="str">
            <v>BOOKING.COM</v>
          </cell>
          <cell r="F453" t="str">
            <v>Herengracht 597, 1017 CE Ámsterdam, Países Bajos</v>
          </cell>
          <cell r="G453">
            <v>576014192623</v>
          </cell>
          <cell r="H453" t="str">
            <v>noreply@booking.com</v>
          </cell>
          <cell r="I453">
            <v>11001</v>
          </cell>
          <cell r="J453" t="str">
            <v>BOGOTA D.C.</v>
          </cell>
        </row>
        <row r="454">
          <cell r="A454">
            <v>9012633484</v>
          </cell>
          <cell r="B454" t="str">
            <v>NT</v>
          </cell>
          <cell r="C454">
            <v>901263348</v>
          </cell>
          <cell r="D454">
            <v>4</v>
          </cell>
          <cell r="E454" t="str">
            <v>EXPEDIA GROUP RESERVAS ONLIFE</v>
          </cell>
          <cell r="F454" t="str">
            <v>vat # che-115.256.336 tva</v>
          </cell>
          <cell r="H454" t="str">
            <v>expediacollections@expedia.com</v>
          </cell>
          <cell r="I454">
            <v>11001</v>
          </cell>
          <cell r="J454" t="str">
            <v>BOGOTA D.C.</v>
          </cell>
        </row>
        <row r="455">
          <cell r="A455">
            <v>901266653</v>
          </cell>
          <cell r="B455" t="str">
            <v>NT</v>
          </cell>
          <cell r="C455">
            <v>901266653</v>
          </cell>
          <cell r="D455">
            <v>1</v>
          </cell>
          <cell r="E455" t="str">
            <v>META PLATFORMS IRELAND LIMITED</v>
          </cell>
          <cell r="F455" t="str">
            <v>Dublin 4, Irlanda</v>
          </cell>
          <cell r="G455">
            <v>380008080</v>
          </cell>
          <cell r="H455" t="str">
            <v>payment@fb.com</v>
          </cell>
          <cell r="I455">
            <v>11001</v>
          </cell>
          <cell r="J455" t="str">
            <v>BOGOTA D.C.</v>
          </cell>
        </row>
        <row r="456">
          <cell r="A456">
            <v>901299684</v>
          </cell>
          <cell r="B456" t="str">
            <v>NT</v>
          </cell>
          <cell r="C456">
            <v>901299684</v>
          </cell>
          <cell r="D456">
            <v>1</v>
          </cell>
          <cell r="E456" t="str">
            <v>SHARITO GRUPO EMPRESARIAL S.A.S</v>
          </cell>
          <cell r="F456" t="str">
            <v>CARRERA 19 Nº 9-15</v>
          </cell>
          <cell r="H456" t="str">
            <v>juan.clavijo@outlook.es</v>
          </cell>
          <cell r="I456" t="str">
            <v>15516</v>
          </cell>
          <cell r="J456" t="str">
            <v>PAIPA</v>
          </cell>
        </row>
        <row r="457">
          <cell r="A457">
            <v>901324009</v>
          </cell>
          <cell r="B457" t="str">
            <v>NT</v>
          </cell>
          <cell r="C457">
            <v>901324009</v>
          </cell>
          <cell r="D457">
            <v>5</v>
          </cell>
          <cell r="E457" t="str">
            <v>CONDUCE - CENTRO DE RECONOCIMIIENTO D CONDUCTORES</v>
          </cell>
          <cell r="F457" t="str">
            <v>AV LIBERTADOPRES 22-08 LOCAL 1</v>
          </cell>
          <cell r="H457" t="str">
            <v>inversionesj2sas@gmail.com</v>
          </cell>
          <cell r="I457" t="str">
            <v>15516</v>
          </cell>
          <cell r="J457" t="str">
            <v>PAIPA</v>
          </cell>
        </row>
        <row r="458">
          <cell r="A458">
            <v>901331844</v>
          </cell>
          <cell r="B458" t="str">
            <v>NT</v>
          </cell>
          <cell r="C458">
            <v>901331844</v>
          </cell>
          <cell r="D458">
            <v>8</v>
          </cell>
          <cell r="E458" t="str">
            <v>IKSO SAS</v>
          </cell>
          <cell r="F458" t="str">
            <v>AVENIDA CALLE 19 # 28-80 LA14</v>
          </cell>
          <cell r="G458">
            <v>6017420404</v>
          </cell>
          <cell r="H458" t="str">
            <v xml:space="preserve"> ikeacolfacturacion@ikea.com.co</v>
          </cell>
          <cell r="I458">
            <v>11001</v>
          </cell>
          <cell r="J458" t="str">
            <v>BOGOTA D.C.</v>
          </cell>
        </row>
        <row r="459">
          <cell r="A459">
            <v>901333606</v>
          </cell>
          <cell r="B459" t="str">
            <v>NT</v>
          </cell>
          <cell r="C459">
            <v>901333606</v>
          </cell>
          <cell r="D459">
            <v>0</v>
          </cell>
          <cell r="E459" t="str">
            <v>RAIZESH CONSTRUCCIONES GNO</v>
          </cell>
          <cell r="F459" t="str">
            <v xml:space="preserve"> KR 56 A # 60 - 16</v>
          </cell>
          <cell r="G459">
            <v>3023646087</v>
          </cell>
          <cell r="H459" t="str">
            <v>CONSTRUCCIONES@RAIZEOH.COM</v>
          </cell>
          <cell r="I459">
            <v>11001</v>
          </cell>
          <cell r="J459" t="str">
            <v>BOGOTA D.C.</v>
          </cell>
        </row>
        <row r="460">
          <cell r="A460">
            <v>901337795</v>
          </cell>
          <cell r="B460" t="str">
            <v>NT</v>
          </cell>
          <cell r="C460">
            <v>901337795</v>
          </cell>
          <cell r="D460">
            <v>2</v>
          </cell>
          <cell r="E460" t="str">
            <v>CANDELA HIERROS Y PERFILES SAS</v>
          </cell>
          <cell r="F460" t="str">
            <v>calle 35 # 08-71 barrio 6 de abri</v>
          </cell>
          <cell r="G460">
            <v>6788026</v>
          </cell>
          <cell r="H460" t="str">
            <v>districandela@hotmail.com</v>
          </cell>
          <cell r="I460">
            <v>50001</v>
          </cell>
          <cell r="J460" t="str">
            <v>VILLAVICENCIO</v>
          </cell>
        </row>
        <row r="461">
          <cell r="A461">
            <v>901346165</v>
          </cell>
          <cell r="B461" t="str">
            <v>NT</v>
          </cell>
          <cell r="C461">
            <v>901346165</v>
          </cell>
          <cell r="D461">
            <v>0</v>
          </cell>
          <cell r="E461" t="str">
            <v>CONSORCIO LIDER 2019</v>
          </cell>
          <cell r="F461" t="str">
            <v>Cl. 8 #51 a 5-47</v>
          </cell>
          <cell r="G461">
            <v>3204911523</v>
          </cell>
          <cell r="H461" t="str">
            <v>consorcio.lider2019@gmail.com</v>
          </cell>
          <cell r="I461">
            <v>15001</v>
          </cell>
          <cell r="J461" t="str">
            <v>TUNJA</v>
          </cell>
        </row>
        <row r="462">
          <cell r="A462">
            <v>901375998</v>
          </cell>
          <cell r="B462" t="str">
            <v>NT</v>
          </cell>
          <cell r="C462">
            <v>901375998</v>
          </cell>
          <cell r="D462">
            <v>2</v>
          </cell>
          <cell r="E462" t="str">
            <v>FERREPORFIA FCP CIUDAD PORFIA</v>
          </cell>
          <cell r="F462" t="str">
            <v>CARRERA 43 # 53 SUR 29</v>
          </cell>
          <cell r="H462" t="str">
            <v>ferreporfia@hotmail.com</v>
          </cell>
          <cell r="I462">
            <v>50001</v>
          </cell>
          <cell r="J462" t="str">
            <v>VILLAVICENCIO</v>
          </cell>
        </row>
        <row r="463">
          <cell r="A463">
            <v>901395372</v>
          </cell>
          <cell r="B463" t="str">
            <v>NT</v>
          </cell>
          <cell r="C463">
            <v>901395372</v>
          </cell>
          <cell r="D463">
            <v>8</v>
          </cell>
          <cell r="E463" t="str">
            <v>DISTRIBUIDORA EL CARMEN BADIZ SAS</v>
          </cell>
          <cell r="F463" t="str">
            <v>CALLE 25 # 19-75</v>
          </cell>
          <cell r="G463">
            <v>3204128873</v>
          </cell>
          <cell r="H463" t="str">
            <v>distribuidorabadiz@gmail.com</v>
          </cell>
          <cell r="I463" t="str">
            <v>15516</v>
          </cell>
          <cell r="J463" t="str">
            <v>PAIPA</v>
          </cell>
        </row>
        <row r="464">
          <cell r="A464">
            <v>901400164</v>
          </cell>
          <cell r="B464" t="str">
            <v>NT</v>
          </cell>
          <cell r="C464">
            <v>901400164</v>
          </cell>
          <cell r="D464">
            <v>4</v>
          </cell>
          <cell r="E464" t="str">
            <v>DIFRA LOS ANGELES - SALSAMENTARIAS</v>
          </cell>
          <cell r="F464" t="str">
            <v>carrera 19 # 16-23</v>
          </cell>
          <cell r="H464" t="str">
            <v>difralosangeles@gmail.com</v>
          </cell>
          <cell r="I464">
            <v>15238</v>
          </cell>
          <cell r="J464" t="str">
            <v>DUITAMA</v>
          </cell>
        </row>
        <row r="465">
          <cell r="A465">
            <v>901417475</v>
          </cell>
          <cell r="B465" t="str">
            <v>NT</v>
          </cell>
          <cell r="C465">
            <v>901417475</v>
          </cell>
          <cell r="D465">
            <v>4</v>
          </cell>
          <cell r="E465" t="str">
            <v>AVIO AGENCIA DE VIAJES Y TURISMO</v>
          </cell>
          <cell r="F465" t="str">
            <v>carrera 77 02 belen, boyaca CP 913057</v>
          </cell>
          <cell r="H465" t="str">
            <v>avio.agenciavt@gmail.com</v>
          </cell>
          <cell r="I465">
            <v>15104</v>
          </cell>
          <cell r="J465" t="str">
            <v>BOYACA</v>
          </cell>
        </row>
        <row r="466">
          <cell r="A466">
            <v>901451201</v>
          </cell>
          <cell r="B466" t="str">
            <v>NT</v>
          </cell>
          <cell r="C466">
            <v>901451201</v>
          </cell>
          <cell r="D466">
            <v>7</v>
          </cell>
          <cell r="E466" t="str">
            <v>AGROEXITO LA NOVENA SAS</v>
          </cell>
          <cell r="F466" t="str">
            <v>CR 24 AV LIBERTADORES 26 82</v>
          </cell>
          <cell r="G466">
            <v>3004812846</v>
          </cell>
          <cell r="H466" t="str">
            <v>agroexitola9@gmail.com</v>
          </cell>
          <cell r="I466" t="str">
            <v>15516</v>
          </cell>
          <cell r="J466" t="str">
            <v>PAIPA</v>
          </cell>
        </row>
        <row r="467">
          <cell r="A467">
            <v>901465361</v>
          </cell>
          <cell r="B467" t="str">
            <v>NT</v>
          </cell>
          <cell r="C467">
            <v>901465361</v>
          </cell>
          <cell r="D467">
            <v>8</v>
          </cell>
          <cell r="E467" t="str">
            <v>ARAMA PLUS SUPERMERCADO</v>
          </cell>
          <cell r="F467" t="str">
            <v>CALLE 27 # 15-79</v>
          </cell>
          <cell r="G467">
            <v>7851783</v>
          </cell>
          <cell r="H467" t="str">
            <v>factelecaramar@gmail.com</v>
          </cell>
          <cell r="I467" t="str">
            <v>15516</v>
          </cell>
          <cell r="J467" t="str">
            <v>PAIPA</v>
          </cell>
        </row>
        <row r="468">
          <cell r="A468">
            <v>901495615</v>
          </cell>
          <cell r="B468" t="str">
            <v>NT</v>
          </cell>
          <cell r="C468">
            <v>901495615</v>
          </cell>
          <cell r="D468">
            <v>1</v>
          </cell>
          <cell r="E468" t="str">
            <v>LA SABANERA S.</v>
          </cell>
          <cell r="F468" t="str">
            <v>avenida cumaral</v>
          </cell>
          <cell r="H468" t="str">
            <v>edsbonbalasabanera@gmail.com</v>
          </cell>
          <cell r="I468">
            <v>50001</v>
          </cell>
          <cell r="J468" t="str">
            <v>VILLAVICENCIO</v>
          </cell>
        </row>
        <row r="469">
          <cell r="A469">
            <v>901533793</v>
          </cell>
          <cell r="B469" t="str">
            <v>NT</v>
          </cell>
          <cell r="C469">
            <v>901533793</v>
          </cell>
          <cell r="D469">
            <v>8</v>
          </cell>
          <cell r="E469" t="str">
            <v>PEAJES NACIONALES EN CURSO</v>
          </cell>
          <cell r="F469" t="str">
            <v>colombia vias</v>
          </cell>
          <cell r="G469">
            <v>6013770600</v>
          </cell>
          <cell r="H469" t="str">
            <v>atencionciudadano@invias.gov.co</v>
          </cell>
          <cell r="I469">
            <v>15051</v>
          </cell>
          <cell r="J469" t="str">
            <v>ARCABUCO</v>
          </cell>
        </row>
        <row r="470">
          <cell r="A470">
            <v>901541201</v>
          </cell>
          <cell r="B470" t="str">
            <v>NT</v>
          </cell>
          <cell r="C470">
            <v>901541201</v>
          </cell>
          <cell r="D470">
            <v>3</v>
          </cell>
          <cell r="E470" t="str">
            <v>AGROEXITO LA NOVENA SAS</v>
          </cell>
          <cell r="F470" t="str">
            <v>CLL 9 18 30</v>
          </cell>
          <cell r="G470">
            <v>3123518433</v>
          </cell>
          <cell r="H470" t="str">
            <v>agroexitola9@gmail.com</v>
          </cell>
          <cell r="I470">
            <v>15759</v>
          </cell>
          <cell r="J470" t="str">
            <v>SOGAMOSO</v>
          </cell>
        </row>
        <row r="471">
          <cell r="A471">
            <v>901541926</v>
          </cell>
          <cell r="B471" t="str">
            <v>NT</v>
          </cell>
          <cell r="C471">
            <v>901541926</v>
          </cell>
          <cell r="D471">
            <v>4</v>
          </cell>
          <cell r="E471" t="str">
            <v>INVERSIONES LA ORIENTE SAS</v>
          </cell>
          <cell r="H471" t="str">
            <v>invorientalessas@gmail.com</v>
          </cell>
          <cell r="I471">
            <v>50001</v>
          </cell>
          <cell r="J471" t="str">
            <v>VILLAVICENCIO</v>
          </cell>
        </row>
        <row r="472">
          <cell r="A472">
            <v>901553229</v>
          </cell>
          <cell r="B472" t="str">
            <v>NT</v>
          </cell>
          <cell r="C472">
            <v>901553229</v>
          </cell>
          <cell r="D472">
            <v>0</v>
          </cell>
          <cell r="E472" t="str">
            <v>SURTIELECTRICOS RV SAS</v>
          </cell>
          <cell r="F472" t="str">
            <v>calle 22 # 26-22</v>
          </cell>
          <cell r="G472">
            <v>3115071069</v>
          </cell>
          <cell r="H472" t="str">
            <v>surtielectricosrvs.a.s@gmail.com</v>
          </cell>
          <cell r="I472" t="str">
            <v>15516</v>
          </cell>
          <cell r="J472" t="str">
            <v>PAIPA</v>
          </cell>
        </row>
        <row r="473">
          <cell r="A473">
            <v>901554161</v>
          </cell>
          <cell r="B473" t="str">
            <v>NT</v>
          </cell>
          <cell r="C473">
            <v>901554161</v>
          </cell>
          <cell r="D473">
            <v>3</v>
          </cell>
          <cell r="E473" t="str">
            <v>ESAGRIDERA KLASSEN</v>
          </cell>
          <cell r="F473" t="str">
            <v>puerto gaitan - vereda la cristalina</v>
          </cell>
          <cell r="H473" t="str">
            <v>esagriklassensas@gmail.com</v>
          </cell>
          <cell r="I473">
            <v>50568</v>
          </cell>
          <cell r="J473" t="str">
            <v>PUERTO GAITAN</v>
          </cell>
        </row>
        <row r="474">
          <cell r="A474">
            <v>901561580</v>
          </cell>
          <cell r="B474" t="str">
            <v>NT</v>
          </cell>
          <cell r="C474">
            <v>901561580</v>
          </cell>
          <cell r="D474">
            <v>5</v>
          </cell>
          <cell r="E474" t="str">
            <v xml:space="preserve"> SUMINISTRO MATERIALES Y DOTACIONES SUMADO S.A.S</v>
          </cell>
          <cell r="F474" t="str">
            <v>CARRERA 18 N° 18-82</v>
          </cell>
          <cell r="G474">
            <v>6083168331295</v>
          </cell>
          <cell r="H474" t="str">
            <v>sumadosas@gmail.com</v>
          </cell>
          <cell r="I474">
            <v>15041</v>
          </cell>
          <cell r="J474" t="str">
            <v>DUITAMA</v>
          </cell>
        </row>
        <row r="475">
          <cell r="A475">
            <v>901573440</v>
          </cell>
          <cell r="B475" t="str">
            <v>NT</v>
          </cell>
          <cell r="C475">
            <v>901573440</v>
          </cell>
          <cell r="D475">
            <v>4</v>
          </cell>
          <cell r="E475" t="str">
            <v>COMPUREDES BOYACA S.A.S</v>
          </cell>
          <cell r="F475" t="str">
            <v>CL2417 A 16 BRR LAS QUINTAS</v>
          </cell>
          <cell r="G475">
            <v>3164501924</v>
          </cell>
          <cell r="H475" t="str">
            <v xml:space="preserve"> contabilidad@compuredesboyaca.com</v>
          </cell>
          <cell r="I475" t="str">
            <v>15516</v>
          </cell>
          <cell r="J475" t="str">
            <v>PAIPA</v>
          </cell>
        </row>
        <row r="476">
          <cell r="A476">
            <v>901575970</v>
          </cell>
          <cell r="B476" t="str">
            <v>NT</v>
          </cell>
          <cell r="C476">
            <v>901575970</v>
          </cell>
          <cell r="D476">
            <v>5</v>
          </cell>
          <cell r="E476" t="str">
            <v>EL GRAN CORDERO SAS BIC</v>
          </cell>
          <cell r="F476" t="str">
            <v>vereda irboa</v>
          </cell>
          <cell r="H476" t="str">
            <v>paolamogollon624@gmail.com</v>
          </cell>
          <cell r="I476" t="str">
            <v>15516</v>
          </cell>
          <cell r="J476" t="str">
            <v>PAIPA</v>
          </cell>
        </row>
        <row r="477">
          <cell r="A477">
            <v>901584368</v>
          </cell>
          <cell r="B477" t="str">
            <v>NT</v>
          </cell>
          <cell r="C477">
            <v>901584368</v>
          </cell>
          <cell r="D477">
            <v>9</v>
          </cell>
          <cell r="E477" t="str">
            <v>MAXIPLASTICO FLORES  SAS</v>
          </cell>
          <cell r="F477" t="str">
            <v>CALLE 18 # 19-24</v>
          </cell>
          <cell r="H477" t="str">
            <v>maxiplasticosduitama@gmail.com</v>
          </cell>
          <cell r="I477">
            <v>15238</v>
          </cell>
          <cell r="J477" t="str">
            <v>DUITAMA</v>
          </cell>
        </row>
        <row r="478">
          <cell r="A478">
            <v>901621730</v>
          </cell>
          <cell r="B478" t="str">
            <v>NT</v>
          </cell>
          <cell r="C478">
            <v>901621730</v>
          </cell>
          <cell r="D478">
            <v>1</v>
          </cell>
          <cell r="E478" t="str">
            <v>COMERCIALIZADORA Y DISTRIBUIDORA ROMART DEL LLANO SAS</v>
          </cell>
          <cell r="F478" t="str">
            <v>calle 40 cr 7 san isidro</v>
          </cell>
          <cell r="H478" t="str">
            <v>distribuidoraromardelllano@gmail.com</v>
          </cell>
          <cell r="I478">
            <v>50001</v>
          </cell>
          <cell r="J478" t="str">
            <v>VILLAVICENCIO</v>
          </cell>
        </row>
        <row r="479">
          <cell r="A479">
            <v>901637353</v>
          </cell>
          <cell r="B479" t="str">
            <v>NT</v>
          </cell>
          <cell r="C479">
            <v>901637353</v>
          </cell>
          <cell r="D479">
            <v>8</v>
          </cell>
          <cell r="E479" t="str">
            <v>DISTRIBUCION Y COMERCIALIZACION SICAR SAS</v>
          </cell>
          <cell r="F479" t="str">
            <v>CR 16 24A 09</v>
          </cell>
          <cell r="G479">
            <v>3124354049</v>
          </cell>
          <cell r="H479" t="str">
            <v>info@sicarcomercializacion.com</v>
          </cell>
          <cell r="I479">
            <v>11001</v>
          </cell>
          <cell r="J479" t="str">
            <v>BOGOTA D.C.</v>
          </cell>
        </row>
        <row r="480">
          <cell r="A480">
            <v>901670360</v>
          </cell>
          <cell r="B480" t="str">
            <v>NT</v>
          </cell>
          <cell r="C480">
            <v>901670360</v>
          </cell>
          <cell r="D480">
            <v>9</v>
          </cell>
          <cell r="E480" t="str">
            <v>OUTLET ARANJUEZ SAS</v>
          </cell>
          <cell r="F480" t="str">
            <v>CR 54 37A 98 SUR</v>
          </cell>
          <cell r="G480">
            <v>3132117229</v>
          </cell>
          <cell r="H480" t="str">
            <v>clapavagu@hotmail.com</v>
          </cell>
          <cell r="I480">
            <v>11001</v>
          </cell>
          <cell r="J480" t="str">
            <v>BOGOTA D.C.</v>
          </cell>
        </row>
        <row r="481">
          <cell r="A481">
            <v>901683253</v>
          </cell>
          <cell r="B481" t="str">
            <v>NT</v>
          </cell>
          <cell r="C481">
            <v>901683253</v>
          </cell>
          <cell r="D481">
            <v>5</v>
          </cell>
          <cell r="E481" t="str">
            <v>AGROPECUARIA DEL BOSQUE</v>
          </cell>
          <cell r="F481" t="str">
            <v>CLL 24 # 24-07</v>
          </cell>
          <cell r="H481" t="str">
            <v>agropecuariapaipa@ventas .com</v>
          </cell>
          <cell r="I481" t="str">
            <v>15516</v>
          </cell>
          <cell r="J481" t="str">
            <v>PAIPA</v>
          </cell>
        </row>
        <row r="482">
          <cell r="A482">
            <v>901740436</v>
          </cell>
          <cell r="B482" t="str">
            <v>NT</v>
          </cell>
          <cell r="C482">
            <v>901740436</v>
          </cell>
          <cell r="D482">
            <v>0</v>
          </cell>
          <cell r="E482" t="str">
            <v>SUMMER ASOCIADOS SAS</v>
          </cell>
          <cell r="F482" t="str">
            <v>CL 166 NO. 19 - 80 CA 108</v>
          </cell>
          <cell r="G482">
            <v>3184635492</v>
          </cell>
          <cell r="H482" t="str">
            <v>SUMINISTROS.SUMMER@GMAIL.COM</v>
          </cell>
          <cell r="I482">
            <v>11001</v>
          </cell>
          <cell r="J482" t="str">
            <v>BOGOTA D.C.</v>
          </cell>
        </row>
        <row r="483">
          <cell r="A483">
            <v>901750497</v>
          </cell>
          <cell r="B483" t="str">
            <v>NT</v>
          </cell>
          <cell r="C483">
            <v>901750497</v>
          </cell>
          <cell r="D483">
            <v>2</v>
          </cell>
          <cell r="E483" t="str">
            <v>ONE PIXEL. CO SAS . 01 00</v>
          </cell>
          <cell r="F483" t="str">
            <v>CLL 22 C 29 47 AP 605</v>
          </cell>
          <cell r="G483">
            <v>3112235204</v>
          </cell>
          <cell r="H483" t="str">
            <v>onepixel.contabilidad@gmail.com</v>
          </cell>
          <cell r="I483">
            <v>11001</v>
          </cell>
          <cell r="J483" t="str">
            <v>BOGOTA D.C.</v>
          </cell>
        </row>
        <row r="484">
          <cell r="A484">
            <v>901848720</v>
          </cell>
          <cell r="B484" t="str">
            <v>NT</v>
          </cell>
          <cell r="C484">
            <v>901848720</v>
          </cell>
          <cell r="D484">
            <v>3</v>
          </cell>
          <cell r="E484" t="str">
            <v>RUGANTINO DI ROMA SAS</v>
          </cell>
          <cell r="F484" t="str">
            <v>CRA 13 17 A 23</v>
          </cell>
          <cell r="H484" t="str">
            <v>FACTURACION@RUGANTINODIROMA.COM</v>
          </cell>
          <cell r="I484">
            <v>15001</v>
          </cell>
          <cell r="J484" t="str">
            <v>TUNJA</v>
          </cell>
        </row>
        <row r="485">
          <cell r="A485">
            <v>901856784</v>
          </cell>
          <cell r="B485" t="str">
            <v>NT</v>
          </cell>
          <cell r="C485">
            <v>901856784</v>
          </cell>
          <cell r="D485">
            <v>8</v>
          </cell>
          <cell r="E485" t="str">
            <v>LA ERA DE SAN PEDRO INVERSIONES SAS</v>
          </cell>
          <cell r="F485" t="str">
            <v>CLL 25 69 51 INT</v>
          </cell>
          <cell r="H485" t="str">
            <v>INVERSIONES@GMAIL.COM</v>
          </cell>
          <cell r="I485">
            <v>11001</v>
          </cell>
          <cell r="J485" t="str">
            <v>BOGOTA D.C.</v>
          </cell>
        </row>
        <row r="486">
          <cell r="A486">
            <v>901939239</v>
          </cell>
          <cell r="B486" t="str">
            <v>NT</v>
          </cell>
          <cell r="C486">
            <v>901939239</v>
          </cell>
          <cell r="D486">
            <v>2</v>
          </cell>
          <cell r="E486" t="str">
            <v>SANTACRUZ 198 SAS</v>
          </cell>
          <cell r="F486" t="str">
            <v>cll 27 43 d 19</v>
          </cell>
          <cell r="H486" t="str">
            <v>SANTACRUz198SAS@GMAIL.COM</v>
          </cell>
          <cell r="I486">
            <v>50001</v>
          </cell>
          <cell r="J486" t="str">
            <v>VILLAVICENCIO</v>
          </cell>
        </row>
        <row r="487">
          <cell r="A487">
            <v>91110583</v>
          </cell>
          <cell r="B487" t="str">
            <v>CC</v>
          </cell>
          <cell r="C487">
            <v>91110583</v>
          </cell>
          <cell r="D487">
            <v>5</v>
          </cell>
          <cell r="E487" t="str">
            <v>JIMENEZ ROMERO NOE</v>
          </cell>
          <cell r="F487" t="str">
            <v>CR 23 25 22</v>
          </cell>
          <cell r="G487">
            <v>3023391724</v>
          </cell>
          <cell r="H487" t="str">
            <v>noejiro@hmail.com</v>
          </cell>
          <cell r="I487" t="str">
            <v>15516</v>
          </cell>
          <cell r="J487" t="str">
            <v>PAIPA</v>
          </cell>
        </row>
        <row r="488">
          <cell r="A488">
            <v>9524528</v>
          </cell>
          <cell r="B488" t="str">
            <v>CC</v>
          </cell>
          <cell r="C488">
            <v>9524528</v>
          </cell>
          <cell r="D488">
            <v>9</v>
          </cell>
          <cell r="E488" t="str">
            <v>AREVALO PIÑEROS WILLIAN ISAURO</v>
          </cell>
          <cell r="F488" t="str">
            <v>Calle 26 No. 22-31</v>
          </cell>
          <cell r="G488">
            <v>3208412466</v>
          </cell>
          <cell r="H488" t="str">
            <v>unicapaipa@supernotariado.gov.co</v>
          </cell>
          <cell r="I488" t="str">
            <v>15516</v>
          </cell>
          <cell r="J488" t="str">
            <v>PAIPA</v>
          </cell>
        </row>
        <row r="489">
          <cell r="A489">
            <v>9526962</v>
          </cell>
          <cell r="B489" t="str">
            <v>RT</v>
          </cell>
          <cell r="C489">
            <v>9526962</v>
          </cell>
          <cell r="D489">
            <v>1</v>
          </cell>
          <cell r="E489" t="str">
            <v>ACEVEDO NOSSA HUMBERTO</v>
          </cell>
          <cell r="F489" t="str">
            <v>calle 23 # 22-27</v>
          </cell>
          <cell r="H489" t="str">
            <v>humberto-acevedo@hotmail.com</v>
          </cell>
          <cell r="I489" t="str">
            <v>15516</v>
          </cell>
          <cell r="J489" t="str">
            <v>PAIPA</v>
          </cell>
        </row>
        <row r="490">
          <cell r="A490">
            <v>9530898</v>
          </cell>
          <cell r="B490" t="str">
            <v>CC</v>
          </cell>
          <cell r="C490">
            <v>9530898</v>
          </cell>
          <cell r="D490">
            <v>3</v>
          </cell>
          <cell r="E490" t="str">
            <v>CAMACHO PEREZ EUSEBIO</v>
          </cell>
          <cell r="F490" t="str">
            <v>CR 23 23 80</v>
          </cell>
          <cell r="H490" t="str">
            <v>dulcieu@hotmail.com</v>
          </cell>
          <cell r="I490" t="str">
            <v>15516</v>
          </cell>
          <cell r="J490" t="str">
            <v>PAIPA</v>
          </cell>
        </row>
        <row r="491">
          <cell r="A491">
            <v>9533055</v>
          </cell>
          <cell r="B491" t="str">
            <v>CC</v>
          </cell>
          <cell r="C491">
            <v>9533055</v>
          </cell>
          <cell r="D491">
            <v>5</v>
          </cell>
          <cell r="E491" t="str">
            <v>RODRIGUEZ DANILO</v>
          </cell>
          <cell r="F491" t="str">
            <v>CLL 5 # 26-* 100</v>
          </cell>
          <cell r="H491" t="str">
            <v>JDRSANCHEZ@GMAIL.COM</v>
          </cell>
          <cell r="I491">
            <v>11001</v>
          </cell>
          <cell r="J491" t="str">
            <v>BOGOTA D.C.</v>
          </cell>
        </row>
        <row r="492">
          <cell r="A492">
            <v>960030828</v>
          </cell>
          <cell r="B492" t="str">
            <v>NT</v>
          </cell>
          <cell r="C492">
            <v>960030828</v>
          </cell>
          <cell r="D492">
            <v>2</v>
          </cell>
          <cell r="E492" t="str">
            <v>FERRETERIA INDUSTRIAL SAS</v>
          </cell>
          <cell r="F492" t="str">
            <v>cr 25  # 17 -64</v>
          </cell>
          <cell r="H492" t="str">
            <v>nanreh13@hotmail.com</v>
          </cell>
          <cell r="I492">
            <v>11001</v>
          </cell>
          <cell r="J492" t="str">
            <v>BOGOTA D.C.</v>
          </cell>
        </row>
        <row r="493">
          <cell r="A493">
            <v>9654781</v>
          </cell>
          <cell r="B493" t="str">
            <v>CC</v>
          </cell>
          <cell r="C493">
            <v>9654781</v>
          </cell>
          <cell r="D493">
            <v>3</v>
          </cell>
          <cell r="E493" t="str">
            <v>ROJAS SILVA FLORENTINO</v>
          </cell>
          <cell r="F493" t="str">
            <v>CR 111A # 76- 50</v>
          </cell>
          <cell r="H493" t="str">
            <v>florentinorojas@msn.com</v>
          </cell>
          <cell r="I493">
            <v>11001</v>
          </cell>
          <cell r="J493" t="str">
            <v>BOGOTA D.C.</v>
          </cell>
        </row>
        <row r="494">
          <cell r="A494">
            <v>9735348</v>
          </cell>
          <cell r="B494" t="str">
            <v>CC</v>
          </cell>
          <cell r="C494">
            <v>9735348</v>
          </cell>
          <cell r="D494">
            <v>5</v>
          </cell>
          <cell r="E494" t="str">
            <v>MARTINEZ AVILA JHON ALEJANDRO</v>
          </cell>
          <cell r="F494" t="str">
            <v>CR 16 29A 21</v>
          </cell>
          <cell r="G494">
            <v>3152516601</v>
          </cell>
          <cell r="H494" t="str">
            <v>911seguridadymonitoreo@gmail.com</v>
          </cell>
          <cell r="I494" t="str">
            <v>15516</v>
          </cell>
          <cell r="J494" t="str">
            <v>PAIPA</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50"/>
  <sheetViews>
    <sheetView tabSelected="1" zoomScaleNormal="100" zoomScalePageLayoutView="80" workbookViewId="0">
      <selection activeCell="G15" sqref="G1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1" ht="133.15" customHeight="1" x14ac:dyDescent="0.25">
      <c r="A1" s="15"/>
      <c r="B1" s="16"/>
      <c r="C1" s="16"/>
      <c r="D1" s="16"/>
      <c r="E1" s="16"/>
      <c r="F1" s="16"/>
      <c r="G1" s="16"/>
      <c r="H1" s="16"/>
      <c r="I1" s="16"/>
      <c r="J1" s="16"/>
    </row>
    <row r="2" spans="1:11" x14ac:dyDescent="0.25">
      <c r="A2" s="24" t="s">
        <v>0</v>
      </c>
      <c r="B2" s="24"/>
      <c r="C2" s="17">
        <v>900461405</v>
      </c>
      <c r="D2" s="18"/>
      <c r="E2" s="19"/>
      <c r="F2" s="1"/>
      <c r="G2" s="1"/>
      <c r="H2" s="1"/>
      <c r="I2" s="11" t="s">
        <v>2243</v>
      </c>
      <c r="J2" s="13" t="s">
        <v>2244</v>
      </c>
    </row>
    <row r="3" spans="1:11" x14ac:dyDescent="0.25">
      <c r="A3" s="25" t="s">
        <v>1</v>
      </c>
      <c r="B3" s="25"/>
      <c r="C3" s="20" t="s">
        <v>2249</v>
      </c>
      <c r="D3" s="18"/>
      <c r="E3" s="19"/>
      <c r="F3" s="1"/>
      <c r="G3" s="1"/>
      <c r="H3" s="1"/>
      <c r="I3" s="1"/>
      <c r="J3" s="1"/>
    </row>
    <row r="4" spans="1:11" x14ac:dyDescent="0.25">
      <c r="A4" s="24" t="s">
        <v>2</v>
      </c>
      <c r="B4" s="24"/>
      <c r="C4" s="17">
        <v>2025</v>
      </c>
      <c r="D4" s="18"/>
      <c r="E4" s="19"/>
      <c r="F4" s="1"/>
      <c r="G4" s="1"/>
      <c r="H4" s="1"/>
      <c r="I4" s="1"/>
      <c r="J4" s="1"/>
    </row>
    <row r="5" spans="1:11" x14ac:dyDescent="0.25">
      <c r="A5" s="26" t="s">
        <v>3</v>
      </c>
      <c r="B5" s="26"/>
      <c r="C5" s="21">
        <v>46202</v>
      </c>
      <c r="D5" s="22"/>
      <c r="E5" s="23"/>
      <c r="F5" s="1"/>
      <c r="G5" s="1"/>
      <c r="H5" s="1"/>
      <c r="I5" s="1"/>
      <c r="J5" s="1"/>
    </row>
    <row r="6" spans="1:11" ht="42" customHeight="1" x14ac:dyDescent="0.25">
      <c r="A6" s="2" t="s">
        <v>4</v>
      </c>
      <c r="B6" s="3" t="s">
        <v>5</v>
      </c>
      <c r="C6" s="3" t="s">
        <v>2245</v>
      </c>
      <c r="D6" s="2" t="s">
        <v>2246</v>
      </c>
      <c r="E6" s="3" t="s">
        <v>2247</v>
      </c>
      <c r="F6" s="2" t="s">
        <v>2248</v>
      </c>
      <c r="G6" s="2" t="s">
        <v>6</v>
      </c>
      <c r="H6" s="2" t="s">
        <v>7</v>
      </c>
      <c r="I6" s="2" t="s">
        <v>8</v>
      </c>
      <c r="J6" s="2" t="s">
        <v>9</v>
      </c>
    </row>
    <row r="7" spans="1:11" x14ac:dyDescent="0.25">
      <c r="A7" s="4">
        <v>4046991</v>
      </c>
      <c r="B7" s="4" t="s">
        <v>2250</v>
      </c>
      <c r="C7" s="12" t="str">
        <f>VLOOKUP(A7,[1]Hoja1!$A$2:$J$494,8,0)</f>
        <v>floristeria@gmail.com</v>
      </c>
      <c r="D7" s="4">
        <v>3205698745</v>
      </c>
      <c r="E7" s="4" t="str">
        <f>VLOOKUP(A7,[1]Hoja1!$A$2:$J$494,6,0)</f>
        <v>calle 26 # 22-11</v>
      </c>
      <c r="F7" s="4" t="s">
        <v>733</v>
      </c>
      <c r="G7" s="4">
        <v>219</v>
      </c>
      <c r="H7" s="4">
        <v>846000</v>
      </c>
      <c r="I7" s="4">
        <v>6768</v>
      </c>
      <c r="J7" s="4">
        <v>0</v>
      </c>
      <c r="K7" s="14"/>
    </row>
    <row r="8" spans="1:11" x14ac:dyDescent="0.25">
      <c r="A8" s="4">
        <v>7213708</v>
      </c>
      <c r="B8" s="4" t="s">
        <v>2251</v>
      </c>
      <c r="C8" s="4" t="s">
        <v>2294</v>
      </c>
      <c r="D8" s="4">
        <f>VLOOKUP(A8,[1]Hoja1!$A$2:$J$494,7,0)</f>
        <v>7600794</v>
      </c>
      <c r="E8" s="4" t="str">
        <f>VLOOKUP(A8,[1]Hoja1!$A$2:$J$494,6,0)</f>
        <v>CARRERA 20# 26-36</v>
      </c>
      <c r="F8" s="4" t="s">
        <v>733</v>
      </c>
      <c r="G8" s="4">
        <v>219</v>
      </c>
      <c r="H8" s="4">
        <v>2232625</v>
      </c>
      <c r="I8" s="4">
        <v>17861</v>
      </c>
      <c r="J8" s="4">
        <v>0</v>
      </c>
      <c r="K8" s="14"/>
    </row>
    <row r="9" spans="1:11" x14ac:dyDescent="0.25">
      <c r="A9" s="4">
        <v>9530898</v>
      </c>
      <c r="B9" s="4" t="s">
        <v>2252</v>
      </c>
      <c r="C9" s="4" t="str">
        <f>VLOOKUP(A9,[1]Hoja1!$A$2:$J$494,8,0)</f>
        <v>dulcieu@hotmail.com</v>
      </c>
      <c r="D9" s="4">
        <v>3159876541</v>
      </c>
      <c r="E9" s="4" t="str">
        <f>VLOOKUP(A9,[1]Hoja1!$A$2:$J$494,6,0)</f>
        <v>CR 23 23 80</v>
      </c>
      <c r="F9" s="4" t="s">
        <v>733</v>
      </c>
      <c r="G9" s="4">
        <v>219</v>
      </c>
      <c r="H9" s="4">
        <v>156750</v>
      </c>
      <c r="I9" s="4">
        <v>718</v>
      </c>
      <c r="J9" s="4">
        <v>0</v>
      </c>
    </row>
    <row r="10" spans="1:11" x14ac:dyDescent="0.25">
      <c r="A10" s="4">
        <v>9735348</v>
      </c>
      <c r="B10" s="4" t="s">
        <v>2253</v>
      </c>
      <c r="C10" s="4" t="str">
        <f>VLOOKUP(A10,[1]Hoja1!$A$2:$J$494,8,0)</f>
        <v>911seguridadymonitoreo@gmail.com</v>
      </c>
      <c r="D10" s="4">
        <f>VLOOKUP(A10,[1]Hoja1!$A$2:$J$494,7,0)</f>
        <v>3152516601</v>
      </c>
      <c r="E10" s="4" t="str">
        <f>VLOOKUP(A10,[1]Hoja1!$A$2:$J$494,6,0)</f>
        <v>CR 16 29A 21</v>
      </c>
      <c r="F10" s="4" t="s">
        <v>733</v>
      </c>
      <c r="G10" s="4">
        <v>219</v>
      </c>
      <c r="H10" s="4">
        <v>2045000</v>
      </c>
      <c r="I10" s="4">
        <v>16360</v>
      </c>
      <c r="J10" s="4">
        <v>0</v>
      </c>
    </row>
    <row r="11" spans="1:11" x14ac:dyDescent="0.25">
      <c r="A11" s="4">
        <v>23552349</v>
      </c>
      <c r="B11" s="4" t="s">
        <v>2254</v>
      </c>
      <c r="C11" s="4" t="str">
        <f>VLOOKUP(A11,[1]Hoja1!$A$2:$J$494,8,0)</f>
        <v>glores@gmail.com</v>
      </c>
      <c r="D11" s="4">
        <f>VLOOKUP(A11,[1]Hoja1!$A$2:$J$494,7,0)</f>
        <v>312222222</v>
      </c>
      <c r="E11" s="4" t="str">
        <f>VLOOKUP(A11,[1]Hoja1!$A$2:$J$494,6,0)</f>
        <v>Cra. 23 #24-17</v>
      </c>
      <c r="F11" s="4" t="s">
        <v>733</v>
      </c>
      <c r="G11" s="4">
        <v>219</v>
      </c>
      <c r="H11" s="4">
        <v>83200</v>
      </c>
      <c r="I11" s="4">
        <v>832</v>
      </c>
      <c r="J11" s="4">
        <v>0</v>
      </c>
    </row>
    <row r="12" spans="1:11" x14ac:dyDescent="0.25">
      <c r="A12" s="4">
        <v>23855363</v>
      </c>
      <c r="B12" s="4" t="s">
        <v>2255</v>
      </c>
      <c r="C12" s="4" t="str">
        <f>VLOOKUP(A12,[1]Hoja1!$A$2:$J$494,8,0)</f>
        <v>sancayetanostella@gmail.com</v>
      </c>
      <c r="D12" s="4">
        <v>3205896413</v>
      </c>
      <c r="E12" s="4" t="str">
        <f>VLOOKUP(A12,[1]Hoja1!$A$2:$J$494,6,0)</f>
        <v>diagonal itp 500 via caños</v>
      </c>
      <c r="F12" s="4" t="s">
        <v>733</v>
      </c>
      <c r="G12" s="4">
        <v>219</v>
      </c>
      <c r="H12" s="4">
        <v>27375</v>
      </c>
      <c r="I12" s="4">
        <v>219</v>
      </c>
      <c r="J12" s="4">
        <v>0</v>
      </c>
    </row>
    <row r="13" spans="1:11" x14ac:dyDescent="0.25">
      <c r="A13" s="4">
        <v>23856787</v>
      </c>
      <c r="B13" s="4" t="s">
        <v>2256</v>
      </c>
      <c r="C13" s="4" t="str">
        <f>VLOOKUP(A13,[1]Hoja1!$A$2:$J$494,8,0)</f>
        <v>foncecalagos1981@gmail.com</v>
      </c>
      <c r="D13" s="4">
        <v>3123652589</v>
      </c>
      <c r="E13" s="4" t="str">
        <f>VLOOKUP(A13,[1]Hoja1!$A$2:$J$494,6,0)</f>
        <v>cl 25 17 113 b.las quintas</v>
      </c>
      <c r="F13" s="4" t="s">
        <v>733</v>
      </c>
      <c r="G13" s="4">
        <v>219</v>
      </c>
      <c r="H13" s="4">
        <v>2276125</v>
      </c>
      <c r="I13" s="4">
        <v>12919</v>
      </c>
      <c r="J13" s="4">
        <v>0</v>
      </c>
    </row>
    <row r="14" spans="1:11" x14ac:dyDescent="0.25">
      <c r="A14" s="4">
        <v>23857703</v>
      </c>
      <c r="B14" s="4" t="s">
        <v>2257</v>
      </c>
      <c r="C14" s="4" t="str">
        <f>VLOOKUP(A14,[1]Hoja1!$A$2:$J$494,8,0)</f>
        <v>krismoda2014@gmail.com</v>
      </c>
      <c r="D14" s="4">
        <f>VLOOKUP(A14,[1]Hoja1!$A$2:$J$494,7,0)</f>
        <v>3208350821</v>
      </c>
      <c r="E14" s="4" t="str">
        <f>VLOOKUP(A14,[1]Hoja1!$A$2:$J$494,6,0)</f>
        <v>CR 19 25 49</v>
      </c>
      <c r="F14" s="4" t="s">
        <v>733</v>
      </c>
      <c r="G14" s="4">
        <v>219</v>
      </c>
      <c r="H14" s="4">
        <v>673500</v>
      </c>
      <c r="I14" s="4">
        <v>2694</v>
      </c>
      <c r="J14" s="4">
        <v>0</v>
      </c>
    </row>
    <row r="15" spans="1:11" x14ac:dyDescent="0.25">
      <c r="A15" s="4">
        <v>23913485</v>
      </c>
      <c r="B15" s="4" t="s">
        <v>2258</v>
      </c>
      <c r="C15" s="4" t="str">
        <f>VLOOKUP(A15,[1]Hoja1!$A$2:$J$494,8,0)</f>
        <v>solucionescontables812@gmail.com</v>
      </c>
      <c r="D15" s="4">
        <v>3115489632</v>
      </c>
      <c r="E15" s="4" t="str">
        <f>VLOOKUP(A15,[1]Hoja1!$A$2:$J$494,6,0)</f>
        <v>carrera 19 #  25-55</v>
      </c>
      <c r="F15" s="4" t="s">
        <v>733</v>
      </c>
      <c r="G15" s="4">
        <v>219</v>
      </c>
      <c r="H15" s="4">
        <v>17625</v>
      </c>
      <c r="I15" s="4">
        <v>141</v>
      </c>
      <c r="J15" s="4">
        <v>0</v>
      </c>
    </row>
    <row r="16" spans="1:11" x14ac:dyDescent="0.25">
      <c r="A16" s="4">
        <v>46450687</v>
      </c>
      <c r="B16" s="4" t="s">
        <v>2259</v>
      </c>
      <c r="C16" s="4" t="str">
        <f>VLOOKUP(A16,[1]Hoja1!$A$2:$J$494,8,0)</f>
        <v>facturastarcolors@gmail.com</v>
      </c>
      <c r="D16" s="4">
        <f>VLOOKUP(A16,[1]Hoja1!$A$2:$J$494,7,0)</f>
        <v>7852859</v>
      </c>
      <c r="E16" s="4" t="str">
        <f>VLOOKUP(A16,[1]Hoja1!$A$2:$J$494,6,0)</f>
        <v>carrera 19 # 27-33 b. gaitana</v>
      </c>
      <c r="F16" s="4" t="s">
        <v>733</v>
      </c>
      <c r="G16" s="4">
        <v>219</v>
      </c>
      <c r="H16" s="4">
        <v>5000</v>
      </c>
      <c r="I16" s="4">
        <v>40</v>
      </c>
      <c r="J16" s="4">
        <v>0</v>
      </c>
    </row>
    <row r="17" spans="1:10" x14ac:dyDescent="0.25">
      <c r="A17" s="4">
        <v>46663540</v>
      </c>
      <c r="B17" s="4" t="s">
        <v>2260</v>
      </c>
      <c r="C17" s="4" t="str">
        <f>VLOOKUP(A17,[1]Hoja1!$A$2:$J$494,8,0)</f>
        <v>YOLANDt24@hotmail.com</v>
      </c>
      <c r="D17" s="4">
        <v>3205896312</v>
      </c>
      <c r="E17" s="4" t="str">
        <f>VLOOKUP(A17,[1]Hoja1!$A$2:$J$494,6,0)</f>
        <v>CLL 27A 22 32</v>
      </c>
      <c r="F17" s="4" t="s">
        <v>733</v>
      </c>
      <c r="G17" s="4">
        <v>219</v>
      </c>
      <c r="H17" s="4">
        <v>1075875</v>
      </c>
      <c r="I17" s="4">
        <v>8607</v>
      </c>
      <c r="J17" s="4">
        <v>0</v>
      </c>
    </row>
    <row r="18" spans="1:10" x14ac:dyDescent="0.25">
      <c r="A18" s="4">
        <v>46681167</v>
      </c>
      <c r="B18" s="4" t="s">
        <v>2261</v>
      </c>
      <c r="C18" s="4" t="str">
        <f>VLOOKUP(A18,[1]Hoja1!$A$2:$J$494,8,0)</f>
        <v>servidigital07@gmail.com</v>
      </c>
      <c r="D18" s="4">
        <f>VLOOKUP(A18,[1]Hoja1!$A$2:$J$494,7,0)</f>
        <v>3115861040</v>
      </c>
      <c r="E18" s="4" t="str">
        <f>VLOOKUP(A18,[1]Hoja1!$A$2:$J$494,6,0)</f>
        <v>CL 25 22 49</v>
      </c>
      <c r="F18" s="4" t="s">
        <v>733</v>
      </c>
      <c r="G18" s="4">
        <v>219</v>
      </c>
      <c r="H18" s="4">
        <v>450000</v>
      </c>
      <c r="I18" s="4">
        <v>3600</v>
      </c>
      <c r="J18" s="4">
        <v>0</v>
      </c>
    </row>
    <row r="19" spans="1:10" x14ac:dyDescent="0.25">
      <c r="A19" s="4">
        <v>46682252</v>
      </c>
      <c r="B19" s="4" t="s">
        <v>2262</v>
      </c>
      <c r="C19" s="4" t="str">
        <f>VLOOKUP(A19,[1]Hoja1!$A$2:$J$494,8,0)</f>
        <v>sandraotalora24@gmail.com</v>
      </c>
      <c r="D19" s="4">
        <f>VLOOKUP(A19,[1]Hoja1!$A$2:$J$494,7,0)</f>
        <v>3232539853</v>
      </c>
      <c r="E19" s="4" t="str">
        <f>VLOOKUP(A19,[1]Hoja1!$A$2:$J$494,6,0)</f>
        <v>VDA LA ESPERANZA</v>
      </c>
      <c r="F19" s="4" t="s">
        <v>733</v>
      </c>
      <c r="G19" s="4">
        <v>219</v>
      </c>
      <c r="H19" s="4">
        <v>2775000</v>
      </c>
      <c r="I19" s="4">
        <v>11100</v>
      </c>
      <c r="J19" s="4">
        <v>0</v>
      </c>
    </row>
    <row r="20" spans="1:10" x14ac:dyDescent="0.25">
      <c r="A20" s="4">
        <v>52321781</v>
      </c>
      <c r="B20" s="4" t="s">
        <v>2263</v>
      </c>
      <c r="C20" s="4" t="str">
        <f>VLOOKUP(A20,[1]Hoja1!$A$2:$J$494,8,0)</f>
        <v>papelycrayola@gmail.com</v>
      </c>
      <c r="D20" s="4">
        <f>VLOOKUP(A20,[1]Hoja1!$A$2:$J$494,7,0)</f>
        <v>987852277</v>
      </c>
      <c r="E20" s="4" t="str">
        <f>VLOOKUP(A20,[1]Hoja1!$A$2:$J$494,6,0)</f>
        <v>CLL 25 20 46</v>
      </c>
      <c r="F20" s="4" t="s">
        <v>733</v>
      </c>
      <c r="G20" s="4">
        <v>219</v>
      </c>
      <c r="H20" s="4">
        <v>251500</v>
      </c>
      <c r="I20" s="4">
        <v>1090</v>
      </c>
      <c r="J20" s="4">
        <v>0</v>
      </c>
    </row>
    <row r="21" spans="1:10" ht="15.75" customHeight="1" x14ac:dyDescent="0.25">
      <c r="A21" s="4">
        <v>52773362</v>
      </c>
      <c r="B21" s="4" t="s">
        <v>2264</v>
      </c>
      <c r="C21" s="4" t="str">
        <f>VLOOKUP(A21,[1]Hoja1!$A$2:$J$494,8,0)</f>
        <v>dymsinsumos@gmail.com</v>
      </c>
      <c r="D21" s="4">
        <f>VLOOKUP(A21,[1]Hoja1!$A$2:$J$494,7,0)</f>
        <v>3152167473</v>
      </c>
      <c r="E21" s="4" t="str">
        <f>VLOOKUP(A21,[1]Hoja1!$A$2:$J$494,6,0)</f>
        <v>cl22 A 22 65</v>
      </c>
      <c r="F21" s="4" t="s">
        <v>733</v>
      </c>
      <c r="G21" s="4">
        <v>219</v>
      </c>
      <c r="H21" s="4">
        <v>6710300</v>
      </c>
      <c r="I21" s="4">
        <v>66629</v>
      </c>
      <c r="J21" s="4">
        <v>0</v>
      </c>
    </row>
    <row r="22" spans="1:10" ht="15.75" customHeight="1" x14ac:dyDescent="0.25">
      <c r="A22" s="4">
        <v>74324186</v>
      </c>
      <c r="B22" s="4" t="s">
        <v>2265</v>
      </c>
      <c r="C22" s="4" t="str">
        <f>VLOOKUP(A22,[1]Hoja1!$A$2:$J$494,8,0)</f>
        <v>wigabestudiocreativo@gmail.com</v>
      </c>
      <c r="D22" s="4">
        <f>VLOOKUP(A22,[1]Hoja1!$A$2:$J$494,7,0)</f>
        <v>3105510383</v>
      </c>
      <c r="E22" s="4" t="str">
        <f>VLOOKUP(A22,[1]Hoja1!$A$2:$J$494,6,0)</f>
        <v>CLL 22 20 77</v>
      </c>
      <c r="F22" s="4" t="s">
        <v>733</v>
      </c>
      <c r="G22" s="4">
        <v>219</v>
      </c>
      <c r="H22" s="4">
        <v>105000</v>
      </c>
      <c r="I22" s="4">
        <v>840</v>
      </c>
      <c r="J22" s="4">
        <v>0</v>
      </c>
    </row>
    <row r="23" spans="1:10" ht="15.75" customHeight="1" x14ac:dyDescent="0.25">
      <c r="A23" s="4">
        <v>74381737</v>
      </c>
      <c r="B23" s="4" t="s">
        <v>2266</v>
      </c>
      <c r="C23" s="4" t="str">
        <f>VLOOKUP(A23,[1]Hoja1!$A$2:$J$494,8,0)</f>
        <v>EDWINBENITEZ24@YAHOO.ES</v>
      </c>
      <c r="D23" s="4">
        <v>3208796541</v>
      </c>
      <c r="E23" s="4" t="str">
        <f>VLOOKUP(A23,[1]Hoja1!$A$2:$J$494,6,0)</f>
        <v>MZ 24 BLOQUE D ESTACION DE ALEJANDRIA</v>
      </c>
      <c r="F23" s="4" t="s">
        <v>733</v>
      </c>
      <c r="G23" s="4">
        <v>219</v>
      </c>
      <c r="H23" s="4">
        <v>157500</v>
      </c>
      <c r="I23" s="4">
        <v>1260</v>
      </c>
      <c r="J23" s="4">
        <v>0</v>
      </c>
    </row>
    <row r="24" spans="1:10" ht="15.75" customHeight="1" x14ac:dyDescent="0.25">
      <c r="A24" s="4">
        <v>80032657</v>
      </c>
      <c r="B24" s="4" t="s">
        <v>2267</v>
      </c>
      <c r="C24" s="4" t="str">
        <f>VLOOKUP(A24,[1]Hoja1!$A$2:$J$494,8,0)</f>
        <v>ayactec.paipa@gmail.com</v>
      </c>
      <c r="D24" s="4">
        <f>VLOOKUP(A24,[1]Hoja1!$A$2:$J$494,7,0)</f>
        <v>3103253153</v>
      </c>
      <c r="E24" s="4" t="str">
        <f>VLOOKUP(A24,[1]Hoja1!$A$2:$J$494,6,0)</f>
        <v>CL 24 19 61</v>
      </c>
      <c r="F24" s="4" t="s">
        <v>733</v>
      </c>
      <c r="G24" s="4">
        <v>219</v>
      </c>
      <c r="H24" s="4">
        <v>400000</v>
      </c>
      <c r="I24" s="4">
        <v>3200</v>
      </c>
      <c r="J24" s="4">
        <v>0</v>
      </c>
    </row>
    <row r="25" spans="1:10" ht="15.75" customHeight="1" x14ac:dyDescent="0.25">
      <c r="A25" s="4">
        <v>741303359</v>
      </c>
      <c r="B25" s="4" t="s">
        <v>2268</v>
      </c>
      <c r="C25" s="4" t="s">
        <v>2295</v>
      </c>
      <c r="D25" s="4">
        <v>3112589647</v>
      </c>
      <c r="E25" s="4" t="s">
        <v>2296</v>
      </c>
      <c r="F25" s="4" t="s">
        <v>733</v>
      </c>
      <c r="G25" s="4">
        <v>211</v>
      </c>
      <c r="H25" s="4">
        <v>24625</v>
      </c>
      <c r="I25" s="4">
        <v>197</v>
      </c>
      <c r="J25" s="4">
        <v>0</v>
      </c>
    </row>
    <row r="26" spans="1:10" ht="15.75" customHeight="1" x14ac:dyDescent="0.25">
      <c r="A26" s="4">
        <v>900031780</v>
      </c>
      <c r="B26" s="4" t="s">
        <v>2269</v>
      </c>
      <c r="C26" s="4" t="str">
        <f>VLOOKUP(A26,[1]Hoja1!$A$2:$J$494,8,0)</f>
        <v>symfacturacion@hotmail.com</v>
      </c>
      <c r="D26" s="4">
        <f>VLOOKUP(A26,[1]Hoja1!$A$2:$J$494,7,0)</f>
        <v>3105518809</v>
      </c>
      <c r="E26" s="4" t="str">
        <f>VLOOKUP(A26,[1]Hoja1!$A$2:$J$494,6,0)</f>
        <v>AV los libertadores 22 77</v>
      </c>
      <c r="F26" s="4" t="s">
        <v>733</v>
      </c>
      <c r="G26" s="4">
        <v>211</v>
      </c>
      <c r="H26" s="4">
        <v>20742625</v>
      </c>
      <c r="I26" s="4">
        <v>165941</v>
      </c>
      <c r="J26" s="4">
        <v>0</v>
      </c>
    </row>
    <row r="27" spans="1:10" ht="15.75" customHeight="1" x14ac:dyDescent="0.25">
      <c r="A27" s="4">
        <v>900297127</v>
      </c>
      <c r="B27" s="4" t="s">
        <v>2270</v>
      </c>
      <c r="C27" s="4" t="str">
        <f>VLOOKUP(A27,[1]Hoja1!$A$2:$J$494,8,0)</f>
        <v>COMERCIALIZADORABOYACENCE@GMAIL.COM</v>
      </c>
      <c r="D27" s="4">
        <f>VLOOKUP(A27,[1]Hoja1!$A$2:$J$494,7,0)</f>
        <v>3132833202</v>
      </c>
      <c r="E27" s="4" t="str">
        <f>VLOOKUP(A27,[1]Hoja1!$A$2:$J$494,6,0)</f>
        <v>TV 24 27 A 31</v>
      </c>
      <c r="F27" s="4" t="s">
        <v>733</v>
      </c>
      <c r="G27" s="4">
        <v>201</v>
      </c>
      <c r="H27" s="4">
        <v>10349500</v>
      </c>
      <c r="I27" s="4">
        <v>41398</v>
      </c>
      <c r="J27" s="4">
        <v>0</v>
      </c>
    </row>
    <row r="28" spans="1:10" ht="15.75" customHeight="1" x14ac:dyDescent="0.25">
      <c r="A28" s="4">
        <v>900448328</v>
      </c>
      <c r="B28" s="4" t="s">
        <v>2271</v>
      </c>
      <c r="C28" s="4" t="str">
        <f>VLOOKUP(A28,[1]Hoja1!$A$2:$J$494,8,0)</f>
        <v>NACIONALDETORNILLOS@GMAIL.COM</v>
      </c>
      <c r="D28" s="4">
        <v>3205693123</v>
      </c>
      <c r="E28" s="4" t="s">
        <v>2297</v>
      </c>
      <c r="F28" s="4" t="s">
        <v>733</v>
      </c>
      <c r="G28" s="4">
        <v>211</v>
      </c>
      <c r="H28" s="4">
        <v>108000</v>
      </c>
      <c r="I28" s="4">
        <v>864</v>
      </c>
      <c r="J28" s="4">
        <v>0</v>
      </c>
    </row>
    <row r="29" spans="1:10" ht="15.75" customHeight="1" x14ac:dyDescent="0.25">
      <c r="A29" s="4">
        <v>901062604</v>
      </c>
      <c r="B29" s="4" t="s">
        <v>2272</v>
      </c>
      <c r="C29" s="4" t="str">
        <f>VLOOKUP(A29,[1]Hoja1!$A$2:$J$494,8,0)</f>
        <v>contactenos@distriagrossas.com</v>
      </c>
      <c r="D29" s="4">
        <v>3136587490</v>
      </c>
      <c r="E29" s="4" t="str">
        <f>VLOOKUP(A29,[1]Hoja1!$A$2:$J$494,6,0)</f>
        <v>Cra 24 No. 24 – 44</v>
      </c>
      <c r="F29" s="4" t="s">
        <v>733</v>
      </c>
      <c r="G29" s="4">
        <v>219</v>
      </c>
      <c r="H29" s="4">
        <v>499250</v>
      </c>
      <c r="I29" s="4">
        <v>1997</v>
      </c>
      <c r="J29" s="4">
        <v>0</v>
      </c>
    </row>
    <row r="30" spans="1:10" ht="15.75" customHeight="1" x14ac:dyDescent="0.25">
      <c r="A30" s="4">
        <v>901324009</v>
      </c>
      <c r="B30" s="4" t="s">
        <v>2273</v>
      </c>
      <c r="C30" s="4" t="str">
        <f>VLOOKUP(A30,[1]Hoja1!$A$2:$J$494,8,0)</f>
        <v>inversionesj2sas@gmail.com</v>
      </c>
      <c r="D30" s="4">
        <v>3203698750</v>
      </c>
      <c r="E30" s="4" t="str">
        <f>VLOOKUP(A30,[1]Hoja1!$A$2:$J$494,6,0)</f>
        <v>AV LIBERTADOPRES 22-08 LOCAL 1</v>
      </c>
      <c r="F30" s="4" t="s">
        <v>733</v>
      </c>
      <c r="G30" s="4">
        <v>219</v>
      </c>
      <c r="H30" s="4">
        <v>60000</v>
      </c>
      <c r="I30" s="4">
        <v>480</v>
      </c>
      <c r="J30" s="4">
        <v>0</v>
      </c>
    </row>
    <row r="31" spans="1:10" ht="15.75" customHeight="1" x14ac:dyDescent="0.25">
      <c r="A31" s="4">
        <v>901395372</v>
      </c>
      <c r="B31" s="4" t="s">
        <v>2274</v>
      </c>
      <c r="C31" s="4" t="str">
        <f>VLOOKUP(A31,[1]Hoja1!$A$2:$J$494,8,0)</f>
        <v>distribuidorabadiz@gmail.com</v>
      </c>
      <c r="D31" s="4">
        <f>VLOOKUP(A31,[1]Hoja1!$A$2:$J$494,7,0)</f>
        <v>3204128873</v>
      </c>
      <c r="E31" s="4" t="str">
        <f>VLOOKUP(A31,[1]Hoja1!$A$2:$J$494,6,0)</f>
        <v>CALLE 25 # 19-75</v>
      </c>
      <c r="F31" s="4" t="s">
        <v>733</v>
      </c>
      <c r="G31" s="4">
        <v>219</v>
      </c>
      <c r="H31" s="4">
        <v>3204625</v>
      </c>
      <c r="I31" s="4">
        <v>25637</v>
      </c>
      <c r="J31" s="4">
        <v>0</v>
      </c>
    </row>
    <row r="32" spans="1:10" ht="15.75" customHeight="1" x14ac:dyDescent="0.25">
      <c r="A32" s="4">
        <v>901553229</v>
      </c>
      <c r="B32" s="4" t="s">
        <v>2275</v>
      </c>
      <c r="C32" s="4" t="str">
        <f>VLOOKUP(A32,[1]Hoja1!$A$2:$J$494,8,0)</f>
        <v>surtielectricosrvs.a.s@gmail.com</v>
      </c>
      <c r="D32" s="4">
        <f>VLOOKUP(A32,[1]Hoja1!$A$2:$J$494,7,0)</f>
        <v>3115071069</v>
      </c>
      <c r="E32" s="4" t="str">
        <f>VLOOKUP(A32,[1]Hoja1!$A$2:$J$494,6,0)</f>
        <v>calle 22 # 26-22</v>
      </c>
      <c r="F32" s="4" t="s">
        <v>733</v>
      </c>
      <c r="G32" s="4">
        <v>211</v>
      </c>
      <c r="H32" s="4">
        <v>181500</v>
      </c>
      <c r="I32" s="4">
        <v>1452</v>
      </c>
      <c r="J32" s="4">
        <v>0</v>
      </c>
    </row>
    <row r="33" spans="1:10" ht="15.75" customHeight="1" x14ac:dyDescent="0.25">
      <c r="A33" s="4">
        <v>1023930660</v>
      </c>
      <c r="B33" s="4" t="s">
        <v>2276</v>
      </c>
      <c r="C33" s="4" t="str">
        <f>VLOOKUP(A33,[1]Hoja1!$A$2:$J$494,8,0)</f>
        <v>mayra4080@gmail.com</v>
      </c>
      <c r="D33" s="4">
        <f>VLOOKUP(A33,[1]Hoja1!$A$2:$J$494,7,0)</f>
        <v>3143533975</v>
      </c>
      <c r="E33" s="4" t="str">
        <f>VLOOKUP(A33,[1]Hoja1!$A$2:$J$494,6,0)</f>
        <v>calle 24 # 19-60</v>
      </c>
      <c r="F33" s="4" t="s">
        <v>733</v>
      </c>
      <c r="G33" s="4">
        <v>219</v>
      </c>
      <c r="H33" s="4">
        <v>1440000</v>
      </c>
      <c r="I33" s="4">
        <v>11520</v>
      </c>
      <c r="J33" s="4">
        <v>0</v>
      </c>
    </row>
    <row r="34" spans="1:10" ht="15.75" customHeight="1" x14ac:dyDescent="0.25">
      <c r="A34" s="4">
        <v>1049603675</v>
      </c>
      <c r="B34" s="4" t="s">
        <v>2277</v>
      </c>
      <c r="C34" s="4" t="str">
        <f>VLOOKUP(A34,[1]Hoja1!$A$2:$J$494,8,0)</f>
        <v>panaderiapeter@ventas.com</v>
      </c>
      <c r="D34" s="4">
        <f>VLOOKUP(A34,[1]Hoja1!$A$2:$J$494,7,0)</f>
        <v>3113286182</v>
      </c>
      <c r="E34" s="4" t="str">
        <f>VLOOKUP(A34,[1]Hoja1!$A$2:$J$494,6,0)</f>
        <v>KR 19  # 26 -45</v>
      </c>
      <c r="F34" s="4" t="s">
        <v>733</v>
      </c>
      <c r="G34" s="4">
        <v>219</v>
      </c>
      <c r="H34" s="4">
        <v>1373500</v>
      </c>
      <c r="I34" s="4">
        <v>5494</v>
      </c>
      <c r="J34" s="4">
        <v>0</v>
      </c>
    </row>
    <row r="35" spans="1:10" ht="15.75" customHeight="1" x14ac:dyDescent="0.25">
      <c r="A35" s="4">
        <v>1052386915</v>
      </c>
      <c r="B35" s="4" t="s">
        <v>2278</v>
      </c>
      <c r="C35" s="4" t="str">
        <f>VLOOKUP(A35,[1]Hoja1!$A$2:$J$494,8,0)</f>
        <v>facturagranamazonia@gmai.co</v>
      </c>
      <c r="D35" s="4">
        <v>3159876321</v>
      </c>
      <c r="E35" s="4" t="str">
        <f>VLOOKUP(A35,[1]Hoja1!$A$2:$J$494,6,0)</f>
        <v>crr 22 # 23-60</v>
      </c>
      <c r="F35" s="4" t="s">
        <v>733</v>
      </c>
      <c r="G35" s="4">
        <v>219</v>
      </c>
      <c r="H35" s="4">
        <v>707125</v>
      </c>
      <c r="I35" s="4">
        <v>5657</v>
      </c>
      <c r="J35" s="4">
        <v>0</v>
      </c>
    </row>
    <row r="36" spans="1:10" ht="15.75" customHeight="1" x14ac:dyDescent="0.25">
      <c r="A36" s="4">
        <v>1052388252</v>
      </c>
      <c r="B36" s="4" t="s">
        <v>2279</v>
      </c>
      <c r="C36" s="4" t="str">
        <f>VLOOKUP(A36,[1]Hoja1!$A$2:$J$494,8,0)</f>
        <v>jorge.galindo015@gmail.com</v>
      </c>
      <c r="D36" s="4">
        <v>3205897430</v>
      </c>
      <c r="E36" s="4" t="str">
        <f>VLOOKUP(A36,[1]Hoja1!$A$2:$J$494,6,0)</f>
        <v>CARRERA 19 # 23-43</v>
      </c>
      <c r="F36" s="4" t="s">
        <v>733</v>
      </c>
      <c r="G36" s="4">
        <v>219</v>
      </c>
      <c r="H36" s="4">
        <v>614125</v>
      </c>
      <c r="I36" s="4">
        <v>4913</v>
      </c>
      <c r="J36" s="4">
        <v>0</v>
      </c>
    </row>
    <row r="37" spans="1:10" ht="15.75" customHeight="1" x14ac:dyDescent="0.25">
      <c r="A37" s="4">
        <v>1053604832</v>
      </c>
      <c r="B37" s="4" t="s">
        <v>2280</v>
      </c>
      <c r="C37" s="4" t="str">
        <f>VLOOKUP(A37,[1]Hoja1!$A$2:$J$494,8,0)</f>
        <v>JUCAOMO17@HOTMAIL.COM</v>
      </c>
      <c r="D37" s="4">
        <v>3135876321</v>
      </c>
      <c r="E37" s="4" t="str">
        <f>VLOOKUP(A37,[1]Hoja1!$A$2:$J$494,6,0)</f>
        <v>CL 24 17 48</v>
      </c>
      <c r="F37" s="4" t="s">
        <v>733</v>
      </c>
      <c r="G37" s="4">
        <v>301</v>
      </c>
      <c r="H37" s="4">
        <v>962500</v>
      </c>
      <c r="I37" s="4">
        <v>7700</v>
      </c>
      <c r="J37" s="4">
        <v>0</v>
      </c>
    </row>
    <row r="38" spans="1:10" ht="15.75" customHeight="1" x14ac:dyDescent="0.25">
      <c r="A38" s="4">
        <v>1053605503</v>
      </c>
      <c r="B38" s="4" t="s">
        <v>2281</v>
      </c>
      <c r="C38" s="4" t="str">
        <f>VLOOKUP(A38,[1]Hoja1!$A$2:$J$494,8,0)</f>
        <v>ferreelectricosjmpaipa@gmail.com</v>
      </c>
      <c r="D38" s="4">
        <v>3205789631</v>
      </c>
      <c r="E38" s="4" t="str">
        <f>VLOOKUP(A38,[1]Hoja1!$A$2:$J$494,6,0)</f>
        <v>CALLEN 22 # 24-33</v>
      </c>
      <c r="F38" s="4" t="s">
        <v>733</v>
      </c>
      <c r="G38" s="4">
        <v>219</v>
      </c>
      <c r="H38" s="4">
        <v>29000</v>
      </c>
      <c r="I38" s="4">
        <v>232</v>
      </c>
      <c r="J38" s="4">
        <v>0</v>
      </c>
    </row>
    <row r="39" spans="1:10" ht="15.75" customHeight="1" x14ac:dyDescent="0.25">
      <c r="A39" s="4">
        <v>1053605978</v>
      </c>
      <c r="B39" s="4" t="s">
        <v>2282</v>
      </c>
      <c r="C39" s="4" t="str">
        <f>VLOOKUP(A39,[1]Hoja1!$A$2:$J$494,8,0)</f>
        <v>cabañassancayetanohmail.com</v>
      </c>
      <c r="D39" s="4">
        <v>3152856478</v>
      </c>
      <c r="E39" s="4" t="s">
        <v>2298</v>
      </c>
      <c r="F39" s="4" t="s">
        <v>733</v>
      </c>
      <c r="G39" s="4">
        <v>219</v>
      </c>
      <c r="H39" s="4">
        <v>450000</v>
      </c>
      <c r="I39" s="4">
        <v>4500</v>
      </c>
      <c r="J39" s="4">
        <v>0</v>
      </c>
    </row>
    <row r="40" spans="1:10" ht="15.75" customHeight="1" x14ac:dyDescent="0.25">
      <c r="A40" s="4">
        <v>1053606603</v>
      </c>
      <c r="B40" s="4" t="s">
        <v>2283</v>
      </c>
      <c r="C40" s="4" t="str">
        <f>VLOOKUP(A40,[1]Hoja1!$A$2:$J$494,8,0)</f>
        <v>nancygutierres293@gmail.com</v>
      </c>
      <c r="D40" s="4">
        <v>3135896300</v>
      </c>
      <c r="E40" s="4" t="str">
        <f>VLOOKUP(A40,[1]Hoja1!$A$2:$J$494,6,0)</f>
        <v>CALLE 22 # 22-55</v>
      </c>
      <c r="F40" s="4" t="s">
        <v>733</v>
      </c>
      <c r="G40" s="4">
        <v>219</v>
      </c>
      <c r="H40" s="4">
        <v>397750</v>
      </c>
      <c r="I40" s="4">
        <v>1591</v>
      </c>
      <c r="J40" s="4">
        <v>0</v>
      </c>
    </row>
    <row r="41" spans="1:10" ht="15.75" customHeight="1" x14ac:dyDescent="0.25">
      <c r="A41" s="4">
        <v>1053606717</v>
      </c>
      <c r="B41" s="4" t="s">
        <v>2284</v>
      </c>
      <c r="C41" s="4" t="str">
        <f>VLOOKUP(A41,[1]Hoja1!$A$2:$J$494,8,0)</f>
        <v>ALBEIRCAMA@GMAIL.COM</v>
      </c>
      <c r="D41" s="4">
        <v>3133057099</v>
      </c>
      <c r="E41" s="4" t="str">
        <f>VLOOKUP(A41,[1]Hoja1!$A$2:$J$494,6,0)</f>
        <v>cr 18 20 04 BARRIO LAS QUINTAS</v>
      </c>
      <c r="F41" s="4" t="s">
        <v>733</v>
      </c>
      <c r="G41" s="4">
        <v>219</v>
      </c>
      <c r="H41" s="4">
        <v>3255000</v>
      </c>
      <c r="I41" s="4">
        <v>26040</v>
      </c>
      <c r="J41" s="4">
        <v>0</v>
      </c>
    </row>
    <row r="42" spans="1:10" ht="15.75" customHeight="1" x14ac:dyDescent="0.25">
      <c r="A42" s="4">
        <v>1053606869</v>
      </c>
      <c r="B42" s="4" t="s">
        <v>2285</v>
      </c>
      <c r="C42" s="4" t="str">
        <f>VLOOKUP(A42,[1]Hoja1!$A$2:$J$494,8,0)</f>
        <v>eberbautista@gmail.com</v>
      </c>
      <c r="D42" s="4">
        <v>3205479633</v>
      </c>
      <c r="E42" s="4" t="str">
        <f>VLOOKUP(A42,[1]Hoja1!$A$2:$J$494,6,0)</f>
        <v>CALLE 26 # 21-54</v>
      </c>
      <c r="F42" s="4" t="s">
        <v>733</v>
      </c>
      <c r="G42" s="4">
        <v>303</v>
      </c>
      <c r="H42" s="4">
        <v>48125</v>
      </c>
      <c r="I42" s="4">
        <v>385</v>
      </c>
      <c r="J42" s="4">
        <v>0</v>
      </c>
    </row>
    <row r="43" spans="1:10" ht="15.75" customHeight="1" x14ac:dyDescent="0.25">
      <c r="A43" s="4">
        <v>1053610394</v>
      </c>
      <c r="B43" s="4" t="s">
        <v>2286</v>
      </c>
      <c r="C43" s="4" t="str">
        <f>VLOOKUP(A43,[1]Hoja1!$A$2:$J$494,8,0)</f>
        <v>JJAZ2993@GMAIL.COM</v>
      </c>
      <c r="D43" s="4">
        <v>3158779658</v>
      </c>
      <c r="E43" s="4" t="str">
        <f>VLOOKUP(A43,[1]Hoja1!$A$2:$J$494,6,0)</f>
        <v>CL 24 24 64</v>
      </c>
      <c r="F43" s="4" t="s">
        <v>733</v>
      </c>
      <c r="G43" s="4">
        <v>219</v>
      </c>
      <c r="H43" s="4">
        <v>70000</v>
      </c>
      <c r="I43" s="4">
        <v>560</v>
      </c>
      <c r="J43" s="4">
        <v>0</v>
      </c>
    </row>
    <row r="44" spans="1:10" ht="15" customHeight="1" x14ac:dyDescent="0.25">
      <c r="A44">
        <v>1053612408</v>
      </c>
      <c r="B44" t="s">
        <v>2287</v>
      </c>
      <c r="C44" t="str">
        <f>VLOOKUP(A44,[1]Hoja1!$A$2:$J$494,8,0)</f>
        <v>CONTABILIDADCANTERASANJOSE@GMAIL.COM</v>
      </c>
      <c r="D44">
        <v>3132589634</v>
      </c>
      <c r="E44" t="str">
        <f>VLOOKUP(A44,[1]Hoja1!$A$2:$J$494,6,0)</f>
        <v>VDA SATIVA SEC PIEBLANCO</v>
      </c>
      <c r="F44" t="s">
        <v>733</v>
      </c>
      <c r="G44">
        <v>301</v>
      </c>
      <c r="H44">
        <v>4596375</v>
      </c>
      <c r="I44">
        <v>36771</v>
      </c>
      <c r="J44">
        <v>0</v>
      </c>
    </row>
    <row r="45" spans="1:10" ht="15" customHeight="1" x14ac:dyDescent="0.25">
      <c r="A45">
        <v>1053613555</v>
      </c>
      <c r="B45" t="s">
        <v>2288</v>
      </c>
      <c r="C45" t="str">
        <f>VLOOKUP(A45,[1]Hoja1!$A$2:$J$494,8,0)</f>
        <v>FEL.FERREFARFAN@OUTLOOK.COM</v>
      </c>
      <c r="D45">
        <v>3135478336</v>
      </c>
      <c r="E45" t="str">
        <f>VLOOKUP(A45,[1]Hoja1!$A$2:$J$494,6,0)</f>
        <v>CR17 A 23 A 89 BRR LAS QUINTAS</v>
      </c>
      <c r="F45" t="s">
        <v>733</v>
      </c>
      <c r="G45">
        <v>219</v>
      </c>
      <c r="H45">
        <v>10000</v>
      </c>
      <c r="I45">
        <v>40</v>
      </c>
      <c r="J45">
        <v>0</v>
      </c>
    </row>
    <row r="46" spans="1:10" ht="15" customHeight="1" x14ac:dyDescent="0.25">
      <c r="A46">
        <v>1053613935</v>
      </c>
      <c r="B46" t="s">
        <v>2289</v>
      </c>
      <c r="C46" t="str">
        <f>VLOOKUP(A46,[1]Hoja1!$A$2:$J$494,8,0)</f>
        <v>joseedilbertorondon@gmail.com</v>
      </c>
      <c r="D46">
        <f>VLOOKUP(A46,[1]Hoja1!$A$2:$J$494,7,0)</f>
        <v>3125105666</v>
      </c>
      <c r="E46" t="str">
        <f>VLOOKUP(A46,[1]Hoja1!$A$2:$J$494,6,0)</f>
        <v>CALLE 23 #B 22 - 59</v>
      </c>
      <c r="F46" t="s">
        <v>733</v>
      </c>
      <c r="G46">
        <v>219</v>
      </c>
      <c r="H46">
        <v>769125</v>
      </c>
      <c r="I46">
        <v>6153</v>
      </c>
      <c r="J46">
        <v>0</v>
      </c>
    </row>
    <row r="47" spans="1:10" ht="15" customHeight="1" x14ac:dyDescent="0.25">
      <c r="A47">
        <v>1053614862</v>
      </c>
      <c r="B47" t="s">
        <v>2290</v>
      </c>
      <c r="C47" t="str">
        <f>VLOOKUP(A47,[1]Hoja1!$A$2:$J$494,8,0)</f>
        <v>AGREGADOSPAIPA@GMAIL.COM</v>
      </c>
      <c r="D47">
        <f>VLOOKUP(A47,[1]Hoja1!$A$2:$J$494,7,0)</f>
        <v>3204992532</v>
      </c>
      <c r="E47" t="str">
        <f>VLOOKUP(A47,[1]Hoja1!$A$2:$J$494,6,0)</f>
        <v>CR 19 28 152 BRR LIBERTADORES</v>
      </c>
      <c r="F47" t="s">
        <v>733</v>
      </c>
      <c r="G47">
        <v>219</v>
      </c>
      <c r="H47">
        <v>35250</v>
      </c>
      <c r="I47">
        <v>282</v>
      </c>
      <c r="J47">
        <v>0</v>
      </c>
    </row>
    <row r="48" spans="1:10" ht="15" customHeight="1" x14ac:dyDescent="0.25">
      <c r="A48">
        <v>1053616911</v>
      </c>
      <c r="B48" t="s">
        <v>2291</v>
      </c>
      <c r="C48" t="str">
        <f>VLOOKUP(A48,[1]Hoja1!$A$2:$J$494,8,0)</f>
        <v>stihlintegralcompany@gmail.com</v>
      </c>
      <c r="D48">
        <f>VLOOKUP(A48,[1]Hoja1!$A$2:$J$494,7,0)</f>
        <v>3104595077</v>
      </c>
      <c r="E48" t="str">
        <f>VLOOKUP(A48,[1]Hoja1!$A$2:$J$494,6,0)</f>
        <v>CR 23A 22 35</v>
      </c>
      <c r="F48" t="s">
        <v>733</v>
      </c>
      <c r="G48">
        <v>219</v>
      </c>
      <c r="H48">
        <v>148750</v>
      </c>
      <c r="I48">
        <v>1190</v>
      </c>
      <c r="J48">
        <v>0</v>
      </c>
    </row>
    <row r="49" spans="1:10" ht="15" customHeight="1" x14ac:dyDescent="0.25">
      <c r="A49">
        <v>1055315334</v>
      </c>
      <c r="B49" t="s">
        <v>2292</v>
      </c>
      <c r="C49" t="str">
        <f>VLOOKUP(A49,[1]Hoja1!$A$2:$J$494,8,0)</f>
        <v>NELACOSCSJ@GMAIL.COM</v>
      </c>
      <c r="D49">
        <v>3156779861</v>
      </c>
      <c r="E49" t="str">
        <f>VLOOKUP(A49,[1]Hoja1!$A$2:$J$494,6,0)</f>
        <v>TV 24 29 05 BRR LANCEROS</v>
      </c>
      <c r="F49" t="s">
        <v>733</v>
      </c>
      <c r="G49">
        <v>326</v>
      </c>
      <c r="H49">
        <v>997500</v>
      </c>
      <c r="I49">
        <v>7980</v>
      </c>
      <c r="J49">
        <v>0</v>
      </c>
    </row>
    <row r="50" spans="1:10" ht="15" customHeight="1" x14ac:dyDescent="0.25">
      <c r="A50">
        <v>1118573057</v>
      </c>
      <c r="B50" t="s">
        <v>2293</v>
      </c>
      <c r="C50" t="str">
        <f>VLOOKUP(A50,[1]Hoja1!$A$2:$J$494,8,0)</f>
        <v>papeleriacervantes@gmail.com</v>
      </c>
      <c r="D50">
        <v>3205889634</v>
      </c>
      <c r="E50" t="str">
        <f>VLOOKUP(A50,[1]Hoja1!$A$2:$J$494,6,0)</f>
        <v>calle 23 # 19-52 local</v>
      </c>
      <c r="F50" t="s">
        <v>733</v>
      </c>
      <c r="G50">
        <v>219</v>
      </c>
      <c r="H50">
        <v>107000</v>
      </c>
      <c r="I50">
        <v>428</v>
      </c>
      <c r="J50">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6" zoomScale="80" zoomScaleNormal="80" workbookViewId="0">
      <selection activeCell="A33" sqref="A33"/>
    </sheetView>
  </sheetViews>
  <sheetFormatPr baseColWidth="10" defaultColWidth="14.42578125" defaultRowHeight="15" customHeight="1" x14ac:dyDescent="0.25"/>
  <cols>
    <col min="1" max="1" width="11.5703125" customWidth="1"/>
    <col min="2" max="2" width="214.5703125"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A329" sqref="A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customHeight="1" x14ac:dyDescent="0.25">
      <c r="A329" s="10" t="s">
        <v>733</v>
      </c>
      <c r="B329" s="10"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1">
      <filters>
        <filter val="PAIP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bertulfo rojas</cp:lastModifiedBy>
  <cp:lastPrinted>2026-03-30T17:32:14Z</cp:lastPrinted>
  <dcterms:created xsi:type="dcterms:W3CDTF">2015-06-05T18:19:34Z</dcterms:created>
  <dcterms:modified xsi:type="dcterms:W3CDTF">2026-06-30T21:33:41Z</dcterms:modified>
</cp:coreProperties>
</file>