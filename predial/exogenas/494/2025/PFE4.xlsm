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defaultThemeVersion="202300"/>
  <mc:AlternateContent xmlns:mc="http://schemas.openxmlformats.org/markup-compatibility/2006">
    <mc:Choice Requires="x15">
      <x15ac:absPath xmlns:x15ac="http://schemas.microsoft.com/office/spreadsheetml/2010/11/ac" url="\\srvswcont\MUNICIPIOS\COLSEIN 2025\IMPUESTOS NACIONALES\ICA\PAIPA (Nuevo)\EXÓGENA\"/>
    </mc:Choice>
  </mc:AlternateContent>
  <xr:revisionPtr revIDLastSave="0" documentId="8_{735923EC-ADF6-4B0F-A62A-FA439BCDD3E1}"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externalReferences>
    <externalReference r:id="rId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7" i="1" l="1"/>
  <c r="C596" i="1"/>
  <c r="C595" i="1"/>
  <c r="C594" i="1"/>
  <c r="C591" i="1"/>
  <c r="C590" i="1"/>
  <c r="C585" i="1"/>
  <c r="C583" i="1"/>
  <c r="C581" i="1"/>
  <c r="C576" i="1"/>
  <c r="C572" i="1"/>
  <c r="C571" i="1"/>
  <c r="C566" i="1"/>
  <c r="C561" i="1"/>
  <c r="C558" i="1"/>
  <c r="C557" i="1"/>
  <c r="C555" i="1"/>
  <c r="C546" i="1"/>
  <c r="C544" i="1"/>
  <c r="C543" i="1"/>
  <c r="C541" i="1"/>
  <c r="C540" i="1"/>
  <c r="C532" i="1"/>
  <c r="C527" i="1"/>
  <c r="C524" i="1"/>
  <c r="C523" i="1"/>
  <c r="C522" i="1"/>
  <c r="C521" i="1"/>
  <c r="C519" i="1"/>
  <c r="C518" i="1"/>
  <c r="C517" i="1"/>
  <c r="C516" i="1"/>
  <c r="C514" i="1"/>
  <c r="C511" i="1"/>
  <c r="C510" i="1"/>
  <c r="C509" i="1"/>
  <c r="C503" i="1"/>
  <c r="C501" i="1"/>
  <c r="C498" i="1"/>
  <c r="C494" i="1"/>
  <c r="C492" i="1"/>
  <c r="C489" i="1"/>
  <c r="C488" i="1"/>
  <c r="C487" i="1"/>
  <c r="C486" i="1"/>
  <c r="C482" i="1"/>
  <c r="C474" i="1"/>
  <c r="C470" i="1"/>
  <c r="C468" i="1"/>
  <c r="C463" i="1"/>
  <c r="C462" i="1"/>
  <c r="C461" i="1"/>
  <c r="C459" i="1"/>
  <c r="C456" i="1"/>
  <c r="C453" i="1"/>
  <c r="C450" i="1"/>
  <c r="C442" i="1"/>
  <c r="C441" i="1"/>
  <c r="C440" i="1"/>
  <c r="C437" i="1"/>
  <c r="C434" i="1"/>
  <c r="C431" i="1"/>
  <c r="C430" i="1"/>
  <c r="C425" i="1"/>
  <c r="C423" i="1"/>
  <c r="C420" i="1"/>
  <c r="C416" i="1"/>
  <c r="C415" i="1"/>
  <c r="C414" i="1"/>
  <c r="C413" i="1"/>
  <c r="C411" i="1"/>
  <c r="C409" i="1"/>
  <c r="C403" i="1"/>
  <c r="C402" i="1"/>
  <c r="C397" i="1"/>
  <c r="C396" i="1"/>
  <c r="C395" i="1"/>
  <c r="C394" i="1"/>
  <c r="C392" i="1"/>
  <c r="C387" i="1"/>
  <c r="C385" i="1"/>
  <c r="C381" i="1"/>
  <c r="C378" i="1"/>
  <c r="C377" i="1"/>
  <c r="C373" i="1"/>
  <c r="C369" i="1"/>
  <c r="C367" i="1"/>
  <c r="C363" i="1"/>
  <c r="C359" i="1"/>
  <c r="C357" i="1"/>
  <c r="C355" i="1"/>
  <c r="C353" i="1"/>
  <c r="C352" i="1"/>
  <c r="C346" i="1"/>
  <c r="C343" i="1"/>
  <c r="C339" i="1"/>
  <c r="C334" i="1"/>
  <c r="C331" i="1"/>
  <c r="C327" i="1"/>
  <c r="C322" i="1"/>
  <c r="C321" i="1"/>
  <c r="C320" i="1"/>
  <c r="C317" i="1"/>
  <c r="C313" i="1"/>
  <c r="C312" i="1"/>
  <c r="C310" i="1"/>
  <c r="C309" i="1"/>
  <c r="C308" i="1"/>
  <c r="C306" i="1"/>
  <c r="C305" i="1"/>
  <c r="C304" i="1"/>
  <c r="C300" i="1"/>
  <c r="C296" i="1"/>
  <c r="C294" i="1"/>
  <c r="C289" i="1"/>
  <c r="C288" i="1"/>
  <c r="C287" i="1"/>
  <c r="C281" i="1"/>
  <c r="C280" i="1"/>
  <c r="C279" i="1"/>
  <c r="C272" i="1"/>
  <c r="C269" i="1"/>
  <c r="C267" i="1"/>
  <c r="C266" i="1"/>
  <c r="C264" i="1"/>
  <c r="C261" i="1"/>
  <c r="C260" i="1"/>
  <c r="C256" i="1"/>
  <c r="C255" i="1"/>
  <c r="C253" i="1"/>
  <c r="C251" i="1"/>
  <c r="C250" i="1"/>
  <c r="C248" i="1"/>
  <c r="C247" i="1"/>
  <c r="C246" i="1"/>
  <c r="C242" i="1"/>
  <c r="C238" i="1"/>
  <c r="C237" i="1"/>
  <c r="C236" i="1"/>
  <c r="C235" i="1"/>
  <c r="C233" i="1"/>
  <c r="C228" i="1"/>
  <c r="C227" i="1"/>
  <c r="C226" i="1"/>
  <c r="C224" i="1"/>
  <c r="C223" i="1"/>
  <c r="C219" i="1"/>
  <c r="C218" i="1"/>
  <c r="C216" i="1"/>
  <c r="C214" i="1"/>
  <c r="C213" i="1"/>
  <c r="C211" i="1"/>
  <c r="C207" i="1"/>
  <c r="C206" i="1"/>
  <c r="C204" i="1"/>
  <c r="C198" i="1"/>
  <c r="C197" i="1"/>
  <c r="C196" i="1"/>
  <c r="C189" i="1"/>
  <c r="C188" i="1"/>
  <c r="C186" i="1"/>
  <c r="C185" i="1"/>
  <c r="C184" i="1"/>
  <c r="C183" i="1"/>
  <c r="C176" i="1"/>
  <c r="C175" i="1"/>
  <c r="C174" i="1"/>
  <c r="C172" i="1"/>
  <c r="C165" i="1"/>
  <c r="C164" i="1"/>
  <c r="C163" i="1"/>
  <c r="C161" i="1"/>
  <c r="C160" i="1"/>
  <c r="C159" i="1"/>
  <c r="C156" i="1"/>
  <c r="C155" i="1"/>
  <c r="C152" i="1"/>
  <c r="C150" i="1"/>
  <c r="C148" i="1"/>
  <c r="C147" i="1"/>
  <c r="C145" i="1"/>
  <c r="C144" i="1"/>
  <c r="C139" i="1"/>
  <c r="C138" i="1"/>
  <c r="C137" i="1"/>
  <c r="C135" i="1"/>
  <c r="C134" i="1"/>
  <c r="C133" i="1"/>
  <c r="C131" i="1"/>
  <c r="C130" i="1"/>
  <c r="C126" i="1"/>
  <c r="C121" i="1"/>
  <c r="C119" i="1"/>
  <c r="C118" i="1"/>
  <c r="C116" i="1"/>
  <c r="C115" i="1"/>
  <c r="C112" i="1"/>
  <c r="C111" i="1"/>
  <c r="C107" i="1"/>
  <c r="C103" i="1"/>
  <c r="C102" i="1"/>
  <c r="C100" i="1"/>
  <c r="C97" i="1"/>
  <c r="C96" i="1"/>
  <c r="C95" i="1"/>
  <c r="C94" i="1"/>
  <c r="C92" i="1"/>
  <c r="C90" i="1"/>
  <c r="C88" i="1"/>
  <c r="C86" i="1"/>
  <c r="C84" i="1"/>
  <c r="C82" i="1"/>
  <c r="C79" i="1"/>
  <c r="C73" i="1"/>
  <c r="C71" i="1"/>
  <c r="C69" i="1"/>
  <c r="C68" i="1"/>
  <c r="C63" i="1"/>
  <c r="C62" i="1"/>
  <c r="C61" i="1"/>
  <c r="C59" i="1"/>
  <c r="C58" i="1"/>
  <c r="C56" i="1"/>
  <c r="C54" i="1"/>
  <c r="C53" i="1"/>
  <c r="C51" i="1"/>
  <c r="C48" i="1"/>
  <c r="C46" i="1"/>
  <c r="C45" i="1"/>
  <c r="C42" i="1"/>
  <c r="C34" i="1"/>
  <c r="C33" i="1"/>
  <c r="C31" i="1"/>
  <c r="C30" i="1"/>
  <c r="C28" i="1"/>
  <c r="C25" i="1"/>
  <c r="C21" i="1"/>
  <c r="C20" i="1"/>
  <c r="C19" i="1"/>
  <c r="C18" i="1"/>
  <c r="C16" i="1"/>
  <c r="C15" i="1"/>
  <c r="C10" i="1"/>
  <c r="B597" i="1"/>
  <c r="B596" i="1"/>
  <c r="B595" i="1"/>
  <c r="B594" i="1"/>
  <c r="B593" i="1"/>
  <c r="B592" i="1"/>
  <c r="B591" i="1"/>
  <c r="B590" i="1"/>
  <c r="B589" i="1"/>
  <c r="B588" i="1"/>
  <c r="B587" i="1"/>
  <c r="B585" i="1"/>
  <c r="B584" i="1"/>
  <c r="B583" i="1"/>
  <c r="B582" i="1"/>
  <c r="B581" i="1"/>
  <c r="B580" i="1"/>
  <c r="B579" i="1"/>
  <c r="B578" i="1"/>
  <c r="B577" i="1"/>
  <c r="B576" i="1"/>
  <c r="B575" i="1"/>
  <c r="B574" i="1"/>
  <c r="B573" i="1"/>
  <c r="B572" i="1"/>
  <c r="B571" i="1"/>
  <c r="B570" i="1"/>
  <c r="B569" i="1"/>
  <c r="B568" i="1"/>
  <c r="B566" i="1"/>
  <c r="B565" i="1"/>
  <c r="B564" i="1"/>
  <c r="B563" i="1"/>
  <c r="B562" i="1"/>
  <c r="B561" i="1"/>
  <c r="B560" i="1"/>
  <c r="B559" i="1"/>
  <c r="B558" i="1"/>
  <c r="B557" i="1"/>
  <c r="B556" i="1"/>
  <c r="B555" i="1"/>
  <c r="B554" i="1"/>
  <c r="B553" i="1"/>
  <c r="B552" i="1"/>
  <c r="B551" i="1"/>
  <c r="B549" i="1"/>
  <c r="B548" i="1"/>
  <c r="B547" i="1"/>
  <c r="B546" i="1"/>
  <c r="B545" i="1"/>
  <c r="B544" i="1"/>
  <c r="B543" i="1"/>
  <c r="B542" i="1"/>
  <c r="B541" i="1"/>
  <c r="B540" i="1"/>
  <c r="B539" i="1"/>
  <c r="B537" i="1"/>
  <c r="B536" i="1"/>
  <c r="B535" i="1"/>
  <c r="B534" i="1"/>
  <c r="B533" i="1"/>
  <c r="B532" i="1"/>
  <c r="B531" i="1"/>
  <c r="B530"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<sst xmlns="http://schemas.openxmlformats.org/spreadsheetml/2006/main" count="4097" uniqueCount="3146">
  <si>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</si>
  <si>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</si>
  <si>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</si>
  <si>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</si>
  <si>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</si>
  <si>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</si>
  <si>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</si>
  <si>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</si>
  <si>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</si>
  <si>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</si>
  <si>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</si>
  <si>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</si>
  <si>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</si>
  <si>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</si>
  <si>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</si>
  <si>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</si>
  <si>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</si>
  <si>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</si>
  <si>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</si>
  <si>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</si>
  <si>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</si>
  <si>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</si>
  <si>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</si>
  <si>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</si>
  <si>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</si>
  <si>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</si>
  <si>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</si>
  <si>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</si>
  <si>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</si>
  <si>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</si>
  <si>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</si>
  <si>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</si>
  <si>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</si>
  <si>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</si>
  <si>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</si>
  <si>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</si>
  <si>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</si>
  <si>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</si>
  <si>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</si>
  <si>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</si>
  <si>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</si>
  <si>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</si>
  <si>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</si>
  <si>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</si>
  <si>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</si>
  <si>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</si>
  <si>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</si>
  <si>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</si>
  <si>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</si>
  <si>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</si>
  <si>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</si>
  <si>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</si>
  <si>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</si>
  <si>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</si>
  <si>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</si>
  <si>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</si>
  <si>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</si>
  <si>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</si>
  <si>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</si>
  <si>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</si>
  <si>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</si>
  <si>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</si>
  <si>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</si>
  <si>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</si>
  <si>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</si>
  <si>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</si>
  <si>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</si>
  <si>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</si>
  <si>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</si>
  <si>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</si>
  <si>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</si>
  <si>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</si>
  <si>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</si>
  <si>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</si>
  <si>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</si>
  <si>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</si>
  <si>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</si>
  <si>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</si>
  <si>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</si>
  <si>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</si>
  <si>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</si>
  <si>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</si>
  <si>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</si>
  <si>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</si>
  <si>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</si>
  <si>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</si>
  <si>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</si>
  <si>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</si>
  <si>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</si>
  <si>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</si>
  <si>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</si>
  <si>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</si>
  <si>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</si>
  <si>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</si>
  <si>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</si>
  <si>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</si>
  <si>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</si>
  <si>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</si>
  <si>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</si>
  <si>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</si>
  <si>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</si>
  <si>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</si>
  <si>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</si>
  <si>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</si>
  <si>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</si>
  <si>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</si>
  <si>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</si>
  <si>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</si>
  <si>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</si>
  <si>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</si>
  <si>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</si>
  <si>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</si>
  <si>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</si>
  <si>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</si>
  <si>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</si>
  <si>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</si>
  <si>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</si>
  <si>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</si>
  <si>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</si>
  <si>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</si>
  <si>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</si>
  <si>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</si>
  <si>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</si>
  <si>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</si>
  <si>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</si>
  <si>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</si>
  <si>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</si>
  <si>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</si>
  <si>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</si>
  <si>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</si>
  <si>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</si>
  <si>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</si>
  <si>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</si>
  <si>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</si>
  <si>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</si>
  <si>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</si>
  <si>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</si>
  <si>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</si>
  <si>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</si>
  <si>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</si>
  <si>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</si>
  <si>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</si>
  <si>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</si>
  <si>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</si>
  <si>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</si>
  <si>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</si>
  <si>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</si>
  <si>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</si>
  <si>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</si>
  <si>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</si>
  <si>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</si>
  <si>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</si>
  <si>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</si>
  <si>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</si>
  <si>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</si>
  <si>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</si>
  <si>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</si>
  <si>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</si>
  <si>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</si>
  <si>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</si>
  <si>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</si>
  <si>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</si>
  <si>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</si>
  <si>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</si>
  <si>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</si>
  <si>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</si>
  <si>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</si>
  <si>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</si>
  <si>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</si>
  <si>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</si>
  <si>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</si>
  <si>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</si>
  <si>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</si>
  <si>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</si>
  <si>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</si>
  <si>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</si>
  <si>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</si>
  <si>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</si>
  <si>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</si>
  <si>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</si>
  <si>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</si>
  <si>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</si>
  <si>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</si>
  <si>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</si>
  <si>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</si>
  <si>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</si>
  <si>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</si>
  <si>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</si>
  <si>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</si>
  <si>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</si>
  <si>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</si>
  <si>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</si>
  <si>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</si>
  <si>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</si>
  <si>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</si>
  <si>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</si>
  <si>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</si>
  <si>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</si>
  <si>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</si>
  <si>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</si>
  <si>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</si>
  <si>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</si>
  <si>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</si>
  <si>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</si>
  <si>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</si>
  <si>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</si>
  <si>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</si>
  <si>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</si>
  <si>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</si>
  <si>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</si>
  <si>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</si>
  <si>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</si>
  <si>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</si>
  <si>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</si>
  <si>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</si>
  <si>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</si>
  <si>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</si>
  <si>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</si>
  <si>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</si>
  <si>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</si>
  <si>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</si>
  <si>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</si>
  <si>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</si>
  <si>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</si>
  <si>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</si>
  <si>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</si>
  <si>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</si>
  <si>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</si>
  <si>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</si>
  <si>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</si>
  <si>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</si>
  <si>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</si>
  <si>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</si>
  <si>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</si>
  <si>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</si>
  <si>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</si>
  <si>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</si>
  <si>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</si>
  <si>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</si>
  <si>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</si>
  <si>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</si>
  <si>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</si>
  <si>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</si>
  <si>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</si>
  <si>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</si>
  <si>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</si>
  <si>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</si>
  <si>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</si>
  <si>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</si>
  <si>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</si>
  <si>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</si>
  <si>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</si>
  <si>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</si>
  <si>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</si>
  <si>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</si>
  <si>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</si>
  <si>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</si>
  <si>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</si>
  <si>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</si>
  <si>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</si>
  <si>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</si>
  <si>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</si>
  <si>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</si>
  <si>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</si>
  <si>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</si>
  <si>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</si>
  <si>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</si>
  <si>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</si>
  <si>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</si>
  <si>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</si>
  <si>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</si>
  <si>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</si>
  <si>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</si>
  <si>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</si>
  <si>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</si>
  <si>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</si>
  <si>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</si>
  <si>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</si>
  <si>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</si>
  <si>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</si>
  <si>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</si>
  <si>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</si>
  <si>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</si>
  <si>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</si>
  <si>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</si>
  <si>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</si>
  <si>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</si>
  <si>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</si>
  <si>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</si>
  <si>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</si>
  <si>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</si>
  <si>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</si>
  <si>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</si>
  <si>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</si>
  <si>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</si>
  <si>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</si>
  <si>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</si>
  <si>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</si>
  <si>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</si>
  <si>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</si>
  <si>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</si>
  <si>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</si>
  <si>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</si>
  <si>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</si>
  <si>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</si>
  <si>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</si>
  <si>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</si>
  <si>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</si>
  <si>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</si>
  <si>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</si>
  <si>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</si>
  <si>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</si>
  <si>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</si>
  <si>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</si>
  <si>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</si>
  <si>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</si>
  <si>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</si>
  <si>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</si>
  <si>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</si>
  <si>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</si>
  <si>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</si>
  <si>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</si>
  <si>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</si>
  <si>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</si>
  <si>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</si>
  <si>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</si>
  <si>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</si>
  <si>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</si>
  <si>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</si>
  <si>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</si>
  <si>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</si>
  <si>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</si>
  <si>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</si>
  <si>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</si>
  <si>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</si>
  <si>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</si>
  <si>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</si>
  <si>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</si>
  <si>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</si>
  <si>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</si>
  <si>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</si>
  <si>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</si>
  <si>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</si>
  <si>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</si>
  <si>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</si>
  <si>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</si>
  <si>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</si>
  <si>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</si>
  <si>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</si>
  <si>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</si>
  <si>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</si>
  <si>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</si>
  <si>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</si>
  <si>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</si>
  <si>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</si>
  <si>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</si>
  <si>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</si>
  <si>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</si>
  <si>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</si>
  <si>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</si>
  <si>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</si>
  <si>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</si>
  <si>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</si>
  <si>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</si>
  <si>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</si>
  <si>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</si>
  <si>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</si>
  <si>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</si>
  <si>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</si>
  <si>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</si>
  <si>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</si>
  <si>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</si>
  <si>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</si>
  <si>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</si>
  <si>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</si>
  <si>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</si>
  <si>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</si>
  <si>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</si>
  <si>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</si>
  <si>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</si>
  <si>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</si>
  <si>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</si>
  <si>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</si>
  <si>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</si>
  <si>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</si>
  <si>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</si>
  <si>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</si>
  <si>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</si>
  <si>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</si>
  <si>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</si>
  <si>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</si>
  <si>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</si>
  <si>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</si>
  <si>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</si>
  <si>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</si>
  <si>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</si>
  <si>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</si>
  <si>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</si>
  <si>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</si>
  <si>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</si>
  <si>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</si>
  <si>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</si>
  <si>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</si>
  <si>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</si>
  <si>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</si>
  <si>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</si>
  <si>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</si>
  <si>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</si>
  <si>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</si>
  <si>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</si>
  <si>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</si>
  <si>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</si>
  <si>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</si>
  <si>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</si>
  <si>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</si>
  <si>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</si>
  <si>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</si>
  <si>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</si>
  <si>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</si>
  <si>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</si>
  <si>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</si>
  <si>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</si>
  <si>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</si>
  <si>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</si>
  <si>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</si>
  <si>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</si>
  <si>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</si>
  <si>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</si>
  <si>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</si>
  <si>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</si>
  <si>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</si>
  <si>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</si>
  <si>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</si>
  <si>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</si>
  <si>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</si>
  <si>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</si>
  <si>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</si>
  <si>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</si>
  <si>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</si>
  <si>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</si>
  <si>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</si>
  <si>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</si>
  <si>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</si>
  <si>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</si>
  <si>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</si>
  <si>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</si>
  <si>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</si>
  <si>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</si>
  <si>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</si>
  <si>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</si>
  <si>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</si>
  <si>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</si>
  <si>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</si>
  <si>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</si>
  <si>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</si>
  <si>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</si>
  <si>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</si>
  <si>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</si>
  <si>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</si>
  <si>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</si>
  <si>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</si>
  <si>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</si>
  <si>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</si>
  <si>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</si>
  <si>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</si>
  <si>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</si>
  <si>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</si>
  <si>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</si>
  <si>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</si>
  <si>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</si>
  <si>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</si>
  <si>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</si>
  <si>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</si>
  <si>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</si>
  <si>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</si>
  <si>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</si>
  <si>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</si>
  <si>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</si>
  <si>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</si>
  <si>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</si>
  <si>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</si>
  <si>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</si>
  <si>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</si>
  <si>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</si>
  <si>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</si>
  <si>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</si>
  <si>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</si>
  <si>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</si>
  <si>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</si>
  <si>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</si>
  <si>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</si>
  <si>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</si>
  <si>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</si>
  <si>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</si>
  <si>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</si>
  <si>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</si>
  <si>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</si>
  <si>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</si>
  <si>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</si>
  <si>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</si>
  <si>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</si>
  <si>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</si>
  <si>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</si>
  <si>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</si>
  <si>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</si>
  <si>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</si>
  <si>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</si>
  <si>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</si>
  <si>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</si>
  <si>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</si>
  <si>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</si>
  <si>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</si>
  <si>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</si>
  <si>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</si>
  <si>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</si>
  <si>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</si>
  <si>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</si>
  <si>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</si>
  <si>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</si>
  <si>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</si>
  <si>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</si>
  <si>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</si>
  <si>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</si>
  <si>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</si>
  <si>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</si>
  <si>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</si>
  <si>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</si>
  <si>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</si>
  <si>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</si>
  <si>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</si>
  <si>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</si>
  <si>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</si>
  <si>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</si>
  <si>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</si>
  <si>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</si>
  <si>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</si>
  <si>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</si>
  <si>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</si>
  <si>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</si>
  <si>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</si>
  <si>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</si>
  <si>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</si>
  <si>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</si>
  <si>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</si>
  <si>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</si>
  <si>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</si>
  <si>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</si>
  <si>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</si>
  <si>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</si>
  <si>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</si>
  <si>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</si>
  <si>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</si>
  <si>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</si>
  <si>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</si>
  <si>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</si>
  <si>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</si>
  <si>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</si>
  <si>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</si>
  <si>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</si>
  <si>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</si>
  <si>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</si>
  <si>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</si>
  <si>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</si>
  <si>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</si>
  <si>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</si>
  <si>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</si>
  <si>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</si>
  <si>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</si>
  <si>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</si>
  <si>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</si>
  <si>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</si>
  <si>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</si>
  <si>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</si>
  <si>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</si>
  <si>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</si>
  <si>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</si>
  <si>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</si>
  <si>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</si>
  <si>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</si>
  <si>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</si>
  <si>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</si>
  <si>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</si>
  <si>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</si>
  <si>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</si>
  <si>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</si>
  <si>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</si>
  <si>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</si>
  <si>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</si>
  <si>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</si>
  <si>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</si>
  <si>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</si>
  <si>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</si>
  <si>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</si>
  <si>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</si>
  <si>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</si>
  <si>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</si>
  <si>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</si>
  <si>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</si>
  <si>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</si>
  <si>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</si>
  <si>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</si>
  <si>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</si>
  <si>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</si>
  <si>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</si>
  <si>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</si>
  <si>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</si>
  <si>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</si>
  <si>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</si>
  <si>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</si>
  <si>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</si>
  <si>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</si>
  <si>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</si>
  <si>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</si>
  <si>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</si>
  <si>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</si>
  <si>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</si>
  <si>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</si>
  <si>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</si>
  <si>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</si>
  <si>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</si>
  <si>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</si>
  <si>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</si>
  <si>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</si>
  <si>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</si>
  <si>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</si>
  <si>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</si>
  <si>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</si>
  <si>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</si>
  <si>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</si>
  <si>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</si>
  <si>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</si>
  <si>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</si>
  <si>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</si>
  <si>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</si>
  <si>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</si>
  <si>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</si>
  <si>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</si>
  <si>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</si>
  <si>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</si>
  <si>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</si>
  <si>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</si>
  <si>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</si>
  <si>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</si>
  <si>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</si>
  <si>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</si>
  <si>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</si>
  <si>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</si>
  <si>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</si>
  <si>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</si>
  <si>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</si>
  <si>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</si>
  <si>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</si>
  <si>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</si>
  <si>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</si>
  <si>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</si>
  <si>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</si>
  <si>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</si>
  <si>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</si>
  <si>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</si>
  <si>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</si>
  <si>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</si>
  <si>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</si>
  <si>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</si>
  <si>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</si>
  <si>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</si>
  <si>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</si>
  <si>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</si>
  <si>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</si>
  <si>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</si>
  <si>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</si>
  <si>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</si>
  <si>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</si>
  <si>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</si>
  <si>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</si>
  <si>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</si>
  <si>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</si>
  <si>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</si>
  <si>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</si>
  <si>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</si>
  <si>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</si>
  <si>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</si>
  <si>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</si>
  <si>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</si>
  <si>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</si>
  <si>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</si>
  <si>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</si>
  <si>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</si>
  <si>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</si>
  <si>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</si>
  <si>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</si>
  <si>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</si>
  <si>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</si>
  <si>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</si>
  <si>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</si>
  <si>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</si>
  <si>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</si>
  <si>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</si>
  <si>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</si>
  <si>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</si>
  <si>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</si>
  <si>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</si>
  <si>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</si>
  <si>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</si>
  <si>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</si>
  <si>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</si>
  <si>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</si>
  <si>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</si>
  <si>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</si>
  <si>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</si>
  <si>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</si>
  <si>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</si>
  <si>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</si>
  <si>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</si>
  <si>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</si>
  <si>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</si>
  <si>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</si>
  <si>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</si>
  <si>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</si>
  <si>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</si>
  <si>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</si>
  <si>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</si>
  <si>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</si>
  <si>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</si>
  <si>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</si>
  <si>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</si>
  <si>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</si>
  <si>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</si>
  <si>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</si>
  <si>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</si>
  <si>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</si>
  <si>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</si>
  <si>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</si>
  <si>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</si>
  <si>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</si>
  <si>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</si>
  <si>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</si>
  <si>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</si>
  <si>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</si>
  <si>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</si>
  <si>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</si>
  <si>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</si>
  <si>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</si>
  <si>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</si>
  <si>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</si>
  <si>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</si>
  <si>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</si>
  <si>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</si>
  <si>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</si>
  <si>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</si>
  <si>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</si>
  <si>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</si>
  <si>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</si>
  <si>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</si>
  <si>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</si>
  <si>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</si>
  <si>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</si>
  <si>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</si>
  <si>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</si>
  <si>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</si>
  <si>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</si>
  <si>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</si>
  <si>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</si>
  <si>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</si>
  <si>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</si>
  <si>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</si>
  <si>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</si>
  <si>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</si>
  <si>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</si>
  <si>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</si>
  <si>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</si>
  <si>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</si>
  <si>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</si>
  <si>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</si>
  <si>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</si>
  <si>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</si>
  <si>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</si>
  <si>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</si>
  <si>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</si>
  <si>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</si>
  <si>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</si>
  <si>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</si>
  <si>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</si>
  <si>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</si>
  <si>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</si>
  <si>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</si>
  <si>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</si>
  <si>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</si>
  <si>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</si>
  <si>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</si>
  <si>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</si>
  <si>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</si>
  <si>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</si>
  <si>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</si>
  <si>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</si>
  <si>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</si>
  <si>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</si>
  <si>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</si>
  <si>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</si>
  <si>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</si>
  <si>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</si>
  <si>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</si>
  <si>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</si>
  <si>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</si>
  <si>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</si>
  <si>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</si>
  <si>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</si>
  <si>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</si>
  <si>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</si>
  <si>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</si>
  <si>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</si>
  <si>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</si>
  <si>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</si>
  <si>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</si>
  <si>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</si>
  <si>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</si>
  <si>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</si>
  <si>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</si>
  <si>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</si>
  <si>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</si>
  <si>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</si>
  <si>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</si>
  <si>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</si>
  <si>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</si>
  <si>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</si>
  <si>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</si>
  <si>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</si>
  <si>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</si>
  <si>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</si>
  <si>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</si>
  <si>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</si>
  <si>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</si>
  <si>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</si>
  <si>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</si>
  <si>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</si>
  <si>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</si>
  <si>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</si>
  <si>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</si>
  <si>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</si>
  <si>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</si>
  <si>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</si>
  <si>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</si>
  <si>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</si>
  <si>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</si>
  <si>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</si>
  <si>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</si>
  <si>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</si>
  <si>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</si>
  <si>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</si>
  <si>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</si>
  <si>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</si>
  <si>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</si>
  <si>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</si>
  <si>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</si>
  <si>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</si>
  <si>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</si>
  <si>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</si>
  <si>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</si>
  <si>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</si>
  <si>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</si>
  <si>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</si>
  <si>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</si>
  <si>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</si>
  <si>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</si>
  <si>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</si>
  <si>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</si>
  <si>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</si>
  <si>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</si>
  <si>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</si>
  <si>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</si>
  <si>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</si>
  <si>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</si>
  <si>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</si>
  <si>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</si>
  <si>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</si>
  <si>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</si>
  <si>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</si>
  <si>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</si>
  <si>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</si>
  <si>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</si>
  <si>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</si>
  <si>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</si>
  <si>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</si>
  <si>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</si>
  <si>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</si>
  <si>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</si>
  <si>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</si>
  <si>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</si>
  <si>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</si>
  <si>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</si>
  <si>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</si>
  <si>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</si>
  <si>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</si>
  <si>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</si>
  <si>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</si>
  <si>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</si>
  <si>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</si>
  <si>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</si>
  <si>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</si>
  <si>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</si>
  <si>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</si>
  <si>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</si>
  <si>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</si>
  <si>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</si>
  <si>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</si>
  <si>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</si>
  <si>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</si>
  <si>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</si>
  <si>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</si>
  <si>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</si>
  <si>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</si>
  <si>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</si>
  <si>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</si>
  <si>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</si>
  <si>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</si>
  <si>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</si>
  <si>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</si>
  <si>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</si>
  <si>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</si>
  <si>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</si>
  <si>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</si>
  <si>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</si>
  <si>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</si>
  <si>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</si>
  <si>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</si>
  <si>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</si>
  <si>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</si>
  <si>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</si>
  <si>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</si>
  <si>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</si>
  <si>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</si>
  <si>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</si>
  <si>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</si>
  <si>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</si>
  <si>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</si>
  <si>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</si>
  <si>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</si>
  <si>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</si>
  <si>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</si>
  <si>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</si>
  <si>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</si>
  <si>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</si>
  <si>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</si>
  <si>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</si>
  <si>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</si>
  <si>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</si>
  <si>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</si>
  <si>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</si>
  <si>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</si>
  <si>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</si>
  <si>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</si>
  <si>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</si>
  <si>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</si>
  <si>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</si>
  <si>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</si>
  <si>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</si>
  <si>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</si>
  <si>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</si>
  <si>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</si>
  <si>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</si>
  <si>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</si>
  <si>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</si>
  <si>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</si>
  <si>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</si>
  <si>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</si>
  <si>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</si>
  <si>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</si>
  <si>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</si>
  <si>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</si>
  <si>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</si>
  <si>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</si>
  <si>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</si>
  <si>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</si>
  <si>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</si>
  <si>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</si>
  <si>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</si>
  <si>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</si>
  <si>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</si>
  <si>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</si>
  <si>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</si>
  <si>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</si>
  <si>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</si>
  <si>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</si>
  <si>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</si>
  <si>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</si>
  <si>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</si>
  <si>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</si>
  <si>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</si>
  <si>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</si>
  <si>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</si>
  <si>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</si>
  <si>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</si>
  <si>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</si>
  <si>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</si>
  <si>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</si>
  <si>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</si>
  <si>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</si>
  <si>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</si>
  <si>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</si>
  <si>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</si>
  <si>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</si>
  <si>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</si>
  <si>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</si>
  <si>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</si>
  <si>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</si>
  <si>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</si>
  <si>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</si>
  <si>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</si>
  <si>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</si>
  <si>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</si>
  <si>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</si>
  <si>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</si>
  <si>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</si>
  <si>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</si>
  <si>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</si>
  <si>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</si>
  <si>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</si>
  <si>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</si>
  <si>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</si>
  <si>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</si>
  <si>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</si>
  <si>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</si>
  <si>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</si>
  <si>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</si>
  <si>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</si>
  <si>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</si>
  <si>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</si>
  <si>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</si>
  <si>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</si>
  <si>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</si>
  <si>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</si>
  <si>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</si>
  <si>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</si>
  <si>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</si>
  <si>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</si>
  <si>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</si>
  <si>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</si>
  <si>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</si>
  <si>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</si>
  <si>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</si>
  <si>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</si>
  <si>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</si>
  <si>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</si>
  <si>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</si>
  <si>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</si>
  <si>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</si>
  <si>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</si>
  <si>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</si>
  <si>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</si>
  <si>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</si>
  <si>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</si>
  <si>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</si>
  <si>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</si>
  <si>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</si>
  <si>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</si>
  <si>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</si>
  <si>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</si>
  <si>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</si>
  <si>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</si>
  <si>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</si>
  <si>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</si>
  <si>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</si>
  <si>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</si>
  <si>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</si>
  <si>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</si>
  <si>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</si>
  <si>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</si>
  <si>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</si>
  <si>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</si>
  <si>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</si>
  <si>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</si>
  <si>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</si>
  <si>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</si>
  <si>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</si>
  <si>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</si>
  <si>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</si>
  <si>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</si>
  <si>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</si>
  <si>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</si>
  <si>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</si>
  <si>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</si>
  <si>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</si>
  <si>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</si>
  <si>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</si>
  <si>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</si>
  <si>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</si>
  <si>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</si>
  <si>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</si>
  <si>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</si>
  <si>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</si>
  <si>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</si>
  <si>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</si>
  <si>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</si>
  <si>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</si>
  <si>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</si>
  <si>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</si>
  <si>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</si>
  <si>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</si>
  <si>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</si>
  <si>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</si>
  <si>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</si>
  <si>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</si>
  <si>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</si>
  <si>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</si>
  <si>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</si>
  <si>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</si>
  <si>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</si>
  <si>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</si>
  <si>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</si>
  <si>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</si>
  <si>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</si>
  <si>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</si>
  <si>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</si>
  <si>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</si>
  <si>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</si>
  <si>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</si>
  <si>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</si>
  <si>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</si>
  <si>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</si>
  <si>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</si>
  <si>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</si>
  <si>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</si>
  <si>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</si>
  <si>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</si>
  <si>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</si>
  <si>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</si>
  <si>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</si>
  <si>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</si>
  <si>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</si>
  <si>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</si>
  <si>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</si>
  <si>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</si>
  <si>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</si>
  <si>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</si>
  <si>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</si>
  <si>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</si>
  <si>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</si>
  <si>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</si>
  <si>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</si>
  <si>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</si>
  <si>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</si>
  <si>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</si>
  <si>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</si>
  <si>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</si>
  <si>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</si>
  <si>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</si>
  <si>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</si>
  <si>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</si>
  <si>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</si>
  <si>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</si>
  <si>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</si>
  <si>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</si>
  <si>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</si>
  <si>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</si>
  <si>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</si>
  <si>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</si>
  <si>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</si>
  <si>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</si>
  <si>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</si>
  <si>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</si>
  <si>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</si>
  <si>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</si>
  <si>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</si>
  <si>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</si>
  <si>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</si>
  <si>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</si>
  <si>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</si>
  <si>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</si>
  <si>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</si>
  <si>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</si>
  <si>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</si>
  <si>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</si>
  <si>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</si>
  <si>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</si>
  <si>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</si>
  <si>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</si>
  <si>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</si>
  <si>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</si>
  <si>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</si>
  <si>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</si>
  <si>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</si>
  <si>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</si>
  <si>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</si>
  <si>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</si>
  <si>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</si>
  <si>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</si>
  <si>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</si>
  <si>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</si>
  <si>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</si>
  <si>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</si>
  <si>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</si>
  <si>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</si>
  <si>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</si>
  <si>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</si>
  <si>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</si>
  <si>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</si>
  <si>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</si>
  <si>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</si>
  <si>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</si>
  <si>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</si>
  <si>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</si>
  <si>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</si>
  <si>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</si>
  <si>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</si>
  <si>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</si>
  <si>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</si>
  <si>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</si>
  <si>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</si>
  <si>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</si>
  <si>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</si>
  <si>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</si>
  <si>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</si>
  <si>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</si>
  <si>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</si>
  <si>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</si>
  <si>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</si>
  <si>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</si>
  <si>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</si>
  <si>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</si>
  <si>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</si>
  <si>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</si>
  <si>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</si>
  <si>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</si>
  <si>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</si>
  <si>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</si>
  <si>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</si>
  <si>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</si>
  <si>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</si>
  <si>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</si>
  <si>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</si>
  <si>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</si>
  <si>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</si>
  <si>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</si>
  <si>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</si>
  <si>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</si>
  <si>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</si>
  <si>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</si>
  <si>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</si>
  <si>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</si>
  <si>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</si>
  <si>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</si>
  <si>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</si>
  <si>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</si>
  <si>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</si>
  <si>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</si>
  <si>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</si>
  <si>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</si>
  <si>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</si>
  <si>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</si>
  <si>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</si>
  <si>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</si>
  <si>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</si>
  <si>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</si>
  <si>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</si>
  <si>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</si>
  <si>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</si>
  <si>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</si>
  <si>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</si>
  <si>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</si>
  <si>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</si>
  <si>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</si>
  <si>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</si>
  <si>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</si>
  <si>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</si>
  <si>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</si>
  <si>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</si>
  <si>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</si>
  <si>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</si>
  <si>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</si>
  <si>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</si>
  <si>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</si>
  <si>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</si>
  <si>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</si>
  <si>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</si>
  <si>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</si>
  <si>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</si>
  <si>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</si>
  <si>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</si>
  <si>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</si>
  <si>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</si>
  <si>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</si>
  <si>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</si>
  <si>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</si>
  <si>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</si>
  <si>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</si>
  <si>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</si>
  <si>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</si>
  <si>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</si>
  <si>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</si>
  <si>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</si>
  <si>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</si>
  <si>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</si>
  <si>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</si>
  <si>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</si>
  <si>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</si>
  <si>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</si>
  <si>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</si>
  <si>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</si>
  <si>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</si>
  <si>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</si>
  <si>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</si>
  <si>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</si>
  <si>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</si>
  <si>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</si>
  <si>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</si>
  <si>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</si>
  <si>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</si>
  <si>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</si>
  <si>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</si>
  <si>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</si>
  <si>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</si>
  <si>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</si>
  <si>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</si>
  <si>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</si>
  <si>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</si>
  <si>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</si>
  <si>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</si>
  <si>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</si>
  <si>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</si>
  <si>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</si>
  <si>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</si>
  <si>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</si>
  <si>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</si>
  <si>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</si>
  <si>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</si>
  <si>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</si>
  <si>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</si>
  <si>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</si>
  <si>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</si>
  <si>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</si>
  <si>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</si>
  <si>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</si>
  <si>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</si>
  <si>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</si>
  <si>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</si>
  <si>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</si>
  <si>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</si>
  <si>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</si>
  <si>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</si>
  <si>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</si>
  <si>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</si>
  <si>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</si>
  <si>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</si>
  <si>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</si>
  <si>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</si>
  <si>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</si>
  <si>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</si>
  <si>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</si>
  <si>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</si>
  <si>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</si>
  <si>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</si>
  <si>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</si>
  <si>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</si>
  <si>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</si>
  <si>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</si>
  <si>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</si>
  <si>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</si>
  <si>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</si>
  <si>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</si>
  <si>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</si>
  <si>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</si>
  <si>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</si>
  <si>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</si>
  <si>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</si>
  <si>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</si>
  <si>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</si>
  <si>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</si>
  <si>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</si>
  <si>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</si>
  <si>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</si>
  <si>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</si>
  <si>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</si>
  <si>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</si>
  <si>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</si>
  <si>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</si>
  <si>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</si>
  <si>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</si>
  <si>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</si>
  <si>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</si>
  <si>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</si>
  <si>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</si>
  <si>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</si>
  <si>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</si>
  <si>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</si>
  <si>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</si>
  <si>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</si>
  <si>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</si>
  <si>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</si>
  <si>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</si>
  <si>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</si>
  <si>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</si>
  <si>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</si>
  <si>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</si>
  <si>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</si>
  <si>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</si>
  <si>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</si>
  <si>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</si>
  <si>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</si>
  <si>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</si>
  <si>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</si>
  <si>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</si>
  <si>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</si>
  <si>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</si>
  <si>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</si>
  <si>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</si>
  <si>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</si>
  <si>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</si>
  <si>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</si>
  <si>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</si>
  <si>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</si>
  <si>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</si>
  <si>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</si>
  <si>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</si>
  <si>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</si>
  <si>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</si>
  <si>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</si>
  <si>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</si>
  <si>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</si>
  <si>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</si>
  <si>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</si>
  <si>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</si>
  <si>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</si>
  <si>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</si>
  <si>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</si>
  <si>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</si>
  <si>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</si>
  <si>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</si>
  <si>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</si>
  <si>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</si>
  <si>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</si>
  <si>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</si>
  <si>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</si>
  <si>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</si>
  <si>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</si>
  <si>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</si>
  <si>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</si>
  <si>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</si>
  <si>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</si>
  <si>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</si>
  <si>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</si>
  <si>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</si>
  <si>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</si>
  <si>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</si>
  <si>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</si>
  <si>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</si>
  <si>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</si>
  <si>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</si>
  <si>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</si>
  <si>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</si>
  <si>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</si>
  <si>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</si>
  <si>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</si>
  <si>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</si>
  <si>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</si>
  <si>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</si>
  <si>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</si>
  <si>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</si>
  <si>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</si>
  <si>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</si>
  <si>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</si>
  <si>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</si>
  <si>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</si>
  <si>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</si>
  <si>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</si>
  <si>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</si>
  <si>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</si>
  <si>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</si>
  <si>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</si>
  <si>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</si>
  <si>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</si>
  <si>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</si>
  <si>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</si>
  <si>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</si>
  <si>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</si>
  <si>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</si>
  <si>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</si>
  <si>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</si>
  <si>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</si>
  <si>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</si>
  <si>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</si>
  <si>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</si>
  <si>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</si>
  <si>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</si>
  <si>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</si>
  <si>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</si>
  <si>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</si>
  <si>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</si>
  <si>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</si>
  <si>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</si>
  <si>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</si>
  <si>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</si>
  <si>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</si>
  <si>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</si>
  <si>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</si>
  <si>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</si>
  <si>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</si>
  <si>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</si>
  <si>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</si>
  <si>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</si>
  <si>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</si>
  <si>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</si>
  <si>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</si>
  <si>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</si>
  <si>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</si>
  <si>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</si>
  <si>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</si>
  <si>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</si>
  <si>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</si>
  <si>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</si>
  <si>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</si>
  <si>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</si>
  <si>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</si>
  <si>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</si>
  <si>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</si>
  <si>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</si>
  <si>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</si>
  <si>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</si>
  <si>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</si>
  <si>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</si>
  <si>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</si>
  <si>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</si>
  <si>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</si>
  <si>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</si>
  <si>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</si>
  <si>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</si>
  <si>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</si>
  <si>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</si>
  <si>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</si>
  <si>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</si>
  <si>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</si>
  <si>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</si>
  <si>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</si>
  <si>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</si>
  <si>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</si>
  <si>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</si>
  <si>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</si>
  <si>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</si>
  <si>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</si>
  <si>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</si>
  <si>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</si>
  <si>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</si>
  <si>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</si>
  <si>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</si>
  <si>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</si>
  <si>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</si>
  <si>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</si>
  <si>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</si>
  <si>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</si>
  <si>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</si>
  <si>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</si>
  <si>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</si>
  <si>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</si>
  <si>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</si>
  <si>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</si>
  <si>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</si>
  <si>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</si>
  <si>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</si>
  <si>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</si>
  <si>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</si>
  <si>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</si>
  <si>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</si>
  <si>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</si>
  <si>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</si>
  <si>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</si>
  <si>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</si>
  <si>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</si>
  <si>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</si>
  <si>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</si>
  <si>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</si>
  <si>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</si>
  <si>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</si>
  <si>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</si>
  <si>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</si>
  <si>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</si>
  <si>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</si>
  <si>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</si>
  <si>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</si>
  <si>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</si>
  <si>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</si>
  <si>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</si>
  <si>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</si>
  <si>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</si>
  <si>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</si>
  <si>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</si>
  <si>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</si>
  <si>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</si>
  <si>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</si>
  <si>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</si>
  <si>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</si>
  <si>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</si>
  <si>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</si>
  <si>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</si>
  <si>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</si>
  <si>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</si>
  <si>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</si>
  <si>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</si>
  <si>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</si>
  <si>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</si>
  <si>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</si>
  <si>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</si>
  <si>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</si>
  <si>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</si>
  <si>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</si>
  <si>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</si>
  <si>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</si>
  <si>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</si>
  <si>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</si>
  <si>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</si>
  <si>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</si>
  <si>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</si>
  <si>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</si>
  <si>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</si>
  <si>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</si>
  <si>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</si>
  <si>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</si>
  <si>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</si>
  <si>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</si>
  <si>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</si>
  <si>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</si>
  <si>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</si>
  <si>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</si>
  <si>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</si>
  <si>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</si>
  <si>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</si>
  <si>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</si>
  <si>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</si>
  <si>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</si>
  <si>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</si>
  <si>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</si>
  <si>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</si>
  <si>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</si>
  <si>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</si>
  <si>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</si>
  <si>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</si>
  <si>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</si>
  <si>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</si>
  <si>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</si>
  <si>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</si>
  <si>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</si>
  <si>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</si>
  <si>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</si>
  <si>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</si>
  <si>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</si>
  <si>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</si>
  <si>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</si>
  <si>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</si>
  <si>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</si>
  <si>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</si>
  <si>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</si>
  <si>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</si>
  <si>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</si>
  <si>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</si>
  <si>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</si>
  <si>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</si>
  <si>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</si>
  <si>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</si>
  <si>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</si>
  <si>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</si>
  <si>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</si>
  <si>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</si>
  <si>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</si>
  <si>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</si>
  <si>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</si>
  <si>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</si>
  <si>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</si>
  <si>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</si>
  <si>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</si>
  <si>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</si>
  <si>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</si>
  <si>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</si>
  <si>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</si>
  <si>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</si>
  <si>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</si>
  <si>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</si>
  <si>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</si>
  <si>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</si>
  <si>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</si>
  <si>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</si>
  <si>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</si>
  <si>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</si>
  <si>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</si>
  <si>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</si>
  <si>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</si>
  <si>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</si>
  <si>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</si>
  <si>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</si>
  <si>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</si>
  <si>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</si>
  <si>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</si>
  <si>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</si>
  <si>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</si>
  <si>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</si>
  <si>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</si>
  <si>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</si>
  <si>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</si>
  <si>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</si>
  <si>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</si>
  <si>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</si>
  <si>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</si>
  <si>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</si>
  <si>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</si>
  <si>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</si>
  <si>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</si>
  <si>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</si>
  <si>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</si>
  <si>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</si>
  <si>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</si>
  <si>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</si>
  <si>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</si>
  <si>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</si>
  <si>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</si>
  <si>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</si>
  <si>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</si>
  <si>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</si>
  <si>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</si>
  <si>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</si>
  <si>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</si>
  <si>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</si>
  <si>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</si>
  <si>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</si>
  <si>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</si>
  <si>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</si>
  <si>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</si>
  <si>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</si>
  <si>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</si>
  <si>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</si>
  <si>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</si>
  <si>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</si>
  <si>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</si>
  <si>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</si>
  <si>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</si>
  <si>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</si>
  <si>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</si>
  <si>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</si>
  <si>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</si>
  <si>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</si>
  <si>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</si>
  <si>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</si>
  <si>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</si>
  <si>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</si>
  <si>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</si>
  <si>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</si>
  <si>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</si>
  <si>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</si>
  <si>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</si>
  <si>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</si>
  <si>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</si>
  <si>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</si>
  <si>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</si>
  <si>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</si>
  <si>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</si>
  <si>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</si>
  <si>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</si>
  <si>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</si>
  <si>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</si>
  <si>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</si>
  <si>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</si>
  <si>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</si>
  <si>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</si>
  <si>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</si>
  <si>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</si>
  <si>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</si>
  <si>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</si>
  <si>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</si>
  <si>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</si>
  <si>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</si>
  <si>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</si>
  <si>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</si>
  <si>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</si>
  <si>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</si>
  <si>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</si>
  <si>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</si>
  <si>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</si>
  <si>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</si>
  <si>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</si>
  <si>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</si>
  <si>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</si>
  <si>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</si>
  <si>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</si>
  <si>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</si>
  <si>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</si>
  <si>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</si>
  <si>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</si>
  <si>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</si>
  <si>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</si>
  <si>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</si>
  <si>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</si>
  <si>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</si>
  <si>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</si>
  <si>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</si>
  <si>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</si>
  <si>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</si>
  <si>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</si>
  <si>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</si>
  <si>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</si>
  <si>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</si>
  <si>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</si>
  <si>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</si>
  <si>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</si>
  <si>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</si>
  <si>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</si>
  <si>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</si>
  <si>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</si>
  <si>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</si>
  <si>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</si>
  <si>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</si>
  <si>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</si>
  <si>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</si>
  <si>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</si>
  <si>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</si>
  <si>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</si>
  <si>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</si>
  <si>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</si>
  <si>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</si>
  <si>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</si>
  <si>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</si>
  <si>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</si>
  <si>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</si>
  <si>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</si>
  <si>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</si>
  <si>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</si>
  <si>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</si>
  <si>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</si>
  <si>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</si>
  <si>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</si>
  <si>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</si>
  <si>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</si>
  <si>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</si>
  <si>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</si>
  <si>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</si>
  <si>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</si>
  <si>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</si>
  <si>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</si>
  <si>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</si>
  <si>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</si>
  <si>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</si>
  <si>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</si>
  <si>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</si>
  <si>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</si>
  <si>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</si>
  <si>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</si>
  <si>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</si>
  <si>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</si>
  <si>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</si>
  <si>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</si>
  <si>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</si>
  <si>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</si>
  <si>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</si>
  <si>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</si>
  <si>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</si>
  <si>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</si>
  <si>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</si>
  <si>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</si>
  <si>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</si>
  <si>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</si>
  <si>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</si>
  <si>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</si>
  <si>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</si>
  <si>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</si>
  <si>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</si>
  <si>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</si>
  <si>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</si>
  <si>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</si>
  <si>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</si>
  <si>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</si>
  <si>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</si>
  <si>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</si>
  <si>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</si>
  <si>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</si>
  <si>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</si>
  <si>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</si>
  <si>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</si>
  <si>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</si>
  <si>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</si>
  <si>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</si>
  <si>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</si>
  <si>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</si>
  <si>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</si>
  <si>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</si>
  <si>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</si>
  <si>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</si>
  <si>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</si>
  <si>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</si>
  <si>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</si>
  <si>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</si>
  <si>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</si>
  <si>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</si>
  <si>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</si>
  <si>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</si>
  <si>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</si>
  <si>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</si>
  <si>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</si>
  <si>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</si>
  <si>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</si>
  <si>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</si>
  <si>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</si>
  <si>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</si>
  <si>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</si>
  <si>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</si>
  <si>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</si>
  <si>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</si>
  <si>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</si>
  <si>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</si>
  <si>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</si>
  <si>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</si>
  <si>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</si>
  <si>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</si>
  <si>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</si>
  <si>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</si>
  <si>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</si>
  <si>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</si>
  <si>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</si>
  <si>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</si>
  <si>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</si>
  <si>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</si>
  <si>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</si>
  <si>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</si>
  <si>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</si>
  <si>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</si>
  <si>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</si>
  <si>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</si>
  <si>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</si>
  <si>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</si>
  <si>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</si>
  <si>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</si>
  <si>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</si>
  <si>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</si>
  <si>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</si>
  <si>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</si>
  <si>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</si>
  <si>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</si>
  <si>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</si>
  <si>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</si>
  <si>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</si>
  <si>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</si>
  <si>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</si>
  <si>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</si>
  <si>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</si>
  <si>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</si>
  <si>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</si>
  <si>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</si>
  <si>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</si>
  <si>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</si>
  <si>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</si>
  <si>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</si>
  <si>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</si>
  <si>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</si>
  <si>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</si>
  <si>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</si>
  <si>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</si>
  <si>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</si>
  <si>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</si>
  <si>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</si>
  <si>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</si>
  <si>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</si>
  <si>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</si>
  <si>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</si>
  <si>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</si>
  <si>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</si>
  <si>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</si>
  <si>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</si>
  <si>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</si>
  <si>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</si>
  <si>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</si>
  <si>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</si>
  <si>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</si>
  <si>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</si>
  <si>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</si>
  <si>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</si>
  <si>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</si>
  <si>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</si>
  <si>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</si>
  <si>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</si>
  <si>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</si>
  <si>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</si>
  <si>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</si>
  <si>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</si>
  <si>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</si>
  <si>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</si>
  <si>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</si>
  <si>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</si>
  <si>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</si>
  <si>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</si>
  <si>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</si>
  <si>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</si>
  <si>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</si>
  <si>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</si>
  <si>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</si>
  <si>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</si>
  <si>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</si>
  <si>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</si>
  <si>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</si>
  <si>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</si>
  <si>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</si>
  <si>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</si>
  <si>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</si>
  <si>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</si>
  <si>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</si>
  <si>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</si>
  <si>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</si>
  <si>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</si>
  <si>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</si>
  <si>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</si>
  <si>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</si>
  <si>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</si>
  <si>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</si>
  <si>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</si>
  <si>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</si>
  <si>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</si>
  <si>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</si>
  <si>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</si>
  <si>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</si>
  <si>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</si>
  <si>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</si>
  <si>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</si>
  <si>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</si>
  <si>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</si>
  <si>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</si>
  <si>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</si>
  <si>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</si>
  <si>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</si>
  <si>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</si>
  <si>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</si>
  <si>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</si>
  <si>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</si>
  <si>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</si>
  <si>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</si>
  <si>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</si>
  <si>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</si>
  <si>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</si>
  <si>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</si>
  <si>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</si>
  <si>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</si>
  <si>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</si>
  <si>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</si>
  <si>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</si>
  <si>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</si>
  <si>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</si>
  <si>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</si>
  <si>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</si>
  <si>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</si>
  <si>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</si>
  <si>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</si>
  <si>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</si>
  <si>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</si>
  <si>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</si>
  <si>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</si>
  <si>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</si>
  <si>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</si>
  <si>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</si>
  <si>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</si>
  <si>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</si>
  <si>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</si>
  <si>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</si>
  <si>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</si>
  <si>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</si>
  <si>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</si>
  <si>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</si>
  <si>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</si>
  <si>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</si>
  <si>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</si>
  <si>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</si>
  <si>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</si>
  <si>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</si>
  <si>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</si>
  <si>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</si>
  <si>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</si>
  <si>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</si>
  <si>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</si>
  <si>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</si>
  <si>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</si>
  <si>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</si>
  <si>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</si>
  <si>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</si>
  <si>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</si>
  <si>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</si>
  <si>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</si>
  <si>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</si>
  <si>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</si>
  <si>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</si>
  <si>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</si>
  <si>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</si>
  <si>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</si>
  <si>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</si>
  <si>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</si>
  <si>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</si>
  <si>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</si>
  <si>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</si>
  <si>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</si>
  <si>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</si>
  <si>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</si>
  <si>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</si>
  <si>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</si>
  <si>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</si>
  <si>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</si>
  <si>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</si>
  <si>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</si>
  <si>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</si>
  <si>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</si>
  <si>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</si>
  <si>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</si>
  <si>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</si>
  <si>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</si>
  <si>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</si>
  <si>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</si>
  <si>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</si>
  <si>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</si>
  <si>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</si>
  <si>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</si>
  <si>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</si>
  <si>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</si>
  <si>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</si>
  <si>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</si>
  <si>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</si>
  <si>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</si>
  <si>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</si>
  <si>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</si>
  <si>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</si>
  <si>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</si>
  <si>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</si>
  <si>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</si>
  <si>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</si>
  <si>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</si>
  <si>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</si>
  <si>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</si>
  <si>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</si>
  <si>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</si>
  <si>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</si>
  <si>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</si>
  <si>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</si>
  <si>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</si>
  <si>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</si>
  <si>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</si>
  <si>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</si>
  <si>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</si>
  <si>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</si>
  <si>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</si>
  <si>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</si>
  <si>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</si>
  <si>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</si>
  <si>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</si>
  <si>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</si>
  <si>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</si>
  <si>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</si>
  <si>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</si>
  <si>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</si>
  <si>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</si>
  <si>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</si>
  <si>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</si>
  <si>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</si>
  <si>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</si>
  <si>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</si>
  <si>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</si>
  <si>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</si>
  <si>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</si>
  <si>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</si>
  <si>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</si>
  <si>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</si>
  <si>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</si>
  <si>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</si>
  <si>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</si>
  <si>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</si>
  <si>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</si>
  <si>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</si>
  <si>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</si>
  <si>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</si>
  <si>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</si>
  <si>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</si>
  <si>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</si>
  <si>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</si>
  <si>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</si>
  <si>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</si>
  <si>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</si>
  <si>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</si>
  <si>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</si>
  <si>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</si>
  <si>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</si>
  <si>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</si>
  <si>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</si>
  <si>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</si>
  <si>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</si>
  <si>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</si>
  <si>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</si>
  <si>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</si>
  <si>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</si>
  <si>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</si>
  <si>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</si>
  <si>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</si>
  <si>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</si>
  <si>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</si>
  <si>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</si>
  <si>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</si>
  <si>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</si>
  <si>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</si>
  <si>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</si>
  <si>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</si>
  <si>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</si>
  <si>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</si>
  <si>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</si>
  <si>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</si>
  <si>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</si>
  <si>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</si>
  <si>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</si>
  <si>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</si>
  <si>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</si>
  <si>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</si>
  <si>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</si>
  <si>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</si>
  <si>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</si>
  <si>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</si>
  <si>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</si>
  <si>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</si>
  <si>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</si>
  <si>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</si>
  <si>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</si>
  <si>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</si>
  <si>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</si>
  <si>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</si>
  <si>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</si>
  <si>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</si>
  <si>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</si>
  <si>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</si>
  <si>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</si>
  <si>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</si>
  <si>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</si>
  <si>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</si>
  <si>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</si>
  <si>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</si>
  <si>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</si>
  <si>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</si>
  <si>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</si>
  <si>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</si>
  <si>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</si>
  <si>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</si>
  <si>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</si>
  <si>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</si>
  <si>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</si>
  <si>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</si>
  <si>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</si>
  <si>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</si>
  <si>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</si>
  <si>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</si>
  <si>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</si>
  <si>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</si>
  <si>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</si>
  <si>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</si>
  <si>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</si>
  <si>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</si>
  <si>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</si>
  <si>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</si>
  <si>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</si>
  <si>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</si>
  <si>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J297822348</t>
  </si>
  <si>
    <t>A87304655</t>
  </si>
  <si>
    <t>P16000065311</t>
  </si>
  <si>
    <t>DE141989858</t>
  </si>
  <si>
    <t>23-2549974</t>
  </si>
  <si>
    <t>WINKLER und DÜNNEBIER Süßwarenmaschinen GmbH</t>
  </si>
  <si>
    <t>COPERION PROCESS SOLUTIONS LLC</t>
  </si>
  <si>
    <t xml:space="preserve">PATRIMONIOS AUTONOMOS FIDUCIARIA BOGOTA S.A </t>
  </si>
  <si>
    <t>CREDICORP CAPITAL COLOMBIA S.A</t>
  </si>
  <si>
    <t>WONDERWARE NORTH</t>
  </si>
  <si>
    <t>N/A</t>
  </si>
  <si>
    <t>890929497@siesa.com</t>
  </si>
  <si>
    <t>FACTURAEACEMANUELITA@FACTURAENLINEA.CO</t>
  </si>
  <si>
    <t>FACTELECTRONICAPROVEEDORES@ACESCO.COM</t>
  </si>
  <si>
    <t>jenny.martinez@acica-automatizacion.com</t>
  </si>
  <si>
    <t>FACTURAELECTRONICA@ACPYCIA.COM</t>
  </si>
  <si>
    <t>JSOCHA@AMB.COM.CO</t>
  </si>
  <si>
    <t>RECEPCION.BOGOTA@ADAMA.COM</t>
  </si>
  <si>
    <t>ADIPACK.COMPRAS@GMAIL.COM</t>
  </si>
  <si>
    <t>rfe_agroplasticos@agro-plasticos.com</t>
  </si>
  <si>
    <t>jdduque@aguasdemanizales.com.co</t>
  </si>
  <si>
    <t>yasmin.mora@akc.co</t>
  </si>
  <si>
    <t>DTE_8300814071@DTE.PAPERLESS.COM.CO</t>
  </si>
  <si>
    <t>facturacion.electronica@Ajover.com</t>
  </si>
  <si>
    <t>ALINDUSTRY.CO@GMAIL.COM</t>
  </si>
  <si>
    <t>RECEPCION.ELECTRONICA@ALFA.COM.CO</t>
  </si>
  <si>
    <t>800149149@FACTUREINBOX.CO</t>
  </si>
  <si>
    <t>RECEPCION_FE@ALIMENTOSCARNICOS.COM.CO</t>
  </si>
  <si>
    <t>MANTENIMIENTOPIPPO@HOTMAIL.COM</t>
  </si>
  <si>
    <t>facturacion.electronicapcol@empresaspolar.com</t>
  </si>
  <si>
    <t>RADICACION.TUFACTURA@COLSEIN.COM.CO</t>
  </si>
  <si>
    <t>facturacion@almacensurtitodo.com.co</t>
  </si>
  <si>
    <t>COL_INTERCAMBIO@EINVOICING.SIGNATURE-CLOUD.COM</t>
  </si>
  <si>
    <t>rfe_altalene@altalene.net</t>
  </si>
  <si>
    <t>TAX@AMSTY.COM</t>
  </si>
  <si>
    <t>apszonanorte@aps-supply.com</t>
  </si>
  <si>
    <t>contabilidad@arbez.co</t>
  </si>
  <si>
    <t>faristizabalh@gmail.com</t>
  </si>
  <si>
    <t>ARTIGASNORKE2013@GMAIL.COM</t>
  </si>
  <si>
    <t>COMPRAS@ASSISTECH.COM.CO</t>
  </si>
  <si>
    <t>info@atdsas.com</t>
  </si>
  <si>
    <t>rec.facturaselectronicas@co.atlascopco.com</t>
  </si>
  <si>
    <t>impuestos@audifarma.com.co</t>
  </si>
  <si>
    <t>info@audicons.com.co</t>
  </si>
  <si>
    <t>RECEPCIONFACTURAS@AUTOMATIZACION.COM.CO</t>
  </si>
  <si>
    <t>CONTABILIDAD@AUTOEQUIC.COM</t>
  </si>
  <si>
    <t>Facturacionautomatizacion@gmail.com</t>
  </si>
  <si>
    <t>COMPRAS@CARDINALSCALE.COM.CO</t>
  </si>
  <si>
    <t>FACTURAS@AUTOMATIZAR.COM.CO</t>
  </si>
  <si>
    <t>FACTURACIONELECTRONICA@AUTOPACK.COM.CO</t>
  </si>
  <si>
    <t>fiducoldex@fiducoldex.com.co</t>
  </si>
  <si>
    <t>FACTURAELECTRONICA@AVINSASAS.COM.CO</t>
  </si>
  <si>
    <t>RECEPCIONFE@AVIDESADEOCCIDENTE.COM</t>
  </si>
  <si>
    <t>recepcionfe@avidesaoriente.com</t>
  </si>
  <si>
    <t>facturacion@azulk.com</t>
  </si>
  <si>
    <t>administracion@bycenlinea.com</t>
  </si>
  <si>
    <t>APCOL_FACTURACIONELECTRONICA@BAKERHUGHES.COM</t>
  </si>
  <si>
    <t>servicioalclientebbvavalores.co@bbva.com</t>
  </si>
  <si>
    <t>FACTURTACION.ELECTRONICA@BATERIASWILLARD.COM</t>
  </si>
  <si>
    <t>Bavaria.fe@ab-inbev.com</t>
  </si>
  <si>
    <t>recepcion.facturaelectronicacol@bayer.com</t>
  </si>
  <si>
    <t>Luis.ayala@bbi.com.co</t>
  </si>
  <si>
    <t>PORTALWEB_CO_FE_BELSTAR@BELCORP.BIZ</t>
  </si>
  <si>
    <t>fodirector.eche@gmail.com</t>
  </si>
  <si>
    <t>FECOMPRASTEBAIDA@BERHLAN.COM</t>
  </si>
  <si>
    <t>FACTURACION@BFOCUSTECHNOLOGIES.COM</t>
  </si>
  <si>
    <t>LUIS.GUEVARA04@GRUPOBIMBO.COM</t>
  </si>
  <si>
    <t>denis.rivera@bioena.co</t>
  </si>
  <si>
    <t>INFO@BIOLOGICOS.NET</t>
  </si>
  <si>
    <t>CUENTASAPAGAR@BLCGES.COM</t>
  </si>
  <si>
    <t>bremsascomercial@gmail.com</t>
  </si>
  <si>
    <t>FACTURACIONELECTRONICA@BRINSA.COM.CO</t>
  </si>
  <si>
    <t>SUFACTURA@FARMACAPSULAS.COM</t>
  </si>
  <si>
    <t>ALVARO.MEJIA@UPFIELD.COM</t>
  </si>
  <si>
    <t>fe.mcc@mexichem.com</t>
  </si>
  <si>
    <t>FACTURACION@CALDERASHB.COM</t>
  </si>
  <si>
    <t>FACTURACION.ELECTRONICA@CAMPOFERT.COM</t>
  </si>
  <si>
    <t>facturascol@canpack.com</t>
  </si>
  <si>
    <t>FACTURARECEPCION@INGENIOSANCARLOS.COM.CO</t>
  </si>
  <si>
    <t>PROVEEDORES.CARTONCOLOMBIA@SMURFITKAPPA.COM.CO</t>
  </si>
  <si>
    <t>RECEPCION.FACTURASEDUCACION@CARVAJAL.COM</t>
  </si>
  <si>
    <t>RECEPCION.FACTURASEMPAQUES@CARVAJAL.COM</t>
  </si>
  <si>
    <t>dblanco@lukerchocolate.com</t>
  </si>
  <si>
    <t>diseno.mecanico.02@cavrobotics.com.co</t>
  </si>
  <si>
    <t>900083863@FACTUREINBOX.CO</t>
  </si>
  <si>
    <t>FACTURAELECTRONICA@CELSIA.COM</t>
  </si>
  <si>
    <t>SZULETA@CSMSA.CO</t>
  </si>
  <si>
    <t>FACTURAE@FACTURAENLINEA.CO</t>
  </si>
  <si>
    <t>CONTABILIDAD@CENELEC.COM.CO</t>
  </si>
  <si>
    <t>relacionamiento.proveedores@cenit-transporte.com</t>
  </si>
  <si>
    <t>gerencia@centraldeequiposymontajes.com</t>
  </si>
  <si>
    <t>info@termocartagena.com</t>
  </si>
  <si>
    <t>VALLE.FE@AB-INBEV.COM</t>
  </si>
  <si>
    <t>UNION.FE@AB-INBEV.COM</t>
  </si>
  <si>
    <t>facturacioncimeelectricos@gmail.com</t>
  </si>
  <si>
    <t>RECEPCIONFACTURAS@CLARIOS.COM</t>
  </si>
  <si>
    <t>facturacion@clauger.com.co</t>
  </si>
  <si>
    <t>FEPROVEEDORESCO@CLOROX.COM</t>
  </si>
  <si>
    <t>FACTURAS.PROVEEDORES@COYTEX.COM.CO</t>
  </si>
  <si>
    <t>gerencia@codistribelt.com</t>
  </si>
  <si>
    <t>890300546@mailbox.edicomnet.com</t>
  </si>
  <si>
    <t>ALMA@COLDECON.COM.CO</t>
  </si>
  <si>
    <t>FACTURACION.RECEPCION@KCC.COM</t>
  </si>
  <si>
    <t>RECEPCION-FE@COLOMBINA.COM</t>
  </si>
  <si>
    <t>FEPROVEEDOR@COLSEMAQ.COM.CO</t>
  </si>
  <si>
    <t>CONTABILIDAD@COINDTEC.COM</t>
  </si>
  <si>
    <t>PROVEEDORES@ALDORONLINE.COM</t>
  </si>
  <si>
    <t>PROVEEDORES.ELECTRONICOS@CO.NESTLE.COM</t>
  </si>
  <si>
    <t>FACTURACIONELECTRONICA@SUPERRICAS.COM</t>
  </si>
  <si>
    <t>PROVEEDORES@COLOMBATES.COM.CO</t>
  </si>
  <si>
    <t>rec_fact_cc@corona.com.co</t>
  </si>
  <si>
    <t>EMPAQUES@CIAEMPAQUES.COM.CO</t>
  </si>
  <si>
    <t>800156044@factureinbox.co</t>
  </si>
  <si>
    <t>RECEPCION.FACTURAS@CES.COM.CO</t>
  </si>
  <si>
    <t>FacturaElectronica.890900148@akzonobel.com</t>
  </si>
  <si>
    <t>fabio.alferez@cipa.com.co</t>
  </si>
  <si>
    <t>CINAL.PROVEEDORES@YUPI.COM.CO</t>
  </si>
  <si>
    <t>RECEPCION_FE@CHOCOLATES.COM.CO</t>
  </si>
  <si>
    <t>FACTURACIONELECTRONICA@LEVAPAN.COM</t>
  </si>
  <si>
    <t>COLOMBIA@COMSA.COM</t>
  </si>
  <si>
    <t>compras@concrelab.com</t>
  </si>
  <si>
    <t>dte_8002087851@dte.paperless.com.co</t>
  </si>
  <si>
    <t>colombia@comsa.com</t>
  </si>
  <si>
    <t>facturacionconsorciolaflora@gmail.com</t>
  </si>
  <si>
    <t>diana.guaitero@ccso.com.co</t>
  </si>
  <si>
    <t>construarcues@hotmail.com</t>
  </si>
  <si>
    <t>contabilidad.ciesas@gmail.com</t>
  </si>
  <si>
    <t>supervisorios@cpi.com.co</t>
  </si>
  <si>
    <t>FACTURACION@CONTROLMATICA.COM.CO</t>
  </si>
  <si>
    <t>facturacion@cavrobotics.com.co</t>
  </si>
  <si>
    <t>RECEPCION@MISFACTURAS.COM.CO</t>
  </si>
  <si>
    <t>RECEPCIONFE@COLANTA.COM.CO</t>
  </si>
  <si>
    <t>servicioalcliente@cdtdegas.com</t>
  </si>
  <si>
    <t>centro.documental@cordarien.com.co</t>
  </si>
  <si>
    <t>PROVEEDORES@CORRUMED.COM</t>
  </si>
  <si>
    <t>806008873@FACTUREINBOX.CO</t>
  </si>
  <si>
    <t>RECEPCIONFACTURAS.CO@O-I.COM</t>
  </si>
  <si>
    <t>mayra.ramos@cristar.com.co</t>
  </si>
  <si>
    <t>info@colsein.com.co</t>
  </si>
  <si>
    <t>RECEPCION.FACTURAS@CROWNCORK.COM.CO</t>
  </si>
  <si>
    <t>administracion@customcontrol.com.co</t>
  </si>
  <si>
    <t>contabilidad@dcenergy.com.co</t>
  </si>
  <si>
    <t>AUXILIAR@DCAINGENIERIA.COM.CO</t>
  </si>
  <si>
    <t>Automatizacion@dejamusubachoque.com</t>
  </si>
  <si>
    <t>contabilidad@demca.co</t>
  </si>
  <si>
    <t>VENTAS@DESISCO.COM.CO</t>
  </si>
  <si>
    <t>wendy.gonzalez@devisab.com.co</t>
  </si>
  <si>
    <t>901123983@FACTUREINBOX.CO</t>
  </si>
  <si>
    <t>900334120@RECEPCIONDEFACTURAS.CO</t>
  </si>
  <si>
    <t>pacheco.alejandra@dismet.com</t>
  </si>
  <si>
    <t>contabilidad2803@gmail.com</t>
  </si>
  <si>
    <t>COMPRASDISTRIELECTRICOSJM@GMAIL.COM</t>
  </si>
  <si>
    <t>802005820@FACTUREINBOX.CO</t>
  </si>
  <si>
    <t>dogsy.helados@gmail.com</t>
  </si>
  <si>
    <t>INFO@DOLPHINING.COM</t>
  </si>
  <si>
    <t>carlos.anaya@ecingenieria.co</t>
  </si>
  <si>
    <t>RECEPCION.FACTURA@MONOMEROS.COM.CO</t>
  </si>
  <si>
    <t>FACTURACIONELECTRONICA@ATICA.CO</t>
  </si>
  <si>
    <t>CLENIS@EITINGENIERIA.COM</t>
  </si>
  <si>
    <t>EFACTURA@ELECTROVALLE.COM</t>
  </si>
  <si>
    <t>900399762@RECEPCIONDEFACTURAS.CO</t>
  </si>
  <si>
    <t>860076598@FACTUREINBOX.CO</t>
  </si>
  <si>
    <t>AUXILIARCONTABLE@ELICOGRP.COM</t>
  </si>
  <si>
    <t>FACTURACION@ELEMENTOSELECTRICOS.COM.CO</t>
  </si>
  <si>
    <t>FERECEPCION.FEMSACOL@KOF.COM</t>
  </si>
  <si>
    <t>recepcion@empacor.com</t>
  </si>
  <si>
    <t>VERA.RODRIGUEZ@EMPICOLSA.COM</t>
  </si>
  <si>
    <t>YAZMINVERA@EMPRENDER-SOLUCIONES.COM</t>
  </si>
  <si>
    <t>rec_fact_ec@alion.com.co</t>
  </si>
  <si>
    <t>FACTURAELECTRONICA@EDEQ.COM.CO</t>
  </si>
  <si>
    <t>804005810@FACTUREINBOX.CO</t>
  </si>
  <si>
    <t>facturaelectronicaEPM@grupo-epm.com</t>
  </si>
  <si>
    <t>ENCERTSAS@GMAIL.COM</t>
  </si>
  <si>
    <t>carolina.villamizar@enel.com</t>
  </si>
  <si>
    <t>factura.termoflores@enfragen.com</t>
  </si>
  <si>
    <t>CAROLINA.ALONSO@ENG-SUPPORTS.COM</t>
  </si>
  <si>
    <t>recepcionfecm@fe.epssanitas.com</t>
  </si>
  <si>
    <t>EPCPHOENIX_MB@MAILBOX.EDICOMNET.COM</t>
  </si>
  <si>
    <t>COMPRAS@EPYS.COM.CO</t>
  </si>
  <si>
    <t>CONTACTO@EQUIPEL.COM.CO</t>
  </si>
  <si>
    <t>FACTELECTRONICAMB@ESENTTIA.CO</t>
  </si>
  <si>
    <t>FACTURACION@ESENTTIA.CO</t>
  </si>
  <si>
    <t>FELECTRONICABO@ELEMENTIA.COM</t>
  </si>
  <si>
    <t>FACTURACIONELECTRONICA@ETIPRESS.COM</t>
  </si>
  <si>
    <t>CONTABILIDAD@EVOLTI.CO</t>
  </si>
  <si>
    <t>FACTURACION@GRUPOMONTERREY.COM.CO</t>
  </si>
  <si>
    <t>FACTURAELECTRONICA@FACELEC.CO</t>
  </si>
  <si>
    <t>FACTURAZFRANCACOL.GF@ESSITY.COM</t>
  </si>
  <si>
    <t>CUENTASAPAGAR.VILLARICA@FAREVA.COM</t>
  </si>
  <si>
    <t>INFO@FARMOQUING.CO</t>
  </si>
  <si>
    <t>CONTABILIDADFCMECATRONICA@GMAIL.COM</t>
  </si>
  <si>
    <t>FACELECTRONICA.BUENCAFE@CAFEDECOLOMBIA.COM</t>
  </si>
  <si>
    <t>ferreinsolventas@gmail.com</t>
  </si>
  <si>
    <t>ELECTRONICA@FERRETERIAVALLEJO.CO</t>
  </si>
  <si>
    <t>FERRETERIAYTUBERIASDELVALLE@HOTMAIL.COM</t>
  </si>
  <si>
    <t>CUENTASPORPAGAR.CO@FESTO.COM</t>
  </si>
  <si>
    <t>860009008@FACTUREINBOX.CO</t>
  </si>
  <si>
    <t>UNIONVIALRIOPAMPLONITA.RECEPCIONFE@SACYR.COM</t>
  </si>
  <si>
    <t>AP.FIDECO@FIRMENICH.COM</t>
  </si>
  <si>
    <t>FACTURACIONPROV@FLEXOSPRING.COM.CO</t>
  </si>
  <si>
    <t>FACT.ELECTRONICA.FMEANDINA@FRESENIUSMEDICALCARE.COM</t>
  </si>
  <si>
    <t>RECEPCIONFE@FRESKALECHE.COM.CO</t>
  </si>
  <si>
    <t>facturacion@frioycontrol.com</t>
  </si>
  <si>
    <t>INFO@FTSTECNOLOGIA.COM.CO</t>
  </si>
  <si>
    <t>FACTURACION@FUNDIMETAL.COM</t>
  </si>
  <si>
    <t>DOSORIO@GASINSTRUMENT.COM</t>
  </si>
  <si>
    <t>gasorientefacturae@grupovanti.com</t>
  </si>
  <si>
    <t>recepcionfe@gascol.com.co</t>
  </si>
  <si>
    <t>recepcionfe@gaslux.com.co</t>
  </si>
  <si>
    <t>notcryog@airproducts.com</t>
  </si>
  <si>
    <t>GEACOLFACELECTRONIC@GEA.COM</t>
  </si>
  <si>
    <t>FACTURACION@GENESYSAUTOMATION.COM</t>
  </si>
  <si>
    <t>CO.FACTURACIONELECTRONICA@GEO-PARK.COM</t>
  </si>
  <si>
    <t>ventanillaunica@gensa.com.co</t>
  </si>
  <si>
    <t>ELECTRONICA@GILPAIMPRESORES.COM</t>
  </si>
  <si>
    <t>info@girsol.com.co</t>
  </si>
  <si>
    <t>contacto@globalsas.co</t>
  </si>
  <si>
    <t>GIFPSAS@GMAIL.COM</t>
  </si>
  <si>
    <t>gerencia@globalindustrialsas.com</t>
  </si>
  <si>
    <t>FACTURACION@GOLOSINASTRULULU.COM</t>
  </si>
  <si>
    <t>soporte@gotronmotions.com</t>
  </si>
  <si>
    <t>FACTURAELECTRONICAGRASAS@TEAM.CO</t>
  </si>
  <si>
    <t>info@greif.com</t>
  </si>
  <si>
    <t>FACTURAELECTRONICA@GRALCO.COM.CO</t>
  </si>
  <si>
    <t>AUX.ADMON.IDSE@GMAIL.COM</t>
  </si>
  <si>
    <t>fernandol@glingenieros.com.co</t>
  </si>
  <si>
    <t>elkin.gutierrez@guacamaya.energy</t>
  </si>
  <si>
    <t>edgarortiz052016@gmail.com</t>
  </si>
  <si>
    <t>INVOICES.GYPLAC.CO@ETEXGROUP.COM</t>
  </si>
  <si>
    <t>COMERCIAL@HRGING.COM</t>
  </si>
  <si>
    <t>facturaelectronica@hadainternational.com</t>
  </si>
  <si>
    <t>RECEPCIONFACTURA@HV.COM.CO</t>
  </si>
  <si>
    <t>hectorcarranza5@hotmail.com</t>
  </si>
  <si>
    <t>daniela.sarmiento@henkel.com</t>
  </si>
  <si>
    <t>notificaciones@herragro.com</t>
  </si>
  <si>
    <t>CONTABILIDAD@HIGHCOM.CO</t>
  </si>
  <si>
    <t>FACTURACIONELECTRONICA@HIPERBASCULAS.COM.CO</t>
  </si>
  <si>
    <t>FACTURASHMVCOL@H-MV.COM</t>
  </si>
  <si>
    <t>RECEP.FACTURA.COL@LAFARGEHOLCIM.COM</t>
  </si>
  <si>
    <t>CONTABILIDAD@ATICA.CO</t>
  </si>
  <si>
    <t>carlos.parra@ifco.com</t>
  </si>
  <si>
    <t>IGNACIO.CHAVES@IGCPINGENIERIA.COM</t>
  </si>
  <si>
    <t>romeroja@ilnconsulting.com</t>
  </si>
  <si>
    <t>805018755@RECEPCIONDEFACTURAS.CO</t>
  </si>
  <si>
    <t>IMAQ.SAS@GMAIL.COM</t>
  </si>
  <si>
    <t>IMSEL.FACTURAS@GMAIL.COM</t>
  </si>
  <si>
    <t>patricia.carvajal@incontrol.com.co</t>
  </si>
  <si>
    <t>IGUEVARA@SOLPRO.NET.CO</t>
  </si>
  <si>
    <t>INDUGRAL.FE@AB-INBEV.COM</t>
  </si>
  <si>
    <t>ALMACEN@MTG.COM.CO</t>
  </si>
  <si>
    <t>ivsventasyservicios@gmail.com</t>
  </si>
  <si>
    <t>contacto@dymetek.com</t>
  </si>
  <si>
    <t>rhumanos@industriasasociadas.com</t>
  </si>
  <si>
    <t>FECO.RECIBO@HACEB.COM</t>
  </si>
  <si>
    <t>juliosalazar@inessman.com</t>
  </si>
  <si>
    <t>ingefluidos@gmail.com</t>
  </si>
  <si>
    <t>CONTABILIDAD2@INGEMARC.COM.CO</t>
  </si>
  <si>
    <t>facturacion.ingencol@gmail.com</t>
  </si>
  <si>
    <t>JASALAMANCA@INAVCO.COM</t>
  </si>
  <si>
    <t>CONTABILIDAD1@INGEPRO.COM.CO</t>
  </si>
  <si>
    <t>gerencia@insercontrol.com</t>
  </si>
  <si>
    <t>facturacion@ingenieriaintelyan.co</t>
  </si>
  <si>
    <t>FACTURACION@SERINGTEC.COM</t>
  </si>
  <si>
    <t>FACTURAELECTRONICA@INCAUCA.COM</t>
  </si>
  <si>
    <t>FACTURAELECTRONICA@PROVIDENCIACO.COM</t>
  </si>
  <si>
    <t>FACTURACIONELECTRONICA@INGENIORISARALDA.COM</t>
  </si>
  <si>
    <t>ventas@ingetum.com</t>
  </si>
  <si>
    <t>RECEPCION.INNGENIASAS@GMAIL.COM</t>
  </si>
  <si>
    <t>INOXMAQUINASSAS@GMAIL.COM</t>
  </si>
  <si>
    <t>RECEPCIONFACTURAS@INSE.COM.CO</t>
  </si>
  <si>
    <t>FACTURACIONELECTRONICA@INSTRUELECTRONIC.COM</t>
  </si>
  <si>
    <t>LOGISTICA@INSTRUEQUIPOS.CO</t>
  </si>
  <si>
    <t>imecontrol@imecontrol.com</t>
  </si>
  <si>
    <t>INFO@INTELPRO.NET</t>
  </si>
  <si>
    <t>FACTURACION@PESAJE.COM</t>
  </si>
  <si>
    <t>IRENE.ARIZA@KASSELNAVAS.COM.CO</t>
  </si>
  <si>
    <t>inmcompresores@hotmail.com</t>
  </si>
  <si>
    <t>correspondencia@isagen.com.co</t>
  </si>
  <si>
    <t>FACTURACION@JJYCIA.COM</t>
  </si>
  <si>
    <t>irene.ariza@katara-sas.co</t>
  </si>
  <si>
    <t>RA-CRF-Colombia@kenvue.com</t>
  </si>
  <si>
    <t>contabilidad@kolcem.com</t>
  </si>
  <si>
    <t>info@laboratoriometrologico.com</t>
  </si>
  <si>
    <t>FACTURACION_ELECTRONICA@BAXTER.COM</t>
  </si>
  <si>
    <t>analistamantenimiento@ecar.com.co</t>
  </si>
  <si>
    <t>f.sala@lacroix.group</t>
  </si>
  <si>
    <t>recepcionfactura@santafe.com.co</t>
  </si>
  <si>
    <t>RECEPCION@LAMITECH.COM.CO</t>
  </si>
  <si>
    <t>gerencia.lcmsas@hotmail.com</t>
  </si>
  <si>
    <t>RECEPCION.FACTURAS@LEGRAND.COM.CO</t>
  </si>
  <si>
    <t>recepcion.fe@mabe.com.co</t>
  </si>
  <si>
    <t>CONTABILIDAD@MACIINGENIERIA.COM</t>
  </si>
  <si>
    <t>ADMIN@MAKESAS.COM</t>
  </si>
  <si>
    <t>mansarovar_colombia@mansarovar.com.co</t>
  </si>
  <si>
    <t>FACTURAEAZUMANUELITA@FACTURAENLINEA.CO</t>
  </si>
  <si>
    <t>MAPA.SERVICE@OUTLOOK.COM</t>
  </si>
  <si>
    <t>INFO@MAPACHE-SCI.COM</t>
  </si>
  <si>
    <t>maquimpack@gmail.com</t>
  </si>
  <si>
    <t>FACTURACIONMYM@MAQMO.COM</t>
  </si>
  <si>
    <t>jaime.patino.patino@gmail.com</t>
  </si>
  <si>
    <t>marroquinfabian193@gmail.com</t>
  </si>
  <si>
    <t>PROVEEDORES@MASTERELECTRICO.COM</t>
  </si>
  <si>
    <t>FACTURAPROVEEDORES@MECATRONICADECOLOMBIA.COM</t>
  </si>
  <si>
    <t>FACTURACIONMEDICABLES@GMAIL.COM</t>
  </si>
  <si>
    <t>administracion@meditecno.com.co</t>
  </si>
  <si>
    <t>CONTABILIDAD@METROINDUSTRIAL.COM.CO</t>
  </si>
  <si>
    <t>CARTERA@METROINSTRUMENTS.COM</t>
  </si>
  <si>
    <t>FE.MRC@MEXICHEM.COM</t>
  </si>
  <si>
    <t>fe.mincol@minervafoods.com</t>
  </si>
  <si>
    <t>PCO_FACTURACION@MM-PACKAGING.COM</t>
  </si>
  <si>
    <t>FACTURACION@MET.COM.CO</t>
  </si>
  <si>
    <t>FACTURAPROVEEDOR@MORELCO.COM.CO</t>
  </si>
  <si>
    <t>MDPHOENIX_MB@MAILBOX.EDICOMNET.COM</t>
  </si>
  <si>
    <t>tomas.echeverri@natura.net</t>
  </si>
  <si>
    <t>isalazar@nediar.com</t>
  </si>
  <si>
    <t>facturacion.electronica@nouvelleltd.com</t>
  </si>
  <si>
    <t>rfe_novalene@novalene.com</t>
  </si>
  <si>
    <t>recepcionfe@ngb.com.co</t>
  </si>
  <si>
    <t>planeador.mantenimiento@nuttre.co</t>
  </si>
  <si>
    <t>COMPRAS@ODECOPACK.COM</t>
  </si>
  <si>
    <t>asistente.compras4@oga.com.co</t>
  </si>
  <si>
    <t>valentina@omegapacking.com</t>
  </si>
  <si>
    <t>JHON.CALVO@OMNICON.CO</t>
  </si>
  <si>
    <t>FACTURACIONELECTRONICA@PSIFERRETERIALTDA.COM</t>
  </si>
  <si>
    <t>facturacion@pacolombia.com.co</t>
  </si>
  <si>
    <t>PROVEEDORES@PACKING.COM.CO</t>
  </si>
  <si>
    <t>RECEPCION.FACTURA-FORMAS@PANAMERICANA.COM.CO</t>
  </si>
  <si>
    <t>GESTION.FACTURAS@PAPELESNACIONALES.COM</t>
  </si>
  <si>
    <t>PROVEEDORES@PAPELSA.COM</t>
  </si>
  <si>
    <t>FACTCOMPRAS@CORRUGADOSANDINA.COM.CO</t>
  </si>
  <si>
    <t>FACTURACIONELECTRONICA@PAREXRESOURCES.COM</t>
  </si>
  <si>
    <t>guillermo.correa@rutasdelvalle.com</t>
  </si>
  <si>
    <t>ADMON@PCAINGENIERIA.COM</t>
  </si>
  <si>
    <t>Licitaciones@pedlexsas.co</t>
  </si>
  <si>
    <t>leidy.agudelo@pepsico.com</t>
  </si>
  <si>
    <t>FACTURACIONELECTRONICA@EDXSOLUTIONS.COM</t>
  </si>
  <si>
    <t>800000750@FACTUREINBOX.CO</t>
  </si>
  <si>
    <t>DE900743695@DOCUMENTEME.CO</t>
  </si>
  <si>
    <t>COMPRAS@PLASTIFENIX.COM</t>
  </si>
  <si>
    <t>RFE_PLASTILENE@PLASTILENE.NET</t>
  </si>
  <si>
    <t>VENTASYSERVICIOS@POINTERINSTRUMENT.COM</t>
  </si>
  <si>
    <t>FACTURACIONELECTRONICA@POLYBOL.CO</t>
  </si>
  <si>
    <t>secretaria@apa.com.co</t>
  </si>
  <si>
    <t>recepcionfe@postobon.com.co</t>
  </si>
  <si>
    <t>FECOMPRAS@POTENCIAYTECNOLOGIA.COM</t>
  </si>
  <si>
    <t>gerencia@power-nova.com</t>
  </si>
  <si>
    <t>infofacturae@precocidosdeloriente.com</t>
  </si>
  <si>
    <t>gerencia@petraservices.co</t>
  </si>
  <si>
    <t>COMPRAS@CELTAR.COM.CO</t>
  </si>
  <si>
    <t>GERENCIA@PROCESOS-AUTOMATICOS.COM</t>
  </si>
  <si>
    <t>900159278@FACTUREINBOX.CO</t>
  </si>
  <si>
    <t>SOMEX.EFACT@SOMEXNUTRICION.COM</t>
  </si>
  <si>
    <t>PROMATEL@PROMATEL.COM.CO</t>
  </si>
  <si>
    <t>FACTURAFAMILIACOL.GF@ESSITY.COM</t>
  </si>
  <si>
    <t>FACTURAELECTRONICA@RAMO.COM.CO</t>
  </si>
  <si>
    <t>michael.hernandez@proelectric.com.co</t>
  </si>
  <si>
    <t>RECEPCION.FACTURAS@PROQUINAL.COM</t>
  </si>
  <si>
    <t>FACTURAS@PROTELA.COM</t>
  </si>
  <si>
    <t>comercial@proyectosia.com</t>
  </si>
  <si>
    <t>CONTABILIDAD2@PUNTOELECTRICO.COM.CO</t>
  </si>
  <si>
    <t>Facturacion@fequala.com.co</t>
  </si>
  <si>
    <t>rsingenieria8@gmail.com</t>
  </si>
  <si>
    <t>890400372@factureinbox.co</t>
  </si>
  <si>
    <t>rfe@rambal.com.co</t>
  </si>
  <si>
    <t>FACTURACION@RAYCO.CO</t>
  </si>
  <si>
    <t>RFE_RECICLENE@RECICLENE.COM.CO</t>
  </si>
  <si>
    <t>RADICACION.RBCOLOMBIA@RB.COM</t>
  </si>
  <si>
    <t>cfcadena@rsea.com.co</t>
  </si>
  <si>
    <t>facturaerenault@facturaenlinea.co</t>
  </si>
  <si>
    <t>midanyela.gomez@serviciosrfid.com</t>
  </si>
  <si>
    <t>RICARDO.ESCOBAR@RICARDOESCOBARARBELAEZ.COM</t>
  </si>
  <si>
    <t>INFO@RINO.COM.CO</t>
  </si>
  <si>
    <t>FACTURACION@RIOPAILA-CASTILLA.COM</t>
  </si>
  <si>
    <t>rymel@rymel.com.co</t>
  </si>
  <si>
    <t>SYGSOLUCIONESDEINGENIERIA@GMAIL.COM</t>
  </si>
  <si>
    <t>ssredel@hotmail.com</t>
  </si>
  <si>
    <t>facturacion@sachemelectronic.com</t>
  </si>
  <si>
    <t>COMPRAS@SAMCOINGENIERIA.COM</t>
  </si>
  <si>
    <t>VRESTREPO@SAMCOINGENIERIA.COM</t>
  </si>
  <si>
    <t>FERECEPCION@SANTAANITANAPOLES.COM</t>
  </si>
  <si>
    <t>JCABALLERO@SAUFER.COM.CO</t>
  </si>
  <si>
    <t>irene.ariza@savan.com.co</t>
  </si>
  <si>
    <t>FEPROVEEDOR@SAYTEC.COM.CO</t>
  </si>
  <si>
    <t>SCHNEIDER.COLOMBIA@INVOWAY.COM</t>
  </si>
  <si>
    <t>cxp.colombia@schneider-electric.com</t>
  </si>
  <si>
    <t>FACTURAELECTRONICASCHOTT@GMAIL.COM</t>
  </si>
  <si>
    <t>gcuadro@seeacingenieriasas.com</t>
  </si>
  <si>
    <t>FACTURA.SEGENERGY@GMAIL.COM</t>
  </si>
  <si>
    <t>SEGURITYCONTROLES@GMAIL.COM</t>
  </si>
  <si>
    <t>FACTURACION@SEITA.COM.CO</t>
  </si>
  <si>
    <t>RECEPCIONFACTURAS@SEMPERTEX.COM</t>
  </si>
  <si>
    <t>CONTABILIDAD@SERMECOL.COM</t>
  </si>
  <si>
    <t>FACTURACIONELECTRONICA.COL@SIEMENS-ENERGY.COM</t>
  </si>
  <si>
    <t>Colombia-local_Invoices@sierracol.com</t>
  </si>
  <si>
    <t>gerencia@sigmatecnol.com</t>
  </si>
  <si>
    <t>RADICACION@SILGANPROENFAR.COM</t>
  </si>
  <si>
    <t>ANGELA.SARMIENTO@SIMAC.COM.CO</t>
  </si>
  <si>
    <t>FACTURACIONELECTRONICA@SISTECONTROL.COM</t>
  </si>
  <si>
    <t>FACTURACION@SISTEMASAUTOCONTROL.COM</t>
  </si>
  <si>
    <t>FACTURACION_ELECTRONICA@SISTRONIC.COM.CO</t>
  </si>
  <si>
    <t>800135913@FACTUREINBOX.CO</t>
  </si>
  <si>
    <t>RECEPCION@SPRC.COM.CO</t>
  </si>
  <si>
    <t>eduardo.quintero@soenergy.com.co</t>
  </si>
  <si>
    <t>AHENAO@SOLUCIONINDUSTRIAL.COM</t>
  </si>
  <si>
    <t>DTE_9002514154@DTE.PAPERLESS.COM.CO</t>
  </si>
  <si>
    <t>d.acevedo@solcor.com.co</t>
  </si>
  <si>
    <t>gisela@solenium.co</t>
  </si>
  <si>
    <t>PROVEEDORFACTURA-E@SOLLA.COM</t>
  </si>
  <si>
    <t>gerencia@solcoinco.com</t>
  </si>
  <si>
    <t>PROVEEDORES@SOLTRECH.COM</t>
  </si>
  <si>
    <t>COMPRAS@SOLUTRAFFIC.COM</t>
  </si>
  <si>
    <t>CONTACTO@STROM.COM.CO</t>
  </si>
  <si>
    <t>AUXILIARCOMPRAS@SUMILEC.COM</t>
  </si>
  <si>
    <t>ASESORCALI@SUCONEL.COM</t>
  </si>
  <si>
    <t>FACTURACIONELECTRONICA@SSPSAS.COM</t>
  </si>
  <si>
    <t>lcabrera@summumcorp.com</t>
  </si>
  <si>
    <t>facturacion@suncolombia.com</t>
  </si>
  <si>
    <t>ADMINISTRATIVA@SUNVOLT.COM.CO</t>
  </si>
  <si>
    <t>FACTURACION@SUPER.COM.CO</t>
  </si>
  <si>
    <t>financiera@s-industriales.com</t>
  </si>
  <si>
    <t>comercial@svogroup.com.co</t>
  </si>
  <si>
    <t>david.safi@swcol.co</t>
  </si>
  <si>
    <t>COMPRAS@TDMEK.COM</t>
  </si>
  <si>
    <t>FACTURAELECTRONICA@ALIANZATEAM.COM</t>
  </si>
  <si>
    <t>rfe_technofilms@technofilms.net</t>
  </si>
  <si>
    <t>info@tecnintegral.com</t>
  </si>
  <si>
    <t>RECEPCIONFE@TECNOQUIMICAS.COM</t>
  </si>
  <si>
    <t>FACTURAELECTRONICA@TECNOGLASS.COM</t>
  </si>
  <si>
    <t>facturacionelectronica@toptec.com.co</t>
  </si>
  <si>
    <t>proveedores.tecpetrol@tecpetrol.com</t>
  </si>
  <si>
    <t>FACT.ELECTRONICAS.COL@TENARIS.COM</t>
  </si>
  <si>
    <t>ADMINISTRATIVO@TERMACOL.CO</t>
  </si>
  <si>
    <t>RECEPCION@CONTECAR.COM.CO</t>
  </si>
  <si>
    <t>FACTURACION@TEBSA.COM.CO</t>
  </si>
  <si>
    <t>info@termoyopal.com.co</t>
  </si>
  <si>
    <t>CUPA_COLOMBIA@TERNIUM.COM.CO</t>
  </si>
  <si>
    <t>RECFACTURAE@LAFAYETTE.COM</t>
  </si>
  <si>
    <t>MANTENIMIENTO@AGUILAROJA.COM</t>
  </si>
  <si>
    <t>totalelectricoseisas@gmail.com</t>
  </si>
  <si>
    <t>FACTURASPROVEEDORES@TRANSELCA.COM.CO</t>
  </si>
  <si>
    <t>SERGIO.HERNANDEZ@TGI.COM.CO</t>
  </si>
  <si>
    <t>RECEPCION.FACTURAS.ELECTRONICAS@TRANSMETANO.COM.CO</t>
  </si>
  <si>
    <t>FACTURACION@TERMOYOPAL.COM.CO</t>
  </si>
  <si>
    <t>facturas@utraffic.co</t>
  </si>
  <si>
    <t>SIIFNACION.FACTURAELECTRONICA@MINHACIENDA.GOV.CO</t>
  </si>
  <si>
    <t>FE-SAS@ULTRACEM.CO</t>
  </si>
  <si>
    <t>LUZ.BARCO@UNILEVER.COM</t>
  </si>
  <si>
    <t>scadalbonar2025@gmail.com</t>
  </si>
  <si>
    <t>aperez@skgtecnologia.com</t>
  </si>
  <si>
    <t>centrodenegocios.colombia@upl-ltd.com</t>
  </si>
  <si>
    <t>RECEPCIONFACTURAS@EAFIT.EDU.CO</t>
  </si>
  <si>
    <t>RECEPCIONFACTURAELECTRONICA@ECCI.EDU.CO</t>
  </si>
  <si>
    <t>julian.davila@unimilitar.edu.co</t>
  </si>
  <si>
    <t>FACTURAEPROVEEDORES@VRINGENIERIA.COM.CO</t>
  </si>
  <si>
    <t>RECEPCIONFACTURAS@VARIADORES.COM.CO</t>
  </si>
  <si>
    <t>GERENCIA@VESTACOLOMBIA.CO</t>
  </si>
  <si>
    <t>FACTURACION@VFDING.COM</t>
  </si>
  <si>
    <t>VAZF_RECEPCIONFACTURAS@SAINT-GOBAIN.COM</t>
  </si>
  <si>
    <t>FACTURACION@DEKOSAS.COM</t>
  </si>
  <si>
    <t>aux.compras@watercol.com.co</t>
  </si>
  <si>
    <t>WCO-COMPRAS@WEG.NET</t>
  </si>
  <si>
    <t>anyer.briceno@yvsite.com</t>
  </si>
  <si>
    <t>radicacion.facturas@yanbal.com</t>
  </si>
  <si>
    <t>PROVEEDORZONAFRANCAARGOS@ARGOS.COM.CO</t>
  </si>
  <si>
    <t>ZFRECEPCIONFACTURAS@CENTRALCERVECERA.COM</t>
  </si>
  <si>
    <t>FACTURAELECTRONICA@ZONAFRANCAPIR.COM.CO</t>
  </si>
  <si>
    <t>CR 48 C 100 SUR 72</t>
  </si>
  <si>
    <t>CC VILLA CEN LC 5 Y 6</t>
  </si>
  <si>
    <t>KM 3 VIA A MALAMBO SABANAGRANDE</t>
  </si>
  <si>
    <t>Parque Industrial Gran Sabana, Edificio 32</t>
  </si>
  <si>
    <t>CRA 42 56 25 BG BLANCO CON AZUL</t>
  </si>
  <si>
    <t>DG  32  30A 51 VIA PAMPLONA</t>
  </si>
  <si>
    <t>CL 1 C 7 53 IN ZF</t>
  </si>
  <si>
    <t>CL 14 18 31 BRR SAN FRANCISCO</t>
  </si>
  <si>
    <t>AV KEVIN ANGEL 59-181</t>
  </si>
  <si>
    <t>AV 6 CL 11 P 2 ED SAN JOSE</t>
  </si>
  <si>
    <t>CARR CENTRAL DEL NORTE KM 22</t>
  </si>
  <si>
    <t>VIA MALAMBO SABANAGRANDE KM3</t>
  </si>
  <si>
    <t>KM 11 VIA MAMONAL</t>
  </si>
  <si>
    <t/>
  </si>
  <si>
    <t>AUT SUR KM 13</t>
  </si>
  <si>
    <t>KM 2 VIA FUNZA-COTA</t>
  </si>
  <si>
    <t>CL 31 2-80</t>
  </si>
  <si>
    <t>CL 125 15 A-22</t>
  </si>
  <si>
    <t>CL 100 9A-45 P 11</t>
  </si>
  <si>
    <t>CR 9 113 52 OF 404</t>
  </si>
  <si>
    <t>CR 7 17-21</t>
  </si>
  <si>
    <t>CR 63 15-61</t>
  </si>
  <si>
    <t>AC 57 R SUR 73 I-75</t>
  </si>
  <si>
    <t>ZN  INDUSTRIAL MAMONAL KM 14</t>
  </si>
  <si>
    <t>Carrera 28 #3-83, Barrio Pisa, La Nueva Italia</t>
  </si>
  <si>
    <t>Dg 17 18 10</t>
  </si>
  <si>
    <t>CL 55 35A-60</t>
  </si>
  <si>
    <t>CL 93 15 59 OF 303</t>
  </si>
  <si>
    <t>carrera 85D 45A 65 BODEGA 17</t>
  </si>
  <si>
    <t>CL 105 14 140 BRR BELMONTE</t>
  </si>
  <si>
    <t>CR 23 62 39 OF 901 B CENTRO EMPRESARIAL CAPITALIA</t>
  </si>
  <si>
    <t>CR 44 57 SUR 67</t>
  </si>
  <si>
    <t>CALLE 64#44-26</t>
  </si>
  <si>
    <t>CR 43 A 61 SUR 152 BG 131</t>
  </si>
  <si>
    <t>KM 4 VIA PANAMERICANA PARQUE CENTRO BG 7 D</t>
  </si>
  <si>
    <t>CL 12 28-73</t>
  </si>
  <si>
    <t>CL 28 13 A 24 P 6</t>
  </si>
  <si>
    <t>CR 27 A 68 50</t>
  </si>
  <si>
    <t>CLL 15A 25A-410 ACOPI JUMBO</t>
  </si>
  <si>
    <t>CR 34 19A 69</t>
  </si>
  <si>
    <t>AUT SUR 60-51</t>
  </si>
  <si>
    <t>CR 19 58 A 15 BRR SAN LUIS</t>
  </si>
  <si>
    <t>CL 67 7 35 P 5</t>
  </si>
  <si>
    <t>CALLE 7</t>
  </si>
  <si>
    <t>PARQUE INDUSTRIAL MALAMBO PIMSA</t>
  </si>
  <si>
    <t>AUT NORTE KM 30 VIA TOCANCIPA</t>
  </si>
  <si>
    <t>CR 50 CALLE8 DIVISION BAYER CROPSCIENCE</t>
  </si>
  <si>
    <t>Centro Industrial Buenos Aires Km 2 Vía Colpapel Etapa</t>
  </si>
  <si>
    <t>TV 17 125-022</t>
  </si>
  <si>
    <t>calle 108a no 4-12</t>
  </si>
  <si>
    <t>Calle 10 # 32 - 137 Parque Industrial  Indupark</t>
  </si>
  <si>
    <t>Calle 31 Nro. 50 B - 22</t>
  </si>
  <si>
    <t>CR 1 C 22 58 ED BAHIA CENTRO OF 406</t>
  </si>
  <si>
    <t>DG 43 CL 28 41 IN 109</t>
  </si>
  <si>
    <t>CR 16 93 92 P 5</t>
  </si>
  <si>
    <t>CL 21 20- 92 BRR LA PANADERIA</t>
  </si>
  <si>
    <t>KM 6 VIA CAJICA ZIPAQUIRA</t>
  </si>
  <si>
    <t>CALLE 80 No 78C-20</t>
  </si>
  <si>
    <t>CR 5 52 310</t>
  </si>
  <si>
    <t>CARR VIA MAMONAL KM 8</t>
  </si>
  <si>
    <t>CL 10 38-43 URB INDUSTRIAL ACOPI</t>
  </si>
  <si>
    <t>CALLE 32 No. 1A-37 BARRIO SANTANDER- CALI</t>
  </si>
  <si>
    <t>CL 15 B 25 A 352 BG 1</t>
  </si>
  <si>
    <t>KM 5 VIA BRICEÑO-ZIPAQUIRA VDA VERGANSO S TIBITOC</t>
  </si>
  <si>
    <t>CL 64N 5BN-146 LC 26 C</t>
  </si>
  <si>
    <t>VIA 40 PLANTA MOLINO 5 Vía 40  85 695</t>
  </si>
  <si>
    <t>CR 21 10-349 CALI</t>
  </si>
  <si>
    <t>PAR INDUSTRIAL GRAN SABANA LOTE 68A</t>
  </si>
  <si>
    <t>CL 13 68-98</t>
  </si>
  <si>
    <t>KM 1 VIA SIBERIA FUNZA ZONA FRANCA PERMANENTE INTEXZONA BODEGA 90 2</t>
  </si>
  <si>
    <t>CR 22 71 79</t>
  </si>
  <si>
    <t>CR 57 11-29</t>
  </si>
  <si>
    <t>KM 24 MARGEN IZQUIERDA CRT PANORAMA VIAL VIAL</t>
  </si>
  <si>
    <t>CL 99 9A-54  P 8</t>
  </si>
  <si>
    <t>CL 77 9 17 OF 401</t>
  </si>
  <si>
    <t>Km 4 vía Mamonal, Cartagena de Indias</t>
  </si>
  <si>
    <t>CL 94 7A-47</t>
  </si>
  <si>
    <t>CR 50 A 38 39</t>
  </si>
  <si>
    <t>CRA 67A N° 11 - 34</t>
  </si>
  <si>
    <t>CR 35 10-300 URB INDUSTRIAL ACOPI</t>
  </si>
  <si>
    <t>CL 26 92 32 OF 03 151 BL G 3 G 2 ED WEWORK - CONNECTA</t>
  </si>
  <si>
    <t>CR 68B 12A-20</t>
  </si>
  <si>
    <t>CL 11 17-27</t>
  </si>
  <si>
    <t>Carrera 51 #35-06</t>
  </si>
  <si>
    <t>CR 1 40-108</t>
  </si>
  <si>
    <t>CL 7 SUR 51A-21 LC 172 P 3 GUAYABAL</t>
  </si>
  <si>
    <t>CL 20 21 602</t>
  </si>
  <si>
    <t>PAR INDUSTRIAL EL PARAISO KM 2 VIA SAN JULIAN</t>
  </si>
  <si>
    <t>CL 72 42-77</t>
  </si>
  <si>
    <t>VDA TIBITO PARQUE INDUSTRIAL GRAN SABANA ED 32</t>
  </si>
  <si>
    <t>CL 21 1 39 BRR SAN NICOLAS</t>
  </si>
  <si>
    <t>CL 33 6-11</t>
  </si>
  <si>
    <t>CL 29 10-215</t>
  </si>
  <si>
    <t>CL 17 D 116 15 BRR FONTIBON BOHIOS</t>
  </si>
  <si>
    <t>CR 33A 24-59</t>
  </si>
  <si>
    <t>CL 100 8 A 55 TO C P 9</t>
  </si>
  <si>
    <t>CR 42 86-25</t>
  </si>
  <si>
    <t>VIA 40 LAS FLORES</t>
  </si>
  <si>
    <t>KM 5 VIA PAIPA TUNJA TERMOPAIPA IV</t>
  </si>
  <si>
    <t>CL 19 A 43 B 41</t>
  </si>
  <si>
    <t>CR 49 A 23 45</t>
  </si>
  <si>
    <t>PAR IND Y CIAL DEL CAUCA ET 2 LT 7</t>
  </si>
  <si>
    <t>Cr 65 No 12-60</t>
  </si>
  <si>
    <t>CR 27A 40-470</t>
  </si>
  <si>
    <t>CR 11 A 93 A 62 OF 304</t>
  </si>
  <si>
    <t>CL 63 D 71 A 70</t>
  </si>
  <si>
    <t>CL 49 SUR 72 C 30</t>
  </si>
  <si>
    <t>CR 49 A 91 85 LA CASTELLANA</t>
  </si>
  <si>
    <t>CR 11 A 93 A 62</t>
  </si>
  <si>
    <t>AV 1  1  73 ED EL VERGEL P 3 BRR LLERAS RESTREPO</t>
  </si>
  <si>
    <t>CR 49 A 91 85</t>
  </si>
  <si>
    <t>BRR BOCAGRANDE CR 2 9 145 ED NAUTILUS OF 503</t>
  </si>
  <si>
    <t>Casanare, Villanueva, MZ 12 CA 21</t>
  </si>
  <si>
    <t>CR 71 32B 18</t>
  </si>
  <si>
    <t>Av.Troncal de Occidente N° 20-85 Mz 1 Bodega 24</t>
  </si>
  <si>
    <t>CR 25 16-06</t>
  </si>
  <si>
    <t>KM 2 VDA VIA REFUGIO SEDE UIS BRR GUATIGUARA</t>
  </si>
  <si>
    <t>KM 2 VIA A TURBO</t>
  </si>
  <si>
    <t>CL 100 SUR 52 A 194</t>
  </si>
  <si>
    <t>MAMONAL KM 9</t>
  </si>
  <si>
    <t>KM 7 ESTACION EL MORTIÑO</t>
  </si>
  <si>
    <t>CL 1 SUR 18 89</t>
  </si>
  <si>
    <t>VRD TIBITOC VIA AUTODROMO TOCANCIPA ZIPAQUIRA</t>
  </si>
  <si>
    <t>CL 26 92 32 OF 3 145 ED CONECTA G 2 3</t>
  </si>
  <si>
    <t>CL 140 10 A 48 OF 309</t>
  </si>
  <si>
    <t>CR 9 6C-01 BRR PASADENA</t>
  </si>
  <si>
    <t>CL 15 4 A 271 CONJJ BAMBU CA 21</t>
  </si>
  <si>
    <t>VEREDA CANICA BAJA PREDIO PALOMAR</t>
  </si>
  <si>
    <t>AV CRISANTO LUQUE DG 22 44 36 BRR BOSQUE</t>
  </si>
  <si>
    <t>DG 66 33B-35 CA 15 J</t>
  </si>
  <si>
    <t>CARR CENTRAL DEL NORTE KM 27 VIA TUNJA-PAIPA</t>
  </si>
  <si>
    <t>CR 21 39 A 69 O F 303</t>
  </si>
  <si>
    <t>TV 42 6 16</t>
  </si>
  <si>
    <t>CR 80 B 2 C BIS 03</t>
  </si>
  <si>
    <t>CL 19B 35-11 BRR CUNDINAMARCA</t>
  </si>
  <si>
    <t>KM 7 VIA JUAN MINA PAR INDUSTRIAL CLAVERIA</t>
  </si>
  <si>
    <t>CL 67 # 90 - 23</t>
  </si>
  <si>
    <t>CR 71 A 48 A 75</t>
  </si>
  <si>
    <t>CR 67 167 61 OF 502</t>
  </si>
  <si>
    <t>CR 12 79 32 OF 601</t>
  </si>
  <si>
    <t>GERENCIA COMPLEJO BARRANCABERMEJA-GCB</t>
  </si>
  <si>
    <t>CR 4 16-09</t>
  </si>
  <si>
    <t>CR 6 18-39 BRR SAN NICOLAS</t>
  </si>
  <si>
    <t>CL 13 37-42</t>
  </si>
  <si>
    <t>CR48 C 100 SUR 72 BG 15</t>
  </si>
  <si>
    <t>CL 20 4 30 BRR SAN NICOLASBRR EL HOYO</t>
  </si>
  <si>
    <t>DIAGONAL 16 # 115 25 PLANTA MOLINO</t>
  </si>
  <si>
    <t>AUT FRENTE ANTIGUO AEROPUERTO</t>
  </si>
  <si>
    <t>AUT MEDELLIN BOGOTA 600 ADL DEL PUENTE SOBRE EL RIO CLARO</t>
  </si>
  <si>
    <t>CR 13 14-17</t>
  </si>
  <si>
    <t>CR 16C 60-100 LA ESMERALDA</t>
  </si>
  <si>
    <t>CR 58 42 125</t>
  </si>
  <si>
    <t>Carrera 77 N° 45B-67</t>
  </si>
  <si>
    <t>Vda verganzo Toncancipa km 40 Bogota autopista norte</t>
  </si>
  <si>
    <t>VIA 40 85-555</t>
  </si>
  <si>
    <t>DG 28 T 7 C 15 BRR CAMINOS DE LA HACIENDA</t>
  </si>
  <si>
    <t>CL 100  11 B 95</t>
  </si>
  <si>
    <t>ZF LA CANDELARIA ET 2 KM 9 VIA MAMONAL</t>
  </si>
  <si>
    <t>CR 6   20 - 30 BRR SAN NICOLAS</t>
  </si>
  <si>
    <t>CL 29  # 52-26 OFC 206</t>
  </si>
  <si>
    <t>ZONA FRANCA INDUSTRIAL DE MAMONAL BODEGA 7 Y 8 BRR BR MAMON</t>
  </si>
  <si>
    <t>ZN  INDUSTRIAL MAMONAL KM 8</t>
  </si>
  <si>
    <t>CL 72 7 64 P 6</t>
  </si>
  <si>
    <t>VIA 40 CR 67 ZN INDUSTRIAL LA LOMA 3</t>
  </si>
  <si>
    <t>CL 18 42 53 BRR ZONA INDUSTRIAL</t>
  </si>
  <si>
    <t>CL 21 29 70 BRR LAS CUADRAS</t>
  </si>
  <si>
    <t>CR 9 80 12 OF 401</t>
  </si>
  <si>
    <t>KM 7 VIA MADRID PUENTE PIEDRA</t>
  </si>
  <si>
    <t>PAR INDUSTRIAL Y CIAL DEL CAUCA</t>
  </si>
  <si>
    <t>KM 43 VIA PANAMERICANA PARQUE INDUSTRIAL DE CAUCADESA</t>
  </si>
  <si>
    <t>CR 52A 128A-12 P 2</t>
  </si>
  <si>
    <t>CL 10 24 43 AV CENTENARIO</t>
  </si>
  <si>
    <t>CR 4 16-50</t>
  </si>
  <si>
    <t>CR 79 B 46 52 SUR BL I AP</t>
  </si>
  <si>
    <t>CL   26   69   76 OF 1103 Y 1104 TO 1</t>
  </si>
  <si>
    <t>CLL 3  3 49 ESTE</t>
  </si>
  <si>
    <t>CR 13 26 A 47 P 9</t>
  </si>
  <si>
    <t>AV ELDORADO  98 43</t>
  </si>
  <si>
    <t>CL 14 62 33</t>
  </si>
  <si>
    <t>KM 1 VIA SIBERIA - FUNZA ZF INTEXZN  LT 85</t>
  </si>
  <si>
    <t>KM 3 VIA CHIMITA PAR INDUSTRIAL</t>
  </si>
  <si>
    <t>CR 51 12BS 90</t>
  </si>
  <si>
    <t>CL 2 TV 0 154 CORR PARCELACION INDUSTRIAL LA DOLORES</t>
  </si>
  <si>
    <t>CR 70D 115A-38 OF 307 BRR SAN NICOLAS</t>
  </si>
  <si>
    <t>DG 13 60A-54</t>
  </si>
  <si>
    <t>AK 39 17 40</t>
  </si>
  <si>
    <t>AV AMERICAS 53-09</t>
  </si>
  <si>
    <t>Calle 26 sur # 48-41 Piso 7 - Oficina 701.</t>
  </si>
  <si>
    <t>Calle 93 12 14</t>
  </si>
  <si>
    <t>CL 68 B SUR 13 12</t>
  </si>
  <si>
    <t>CL 94 11-30 P 8</t>
  </si>
  <si>
    <t>CL 24C 94 51</t>
  </si>
  <si>
    <t>CALLE 18A 69F 36</t>
  </si>
  <si>
    <t>CR 27 37 19 CERVANTES</t>
  </si>
  <si>
    <t>CR 30 A 42 51</t>
  </si>
  <si>
    <t>CL 2 73 D 52</t>
  </si>
  <si>
    <t>KM 14 VIA AL MAGDALENA</t>
  </si>
  <si>
    <t>CRA 54 A 61 76</t>
  </si>
  <si>
    <t>CL 11 18-113</t>
  </si>
  <si>
    <t>PARQUE INDUSTRIAL LA FLORIDA BODEGA 5 KILOMETRO 1.5 AUTOPISTA MEDELLIN COTA</t>
  </si>
  <si>
    <t>CL 1 38-121 ZN INDUSTRIAL</t>
  </si>
  <si>
    <t>CL 79 A 38 42</t>
  </si>
  <si>
    <t>Avenida 30 de Agosto No. 40 - 45</t>
  </si>
  <si>
    <t>CL 106 57 23 OF 307</t>
  </si>
  <si>
    <t>CL 58 #98- 45 AP 408 TO 1</t>
  </si>
  <si>
    <t>KM 1 VIA MAMONAL GAMBOTE</t>
  </si>
  <si>
    <t>CL 68 90A-20</t>
  </si>
  <si>
    <t>ZF LA CAYENA KM 8 LT 7 MZ B</t>
  </si>
  <si>
    <t>CR 1 A   47 - 20 BARRIO SALOMIA</t>
  </si>
  <si>
    <t>CR 15 12 28</t>
  </si>
  <si>
    <t>Cl. 17 #68b-97</t>
  </si>
  <si>
    <t>KM 9 VIA AL MAGDALENA BRR MALTERIA</t>
  </si>
  <si>
    <t>CR 10 97 A 13 TO B OF 202</t>
  </si>
  <si>
    <t>C R 38 A 1 D 55</t>
  </si>
  <si>
    <t>CL16 15 124</t>
  </si>
  <si>
    <t>Calle 70 # 7 - 30 Pisos 3,4,5 y 7 Edificio Séptima</t>
  </si>
  <si>
    <t>CL 113 7 45 P 12 TO B OF 1201</t>
  </si>
  <si>
    <t>Parque Industrial San Judas Km. 6.8 Via Bogota - La Vega. Lotes 56-57 y 58 Etapa segunda Tenjo, Cundinamarca</t>
  </si>
  <si>
    <t>Calle 13 # 4 - 32 Apto 103  Edificio Torre Santamaria</t>
  </si>
  <si>
    <t>CL 49 SUR 45 A 300 OF 2213</t>
  </si>
  <si>
    <t>CR 15 31 33</t>
  </si>
  <si>
    <t>CR 69 A 37 B 82 SUR BRR CARVAJAL</t>
  </si>
  <si>
    <t>CR 47 141 50</t>
  </si>
  <si>
    <t>Transversal 33 A Sur #31 E 50 Barrio La Magnolia</t>
  </si>
  <si>
    <t>CR 50 76-106 AP 1B</t>
  </si>
  <si>
    <t>ZF DEL PACIFICO CRT YUMBO-AEROPUERTO KM 6 LT 5 6 7 MZ H</t>
  </si>
  <si>
    <t>CR 51A 12B SUR-15</t>
  </si>
  <si>
    <t>CR 96 24 C 94</t>
  </si>
  <si>
    <t>CL 5 69 C 65 P 2</t>
  </si>
  <si>
    <t>CL 74 15 13 OF 201</t>
  </si>
  <si>
    <t>CR 27 13 95</t>
  </si>
  <si>
    <t>CL 59 CR 55 80  AUT NORTE KM 13</t>
  </si>
  <si>
    <t>CALLE 25 D 81 A 82</t>
  </si>
  <si>
    <t>CR 31 5 B 58 BRR VERAGUAS CENTRAL</t>
  </si>
  <si>
    <t>CR 39 B 66 125</t>
  </si>
  <si>
    <t>PASEO COMERCIAL ARKACENTRO MD T LC08 BRR SECTOR ARKACENTRO</t>
  </si>
  <si>
    <t>CR 53 103 B 42 OF 501</t>
  </si>
  <si>
    <t>Carrera  85A  No. 42–45</t>
  </si>
  <si>
    <t>CL 77 65 37 LC 129 CC COUNTRY OFFICE CENTER</t>
  </si>
  <si>
    <t>CR 3 10 41</t>
  </si>
  <si>
    <t>CL 33 6 B 24 P 11 ED CASA DE BOLSA</t>
  </si>
  <si>
    <t>CR 9 28-103</t>
  </si>
  <si>
    <t>CR 28 28 66 OF 307</t>
  </si>
  <si>
    <t>KM 2 VIA VIRGINIA-BALBOA</t>
  </si>
  <si>
    <t>CL 10B 1F-225 PUERTO MARITIMO</t>
  </si>
  <si>
    <t>CR 32 A 2 12</t>
  </si>
  <si>
    <t>AV 2 20-50 BRR SAN LUIS</t>
  </si>
  <si>
    <t>CR 48 75 86</t>
  </si>
  <si>
    <t>DG 32 TV 33 A SUR 49</t>
  </si>
  <si>
    <t>CL 80 45-41 BRR GRANADILLO</t>
  </si>
  <si>
    <t>AV 4 NORTE   64 - 44 CEN DE NEGOCIOS LA 70 NORTE L:7</t>
  </si>
  <si>
    <t>VDA TIBITO PAR INDUSTRIAL GRAN SABANA ED. 32</t>
  </si>
  <si>
    <t>CR 68 D 12 37 IN 2</t>
  </si>
  <si>
    <t>CL 104 A 30A-10 BRR LA ENEA</t>
  </si>
  <si>
    <t>PARQUE IND GRAN SABANA BG 32</t>
  </si>
  <si>
    <t>CL 15 31 146 ZN INDUSTRIAL ACOPI</t>
  </si>
  <si>
    <t>CL 19 59 30</t>
  </si>
  <si>
    <t>CL 36 2C-22</t>
  </si>
  <si>
    <t>Carrera 44 No. 27 - 50 - Barrio Colombia.</t>
  </si>
  <si>
    <t>VRD PANAMA-VIA FUSAGASGA</t>
  </si>
  <si>
    <t>VIA MAMONAL KM 13</t>
  </si>
  <si>
    <t>CR 23 101 29</t>
  </si>
  <si>
    <t>CL 65 93-91</t>
  </si>
  <si>
    <t>Carrera 21 # 74 – 100</t>
  </si>
  <si>
    <t>CR 43B 11A-31 OF 201 MANILA</t>
  </si>
  <si>
    <t>CALLE 100 13 76 P 11</t>
  </si>
  <si>
    <t>KM 7 VIA PALMIRA CERRITO</t>
  </si>
  <si>
    <t>CALLE 11B NRO.11-09</t>
  </si>
  <si>
    <t>CC CANARIAS II MZ 1 LC 5</t>
  </si>
  <si>
    <t>CR 16 60-14 BRR LA ESMERALDA</t>
  </si>
  <si>
    <t>CL 9B 1F 80</t>
  </si>
  <si>
    <t>CLL 7 0 23 BRR LA CONCEPCION</t>
  </si>
  <si>
    <t>CR 6 18 18</t>
  </si>
  <si>
    <t>CR 6 19 36</t>
  </si>
  <si>
    <t>CR 48 46 05</t>
  </si>
  <si>
    <t>CL 64 B 43 34</t>
  </si>
  <si>
    <t>CR 2 A 57 79</t>
  </si>
  <si>
    <t>AUT SUR 71 75 BRR PERDOMO</t>
  </si>
  <si>
    <t>KM 1 VDA EL PALMITO</t>
  </si>
  <si>
    <t>CR 1 45A-70</t>
  </si>
  <si>
    <t>CL 36 45 120</t>
  </si>
  <si>
    <t>CL 67 18C-50 TO FLOTANTES LC 106</t>
  </si>
  <si>
    <t>CL 17 F 126 90</t>
  </si>
  <si>
    <t>CR 19 100 45 P 3</t>
  </si>
  <si>
    <t>CR 59 24 61</t>
  </si>
  <si>
    <t>CR 2 CL 22</t>
  </si>
  <si>
    <t>KM 11 VIA MAMONAL PAR INDUSTRIAL</t>
  </si>
  <si>
    <t>AV TRONCAL DE OCCIDENTE 20 85</t>
  </si>
  <si>
    <t>ZN DEL CAUCA PAR INDUSTRIAL Y COMERCIAL VIA GUACHENE</t>
  </si>
  <si>
    <t>VEREDA LA PRIMAVERA ANTIGUA CENTRAL DE SACRIFICIO</t>
  </si>
  <si>
    <t>CL 39 2-37</t>
  </si>
  <si>
    <t>Autopista Medellín Km 2.5, Vía Parcelas Km 1.5, Parque Industrial Núcleo, Bodegas 9 y 10</t>
  </si>
  <si>
    <t>CR 25 NO 1 A SUR 155 ED PLATINIUM SUPERIOR OF 1244</t>
  </si>
  <si>
    <t>CL 8 SUR 43B-112 AP 304</t>
  </si>
  <si>
    <t>CR 27 13-15 OF 302</t>
  </si>
  <si>
    <t>CL 104 14 A 45 OF 401 ED CENTRO EMPRESARIAL 104</t>
  </si>
  <si>
    <t>KM 28 AUT NORTE</t>
  </si>
  <si>
    <t>CL 65 95 28</t>
  </si>
  <si>
    <t>VIA PEREIRA CARTAGO PARAJE LA MARINA</t>
  </si>
  <si>
    <t>TRONCAL DEL NORDESTE 999-18 ZN URBANA</t>
  </si>
  <si>
    <t>CR 15 93 A 62 OF 802</t>
  </si>
  <si>
    <t>CL 113  7-21 OF 706 TELEPORT STA ANA</t>
  </si>
  <si>
    <t>CL 30 32 60 OF 403</t>
  </si>
  <si>
    <t>VEREDA CAMPO 13 13 23 CORREGIMIENTO EL CENTRO ECOPETROL, BARRANCABERMEJA. SANTANDER</t>
  </si>
  <si>
    <t>KM 28 500 AUT MEDELLIN BOGOTA VDA LA MOSCA</t>
  </si>
  <si>
    <t>VDA LA FLORIDA CORREDOR INDUSTRIAL KM 3 VIA FUNZA-SIBERIA</t>
  </si>
  <si>
    <t>CL 72 8 24 OF 1001</t>
  </si>
  <si>
    <t>PAR INDUSTRIAL GRAN SABANA ED 32</t>
  </si>
  <si>
    <t>KM 10 VIA A LA TEBAIDA</t>
  </si>
  <si>
    <t>CALLE 57R SUR 73I 75 LA ESTANCIA</t>
  </si>
  <si>
    <t>KM 5 VIA MAMONAL</t>
  </si>
  <si>
    <t>VEREDA CABILDO 600 M DESPUES DE ENKA.</t>
  </si>
  <si>
    <t>CALLE 40  50 212  BELLO</t>
  </si>
  <si>
    <t>CL 18 5-70 LC 01</t>
  </si>
  <si>
    <t>AC 24 81 C 70</t>
  </si>
  <si>
    <t>Cl. 18 #15-17</t>
  </si>
  <si>
    <t>CR 4 T A CL 16 CON ALTOS DEL MORAL MZ C CA 4</t>
  </si>
  <si>
    <t>CL 64A 50B 25</t>
  </si>
  <si>
    <t>CR 9 B 45 C 1 8 AP 1</t>
  </si>
  <si>
    <t>CARRERA 50 No. 134 - 66</t>
  </si>
  <si>
    <t>CR 50 F F 8 SUR 27 OF 520  521</t>
  </si>
  <si>
    <t>CR 50 79 C SUR 250</t>
  </si>
  <si>
    <t>PLANTA CAJICA KM 7.5 ZIPAQUIRA</t>
  </si>
  <si>
    <t>CR 50 8 SUR 117</t>
  </si>
  <si>
    <t>CR 27 A 68-50</t>
  </si>
  <si>
    <t>CALLE 8 D 19 A 21 BARRIO BOCHICA</t>
  </si>
  <si>
    <t>CL 66 67-123</t>
  </si>
  <si>
    <t>CL 11 A 34 50</t>
  </si>
  <si>
    <t>TV 93 65 A  82</t>
  </si>
  <si>
    <t>CARRERA 10 A 138  32 INT 10 AP 110</t>
  </si>
  <si>
    <t>KM 10 VIA AL MAGDALENA-ZONA INDUSTRIAL VDA LA ENEA</t>
  </si>
  <si>
    <t>CARRERA 68D #39F-51</t>
  </si>
  <si>
    <t>CL 2D 71 22 BRR BUENOS AIRES</t>
  </si>
  <si>
    <t>Cra. 43 No. 6 - 89</t>
  </si>
  <si>
    <t>CL F 71 Y 59 MZ E PAR INDUSTRIAL</t>
  </si>
  <si>
    <t>CL 127 B BIS 45 53</t>
  </si>
  <si>
    <t>VRD TIBITO  UN PRIVADA 60 2 PAR INDUSTRIAL  GRAN SABANA</t>
  </si>
  <si>
    <t>CL 46 5-76</t>
  </si>
  <si>
    <t>CR 49 39 SUR 100</t>
  </si>
  <si>
    <t>CL 65 A 23 B 127 BRR GUAYACANES</t>
  </si>
  <si>
    <t>CL 14 SUR 56-47</t>
  </si>
  <si>
    <t>PLANTA CASTILLA KM 30 VIA FLORIDA-CALI</t>
  </si>
  <si>
    <t>AUTOPISTA NORTE,  PARAJE EL NORAL, DGNAL A LA BOMBA TOLÚ</t>
  </si>
  <si>
    <t>Carrera 44 #69-80</t>
  </si>
  <si>
    <t>CL 54 24-02 BRR GALAN</t>
  </si>
  <si>
    <t>CL 25 D 85 C 80 OF 302</t>
  </si>
  <si>
    <t>CR 69 32 B 39 BRR BELEN MALIBU</t>
  </si>
  <si>
    <t>CR 69 NO. 32 B 39</t>
  </si>
  <si>
    <t>CL 70 NORTE 3C-275 BG 2 BRR LA FLORA</t>
  </si>
  <si>
    <t>CR 18ª 60-62 AP 101</t>
  </si>
  <si>
    <t>Calle 19 70 - 41</t>
  </si>
  <si>
    <t>AUT MEDELLIN GLORIETA SIBERIA 500 MTS COTA</t>
  </si>
  <si>
    <t>BRR ZARAGOCILLA CR 50 30 E 16</t>
  </si>
  <si>
    <t>CL 4 25- 47 OF 602</t>
  </si>
  <si>
    <t>VIA 40 64-158 LOMA 3 ZN INDUSTRIAL</t>
  </si>
  <si>
    <t>CRA 21 159 48</t>
  </si>
  <si>
    <t>AUT MEDELLIN COSTADO SUR KM 8 5</t>
  </si>
  <si>
    <t>CL 77 A 11-32</t>
  </si>
  <si>
    <t>CR 4 7 145 ED INFINITUM AP 2402</t>
  </si>
  <si>
    <t>CL 10 34A 13</t>
  </si>
  <si>
    <t>CL 35 D 90 22</t>
  </si>
  <si>
    <t>CR 27 A 74 07 BRR ALCAZARES</t>
  </si>
  <si>
    <t>C R 2 B 37 37</t>
  </si>
  <si>
    <t>CL 4B 27-85</t>
  </si>
  <si>
    <t>CR 8 VIA 5 ACUEDUCTO DISTRITAL</t>
  </si>
  <si>
    <t>BARU CL 7 CR 5-608 SEC LA PULGA</t>
  </si>
  <si>
    <t>MANGA TERMINAL PORTUARIO</t>
  </si>
  <si>
    <t>Parque Industrial Los Robles IV “El recreo” Km1 Via Siberia-Cota Piso 4, Colombia</t>
  </si>
  <si>
    <t>CR 30 39-53 SUR P 1</t>
  </si>
  <si>
    <t>CL 113 7-45 ED TELEPORT OF 1009</t>
  </si>
  <si>
    <t>CR 13 90 17</t>
  </si>
  <si>
    <t>CL 46 70 A 79</t>
  </si>
  <si>
    <t>CR 49A 24A-34</t>
  </si>
  <si>
    <t>Calle 83A # 116A-10, Barrio Cortijo</t>
  </si>
  <si>
    <t>KM 6 VIA MAMONAL</t>
  </si>
  <si>
    <t>CR 19 A Nº 15 A 41</t>
  </si>
  <si>
    <t>CR 72 C 22 A 77 TO 1 APTO 809</t>
  </si>
  <si>
    <t>AV 30 DE AGOSTO CL94 14 73 BG 8 SEC MULTICENTRO EMPRESAERIAL</t>
  </si>
  <si>
    <t>CR 53 50-51 OF 506 CC LA CASCADA</t>
  </si>
  <si>
    <t>CR 19 A 22 C 10</t>
  </si>
  <si>
    <t>CR 19 166 53 P 1</t>
  </si>
  <si>
    <t>CALLE 163A #20-15</t>
  </si>
  <si>
    <t>CR 39 5 A - 95 OF 401</t>
  </si>
  <si>
    <t>KM 10 VIA AL MAGDALENA</t>
  </si>
  <si>
    <t>AV 7 0 N 63 P 2 BRR LA MERCED</t>
  </si>
  <si>
    <t>Calle 100#8A -55 Oficina 218 Torre C WORLD TRADE CENTER</t>
  </si>
  <si>
    <t>AUT SUR 51-27</t>
  </si>
  <si>
    <t>Cra. 81 #65a Sur-61 a 65a Sur-89</t>
  </si>
  <si>
    <t>AV CIRCUNVALAR VIA 40</t>
  </si>
  <si>
    <t>KM 9 VIA AL MAGDALENA ZN INDUSTRIAL</t>
  </si>
  <si>
    <t>CL 23 7-39 311 823 89612</t>
  </si>
  <si>
    <t>CL 113 7 80 ED TORRE AR OF 603</t>
  </si>
  <si>
    <t>PAR INDUSTRIAL CARLOS VELEZ</t>
  </si>
  <si>
    <t>AV 3 B BIS 59 NORTE 34 OF 101</t>
  </si>
  <si>
    <t>Cl 18 39 250</t>
  </si>
  <si>
    <t>CR 14 93 B 32 OF 204</t>
  </si>
  <si>
    <t>CR 42 26-18</t>
  </si>
  <si>
    <t>PONEDERA R 25 KM  PR48+600</t>
  </si>
  <si>
    <t>CR 5 21-48 SAN NICOLAS</t>
  </si>
  <si>
    <t>BRR CHIPRE CR 64 31 A 26 CA 4</t>
  </si>
  <si>
    <t>CR 55 72-109 P 10 Almacen Transelca</t>
  </si>
  <si>
    <t>Cra. 9 # 73-44 Piso 6</t>
  </si>
  <si>
    <t>CL 29 41-105 OF 901 ED SOHO</t>
  </si>
  <si>
    <t>CR 14 93B 32 OF 204</t>
  </si>
  <si>
    <t>CR 13 98 70 OF 603</t>
  </si>
  <si>
    <t>AK 50 26 55 IN 2</t>
  </si>
  <si>
    <t>KM 2 5 VIA CORDIALIDAD</t>
  </si>
  <si>
    <t>AV EL DORADO 69 B 45 P 7</t>
  </si>
  <si>
    <t>CR 44 A 10 73</t>
  </si>
  <si>
    <t>CARRERA 45 108 27 TORRE 3 PISO 14</t>
  </si>
  <si>
    <t>VIA 40 85 85 BARRIO SAN SALVADOR</t>
  </si>
  <si>
    <t>CR 49 7SUR-50</t>
  </si>
  <si>
    <t>CR 19 49 20 BRR ALFONSO LOPEZ</t>
  </si>
  <si>
    <t>CR 126 17-10 FONTIBON</t>
  </si>
  <si>
    <t>CL 24 (AV LA ESPERANZA) 95-12</t>
  </si>
  <si>
    <t>CR 34 36 31 OF 1001 BRR EL PRADO</t>
  </si>
  <si>
    <t>CL 2 C 60 40</t>
  </si>
  <si>
    <t>CL 94 A 11A -53 P 4</t>
  </si>
  <si>
    <t>CR 21 164 74</t>
  </si>
  <si>
    <t>CR 36 10 549 PAR INDUSTRIAL LA FORTALEZA ACOPI YUMBO</t>
  </si>
  <si>
    <t>CRA 47 G 78 D SUR147</t>
  </si>
  <si>
    <t>AVD 15 5 187</t>
  </si>
  <si>
    <t>PR-112 VIA Buenaventura  Buga,</t>
  </si>
  <si>
    <t>ZN  INDUSTRAL MAMONAL KM 7</t>
  </si>
  <si>
    <t>KM 36 TRONCAL CENTRAL DEL NORTE AUTOPISTA BOGOTA TUNJA</t>
  </si>
  <si>
    <t>AV TRONCAL DE OCCIDENTE 20 85 BG 32</t>
  </si>
  <si>
    <t>85873</t>
  </si>
  <si>
    <t>19300</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</si>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</sst>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ontador_Col\AppData\Local\Microsoft\Windows\INetCache\Content.Outlook\7ZC0UCMU\INGRESOS%20FUERA%20DE%20PAIPA.xlsx" TargetMode="External"/><Relationship Id="rId1" Type="http://schemas.openxmlformats.org/officeDocument/2006/relationships/externalLinkPath" Target="file:///C:\Users\contador_Col\AppData\Local\Microsoft\Windows\INetCache\Content.Outlook\7ZC0UCMU\INGRESOS%20FUERA%20DE%20PAIP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IG."/>
      <sheetName val="DEPURACIÓN"/>
      <sheetName val="CONSOLIDADO TRAB"/>
      <sheetName val="CONSOLIDADO"/>
      <sheetName val="CLASIFICACIÓN"/>
      <sheetName val="DEPURACION FINAL TRAB"/>
      <sheetName val="Hoja1"/>
      <sheetName val="Hoja1 (2)"/>
    </sheetNames>
    <sheetDataSet>
      <sheetData sheetId="0"/>
      <sheetData sheetId="1"/>
      <sheetData sheetId="2"/>
      <sheetData sheetId="3"/>
      <sheetData sheetId="4"/>
      <sheetData sheetId="5">
        <row r="1">
          <cell r="A1" t="str">
            <v>NIT / CC DEL CLIENTE</v>
          </cell>
          <cell r="B1" t="str">
            <v xml:space="preserve">NOMBRE O RAZON SOCIAL DEL CLIENTE </v>
          </cell>
          <cell r="C1" t="str">
            <v>TELÉFONO DEL CLIENTE</v>
          </cell>
          <cell r="D1" t="str">
            <v>TELEFONOS CORREGIDOS</v>
          </cell>
          <cell r="E1" t="str">
            <v>CORREO ELECTRÓNICO DEL CLIENTE</v>
          </cell>
          <cell r="F1" t="str">
            <v>DIRECCIÓN DOMICILIO FISCAL DEL CLIENTE</v>
          </cell>
          <cell r="G1" t="str">
            <v xml:space="preserve">DEPARTAMENTO </v>
          </cell>
          <cell r="H1" t="str">
            <v>MUNICIPIO</v>
          </cell>
          <cell r="I1" t="str">
            <v>CÓDIGO DEL MUNICIPIO DEL CLIENTE</v>
          </cell>
          <cell r="J1" t="str">
            <v>CLASIFICACIÓN</v>
          </cell>
          <cell r="K1" t="str">
            <v>CIIU SEGÚN CLASIFICACIÓN</v>
          </cell>
          <cell r="L1" t="str">
            <v>CIIU MUNICIPIO</v>
          </cell>
          <cell r="M1" t="str">
            <v xml:space="preserve">VALOR CONSOLIDADO POR ACTIVIDAD </v>
          </cell>
          <cell r="N1" t="str">
            <v>CÓDIGO DE LA ACTIVIDAD</v>
          </cell>
        </row>
        <row r="2">
          <cell r="A2">
            <v>2400841</v>
          </cell>
          <cell r="B2" t="str">
            <v>TECHNOFILMS LIMITADA</v>
          </cell>
          <cell r="C2" t="str">
            <v>7305900</v>
          </cell>
          <cell r="D2" t="str">
            <v>7305900</v>
          </cell>
          <cell r="E2" t="str">
            <v>rfe_technofilms@technofilms.net</v>
          </cell>
          <cell r="F2" t="str">
            <v>Parque Industrial Gran Sabana, Edificio 32</v>
          </cell>
          <cell r="G2">
            <v>25</v>
          </cell>
          <cell r="H2">
            <v>817</v>
          </cell>
          <cell r="I2" t="str">
            <v>25817</v>
          </cell>
          <cell r="J2" t="str">
            <v>NO GRAVADOS</v>
          </cell>
          <cell r="K2">
            <v>4659</v>
          </cell>
          <cell r="L2">
            <v>219</v>
          </cell>
          <cell r="M2">
            <v>85049606</v>
          </cell>
        </row>
        <row r="3">
          <cell r="A3">
            <v>12980919</v>
          </cell>
          <cell r="B3" t="str">
            <v>GONZALEZ MORA JOSE ENRIQUE</v>
          </cell>
          <cell r="C3" t="str">
            <v>318 7160600</v>
          </cell>
          <cell r="D3">
            <v>3187160600</v>
          </cell>
          <cell r="E3" t="str">
            <v>gonsalessteven@gmail.com</v>
          </cell>
          <cell r="F3" t="str">
            <v>CALLE 10 #23-63 BARRIO OBRERO- PASTO NARIÑO</v>
          </cell>
          <cell r="G3">
            <v>52</v>
          </cell>
          <cell r="H3" t="str">
            <v>001</v>
          </cell>
          <cell r="I3" t="str">
            <v>52001</v>
          </cell>
          <cell r="J3" t="str">
            <v>VENTA DE BIENES</v>
          </cell>
          <cell r="K3">
            <v>4659</v>
          </cell>
          <cell r="L3">
            <v>219</v>
          </cell>
          <cell r="M3">
            <v>1670400</v>
          </cell>
        </row>
        <row r="4">
          <cell r="A4">
            <v>13846792</v>
          </cell>
          <cell r="B4" t="str">
            <v xml:space="preserve">SOTOMONTE MORENO WILLIAM </v>
          </cell>
          <cell r="E4" t="str">
            <v>sami_1105@hotmail.com</v>
          </cell>
          <cell r="F4" t="str">
            <v>CONJ SIERRA NEVADA CA H 17</v>
          </cell>
          <cell r="G4" t="str">
            <v>54</v>
          </cell>
          <cell r="H4" t="str">
            <v>874</v>
          </cell>
          <cell r="I4" t="str">
            <v>54874</v>
          </cell>
          <cell r="J4" t="str">
            <v>42 GRAVADOS</v>
          </cell>
          <cell r="K4">
            <v>4659</v>
          </cell>
          <cell r="L4">
            <v>219</v>
          </cell>
          <cell r="M4">
            <v>2537402</v>
          </cell>
        </row>
        <row r="5">
          <cell r="A5">
            <v>14635237</v>
          </cell>
          <cell r="B5" t="str">
            <v xml:space="preserve">TUNUBALA YALANDA WILMAR </v>
          </cell>
          <cell r="C5" t="str">
            <v>316 5353532</v>
          </cell>
          <cell r="D5">
            <v>3165353532</v>
          </cell>
          <cell r="E5" t="str">
            <v>FACTURACIONWILL@OUTLOOK.COM</v>
          </cell>
          <cell r="F5" t="str">
            <v>CORR EL HORMIGUERO SEC LA ARENITA CA 3</v>
          </cell>
          <cell r="G5" t="str">
            <v>76</v>
          </cell>
          <cell r="H5" t="str">
            <v>001</v>
          </cell>
          <cell r="I5" t="str">
            <v>76001</v>
          </cell>
          <cell r="J5" t="str">
            <v>VENTA DE BIENES</v>
          </cell>
          <cell r="K5">
            <v>4659</v>
          </cell>
          <cell r="L5">
            <v>219</v>
          </cell>
          <cell r="M5">
            <v>1668800</v>
          </cell>
        </row>
        <row r="6">
          <cell r="A6">
            <v>39163954</v>
          </cell>
          <cell r="B6" t="str">
            <v>SANMARTIN URAN MARIA ELSY</v>
          </cell>
          <cell r="C6" t="str">
            <v>315 7927575</v>
          </cell>
          <cell r="D6">
            <v>3157927575</v>
          </cell>
          <cell r="E6" t="str">
            <v>mesy.sanur@gmail.com</v>
          </cell>
          <cell r="F6" t="str">
            <v>CL 35 B 87 A 139 m</v>
          </cell>
          <cell r="G6" t="str">
            <v>05</v>
          </cell>
          <cell r="H6" t="str">
            <v>001</v>
          </cell>
          <cell r="I6" t="str">
            <v>05001</v>
          </cell>
          <cell r="J6" t="str">
            <v>42 GRAVADOS</v>
          </cell>
          <cell r="K6">
            <v>4659</v>
          </cell>
          <cell r="L6">
            <v>219</v>
          </cell>
          <cell r="M6">
            <v>530017</v>
          </cell>
        </row>
        <row r="7">
          <cell r="A7">
            <v>74379830</v>
          </cell>
          <cell r="B7" t="str">
            <v>ESTUPIÑAN CAMARGO ELKIN FABIAN</v>
          </cell>
          <cell r="C7" t="str">
            <v>318 8806942</v>
          </cell>
          <cell r="D7">
            <v>3188806942</v>
          </cell>
          <cell r="E7" t="str">
            <v>inge.estupinan@gmail.com</v>
          </cell>
          <cell r="F7" t="str">
            <v>CRA 50 A 17 B 06 AP 304 IN 2</v>
          </cell>
          <cell r="G7" t="str">
            <v>11</v>
          </cell>
          <cell r="H7" t="str">
            <v>001</v>
          </cell>
          <cell r="I7" t="str">
            <v>11001</v>
          </cell>
          <cell r="J7" t="str">
            <v>VENTA DE BIENES</v>
          </cell>
          <cell r="K7">
            <v>4659</v>
          </cell>
          <cell r="L7">
            <v>219</v>
          </cell>
          <cell r="M7">
            <v>237368</v>
          </cell>
        </row>
        <row r="8">
          <cell r="A8">
            <v>74379830</v>
          </cell>
          <cell r="B8" t="str">
            <v>ESTUPIÑAN CAMARGO ELKIN FABIAN</v>
          </cell>
          <cell r="C8" t="str">
            <v>318 8806942</v>
          </cell>
          <cell r="D8">
            <v>3188806942</v>
          </cell>
          <cell r="E8" t="str">
            <v>inge.estupinan@gmail.com</v>
          </cell>
          <cell r="F8" t="str">
            <v>CRA 50 A 17 B 06 AP 304 IN 2</v>
          </cell>
          <cell r="G8" t="str">
            <v>11</v>
          </cell>
          <cell r="H8" t="str">
            <v>001</v>
          </cell>
          <cell r="I8" t="str">
            <v>11001</v>
          </cell>
          <cell r="J8" t="str">
            <v>TRANSPORTE</v>
          </cell>
          <cell r="K8">
            <v>3312</v>
          </cell>
          <cell r="L8">
            <v>334</v>
          </cell>
          <cell r="M8">
            <v>29000</v>
          </cell>
        </row>
        <row r="9">
          <cell r="A9">
            <v>75103205</v>
          </cell>
          <cell r="B9" t="str">
            <v>RAMIREZ CORREA JORGE LUIS</v>
          </cell>
          <cell r="C9" t="str">
            <v>300 3894079</v>
          </cell>
          <cell r="D9">
            <v>3003894079</v>
          </cell>
          <cell r="E9" t="str">
            <v>SUMIFERSAS@GMAIL.COM</v>
          </cell>
          <cell r="F9" t="str">
            <v>CALLE 36 N 26 51 BARRIO SAN ISIDRO</v>
          </cell>
          <cell r="G9" t="str">
            <v>50</v>
          </cell>
          <cell r="H9" t="str">
            <v>001</v>
          </cell>
          <cell r="I9" t="str">
            <v>50001</v>
          </cell>
          <cell r="J9" t="str">
            <v>VENTA DE BIENES</v>
          </cell>
          <cell r="K9">
            <v>4659</v>
          </cell>
          <cell r="L9">
            <v>219</v>
          </cell>
          <cell r="M9">
            <v>285901</v>
          </cell>
        </row>
        <row r="10">
          <cell r="A10">
            <v>80086059</v>
          </cell>
          <cell r="B10" t="str">
            <v>CHAPARRO PEREZ CRISTIAN CAMILO</v>
          </cell>
          <cell r="E10" t="str">
            <v>tristianlo@yahoo.com</v>
          </cell>
          <cell r="F10" t="str">
            <v>CL 19 13 96 CONJ EL PORTAL CA 10</v>
          </cell>
          <cell r="G10" t="str">
            <v>25</v>
          </cell>
          <cell r="H10" t="str">
            <v>175</v>
          </cell>
          <cell r="I10" t="str">
            <v>25175</v>
          </cell>
          <cell r="J10" t="str">
            <v>VENTA DE BIENES</v>
          </cell>
          <cell r="K10">
            <v>4659</v>
          </cell>
          <cell r="L10">
            <v>219</v>
          </cell>
          <cell r="M10">
            <v>882850</v>
          </cell>
        </row>
        <row r="11">
          <cell r="A11">
            <v>102473249</v>
          </cell>
          <cell r="B11" t="str">
            <v>CRITICAL COMMUNICATION CARIBBEAN BV</v>
          </cell>
          <cell r="C11">
            <v>3115603775</v>
          </cell>
          <cell r="D11">
            <v>3115603775</v>
          </cell>
          <cell r="E11" t="str">
            <v>info@colsein.com.co</v>
          </cell>
          <cell r="F11" t="str">
            <v>Parque Industrial Gran Sabana, Edificio 32</v>
          </cell>
          <cell r="G11">
            <v>25</v>
          </cell>
          <cell r="H11">
            <v>817</v>
          </cell>
          <cell r="I11" t="str">
            <v>25817</v>
          </cell>
          <cell r="J11" t="str">
            <v>42 GRAVADOS</v>
          </cell>
          <cell r="K11">
            <v>4659</v>
          </cell>
          <cell r="L11">
            <v>219</v>
          </cell>
          <cell r="M11">
            <v>2226711</v>
          </cell>
        </row>
        <row r="12">
          <cell r="A12">
            <v>222222222</v>
          </cell>
          <cell r="B12" t="str">
            <v>CUANTIAS MENORES</v>
          </cell>
          <cell r="D12">
            <v>3115603775</v>
          </cell>
          <cell r="E12" t="str">
            <v>info@colsein.com.co</v>
          </cell>
          <cell r="F12" t="str">
            <v>Parque Industrial Gran Sabana, Edificio 32</v>
          </cell>
          <cell r="G12">
            <v>25</v>
          </cell>
          <cell r="H12">
            <v>817</v>
          </cell>
          <cell r="I12" t="str">
            <v>25817</v>
          </cell>
          <cell r="J12" t="str">
            <v>VENTA DE BIENES</v>
          </cell>
          <cell r="K12">
            <v>4659</v>
          </cell>
          <cell r="L12">
            <v>219</v>
          </cell>
          <cell r="M12">
            <v>335128</v>
          </cell>
        </row>
        <row r="13">
          <cell r="A13">
            <v>222222222</v>
          </cell>
          <cell r="B13" t="str">
            <v>CUANTIAS MENORES</v>
          </cell>
          <cell r="D13">
            <v>3115603775</v>
          </cell>
          <cell r="E13" t="str">
            <v>info@colsein.com.co</v>
          </cell>
          <cell r="F13" t="str">
            <v>Parque Industrial Gran Sabana, Edificio 32</v>
          </cell>
          <cell r="G13">
            <v>25</v>
          </cell>
          <cell r="H13">
            <v>817</v>
          </cell>
          <cell r="I13" t="str">
            <v>25817</v>
          </cell>
          <cell r="J13" t="str">
            <v>VENTA DE BIENES</v>
          </cell>
          <cell r="K13">
            <v>4659</v>
          </cell>
          <cell r="L13">
            <v>219</v>
          </cell>
          <cell r="M13">
            <v>3314409</v>
          </cell>
        </row>
        <row r="14">
          <cell r="A14">
            <v>232549974</v>
          </cell>
          <cell r="B14" t="str">
            <v xml:space="preserve">WONDERWARE NORTH </v>
          </cell>
          <cell r="C14" t="str">
            <v>N/A</v>
          </cell>
          <cell r="D14">
            <v>3115603775</v>
          </cell>
          <cell r="E14" t="str">
            <v>info@colsein.com.co</v>
          </cell>
          <cell r="F14" t="str">
            <v>Parque Industrial Gran Sabana, Edificio 32</v>
          </cell>
          <cell r="G14">
            <v>25</v>
          </cell>
          <cell r="H14">
            <v>817</v>
          </cell>
          <cell r="I14" t="str">
            <v>25817</v>
          </cell>
          <cell r="J14" t="str">
            <v>VENTA DE BIENES</v>
          </cell>
          <cell r="K14">
            <v>4659</v>
          </cell>
          <cell r="L14">
            <v>219</v>
          </cell>
          <cell r="M14">
            <v>233007089</v>
          </cell>
        </row>
        <row r="15">
          <cell r="A15">
            <v>454372138</v>
          </cell>
          <cell r="B15" t="str">
            <v>LGA SYSTEMS INSTRUMENTS &amp; MACHINERY, LLC</v>
          </cell>
          <cell r="C15" t="str">
            <v>N/A</v>
          </cell>
          <cell r="D15">
            <v>3115603775</v>
          </cell>
          <cell r="E15" t="str">
            <v>info@colsein.com.co</v>
          </cell>
          <cell r="F15" t="str">
            <v>Parque Industrial Gran Sabana, Edificio 32</v>
          </cell>
          <cell r="G15">
            <v>25</v>
          </cell>
          <cell r="H15">
            <v>817</v>
          </cell>
          <cell r="I15" t="str">
            <v>25817</v>
          </cell>
          <cell r="J15" t="str">
            <v>NO GRAVADOS</v>
          </cell>
          <cell r="K15">
            <v>4659</v>
          </cell>
          <cell r="L15">
            <v>219</v>
          </cell>
          <cell r="M15">
            <v>73588494</v>
          </cell>
        </row>
        <row r="16">
          <cell r="A16">
            <v>472573795</v>
          </cell>
          <cell r="B16" t="str">
            <v xml:space="preserve">AVEVA SOFTWARE LLC </v>
          </cell>
          <cell r="C16" t="str">
            <v>N/A</v>
          </cell>
          <cell r="D16">
            <v>3115603775</v>
          </cell>
          <cell r="E16" t="str">
            <v>info@colsein.com.co</v>
          </cell>
          <cell r="F16" t="str">
            <v>Parque Industrial Gran Sabana, Edificio 32</v>
          </cell>
          <cell r="G16">
            <v>25</v>
          </cell>
          <cell r="H16">
            <v>817</v>
          </cell>
          <cell r="I16" t="str">
            <v>25817</v>
          </cell>
          <cell r="J16" t="str">
            <v>VENTA DE BIENES</v>
          </cell>
          <cell r="K16">
            <v>4659</v>
          </cell>
          <cell r="L16">
            <v>219</v>
          </cell>
          <cell r="M16">
            <v>67960466</v>
          </cell>
        </row>
        <row r="17">
          <cell r="A17">
            <v>700226908</v>
          </cell>
          <cell r="B17" t="str">
            <v>GUTIERREZ ANGEL EDUBEN JOSE</v>
          </cell>
          <cell r="C17" t="str">
            <v>322 9448626</v>
          </cell>
          <cell r="D17">
            <v>3229448626</v>
          </cell>
          <cell r="E17" t="str">
            <v>edubeng7@gmail.com</v>
          </cell>
          <cell r="F17" t="str">
            <v>CR 81 #75 58</v>
          </cell>
          <cell r="G17" t="str">
            <v>11</v>
          </cell>
          <cell r="H17" t="str">
            <v>001</v>
          </cell>
          <cell r="I17" t="str">
            <v>11001</v>
          </cell>
          <cell r="J17" t="str">
            <v>42 GRAVADOS</v>
          </cell>
          <cell r="K17">
            <v>4659</v>
          </cell>
          <cell r="L17">
            <v>219</v>
          </cell>
          <cell r="M17">
            <v>2040123</v>
          </cell>
        </row>
        <row r="18">
          <cell r="A18">
            <v>700407104</v>
          </cell>
          <cell r="B18" t="str">
            <v>ARTIGAS MILLA NORKELIS CAROLINA</v>
          </cell>
          <cell r="C18" t="str">
            <v>313 3070278</v>
          </cell>
          <cell r="D18">
            <v>3133070278</v>
          </cell>
          <cell r="E18" t="str">
            <v>ARTIGASNORKE2013@GMAIL.COM</v>
          </cell>
          <cell r="F18" t="str">
            <v>Parque Industrial Gran Sabana, Edificio 32</v>
          </cell>
          <cell r="G18">
            <v>25</v>
          </cell>
          <cell r="H18">
            <v>817</v>
          </cell>
          <cell r="I18" t="str">
            <v>25817</v>
          </cell>
          <cell r="J18" t="str">
            <v>VENTA DE BIENES</v>
          </cell>
          <cell r="K18">
            <v>4659</v>
          </cell>
          <cell r="L18">
            <v>219</v>
          </cell>
          <cell r="M18">
            <v>6094415</v>
          </cell>
        </row>
        <row r="19">
          <cell r="A19">
            <v>800000750</v>
          </cell>
          <cell r="B19" t="str">
            <v>PETROSANTANDER (COLOMBIA) GMBH</v>
          </cell>
          <cell r="C19" t="str">
            <v>13493660</v>
          </cell>
          <cell r="D19" t="str">
            <v>13493660</v>
          </cell>
          <cell r="E19" t="str">
            <v>800000750@FACTUREINBOX.CO</v>
          </cell>
          <cell r="F19" t="str">
            <v>CL 72 8 24 OF 1001</v>
          </cell>
          <cell r="G19" t="str">
            <v>11</v>
          </cell>
          <cell r="H19" t="str">
            <v>001</v>
          </cell>
          <cell r="I19" t="str">
            <v>11001</v>
          </cell>
          <cell r="J19" t="str">
            <v>VENTA DE BIENES</v>
          </cell>
          <cell r="K19">
            <v>4659</v>
          </cell>
          <cell r="L19">
            <v>219</v>
          </cell>
          <cell r="M19">
            <v>10329770</v>
          </cell>
        </row>
        <row r="20">
          <cell r="A20">
            <v>800000750</v>
          </cell>
          <cell r="B20" t="str">
            <v>PETROSANTANDER (COLOMBIA) GMBH</v>
          </cell>
          <cell r="C20" t="str">
            <v>13493660</v>
          </cell>
          <cell r="D20" t="str">
            <v>13493660</v>
          </cell>
          <cell r="E20" t="str">
            <v>800000750@FACTUREINBOX.CO</v>
          </cell>
          <cell r="F20" t="str">
            <v>CL 72 8 24 OF 1001</v>
          </cell>
          <cell r="G20" t="str">
            <v>11</v>
          </cell>
          <cell r="H20" t="str">
            <v>001</v>
          </cell>
          <cell r="I20" t="str">
            <v>11001</v>
          </cell>
          <cell r="J20" t="str">
            <v>42 GRAVADOS</v>
          </cell>
          <cell r="K20">
            <v>4659</v>
          </cell>
          <cell r="L20">
            <v>219</v>
          </cell>
          <cell r="M20">
            <v>3058</v>
          </cell>
        </row>
        <row r="21">
          <cell r="A21">
            <v>800002030</v>
          </cell>
          <cell r="B21" t="str">
            <v>COLSEIN SAS</v>
          </cell>
          <cell r="C21" t="str">
            <v>8698789</v>
          </cell>
          <cell r="D21" t="str">
            <v>8698789</v>
          </cell>
          <cell r="E21" t="str">
            <v>contabilidad@colsein.com.co</v>
          </cell>
          <cell r="F21" t="str">
            <v/>
          </cell>
          <cell r="G21" t="str">
            <v>25</v>
          </cell>
          <cell r="H21" t="str">
            <v>817</v>
          </cell>
          <cell r="I21" t="str">
            <v>25817</v>
          </cell>
          <cell r="J21" t="str">
            <v>42 GRAVADOS</v>
          </cell>
          <cell r="K21">
            <v>4659</v>
          </cell>
          <cell r="L21">
            <v>219</v>
          </cell>
          <cell r="M21">
            <v>150249170</v>
          </cell>
        </row>
        <row r="22">
          <cell r="A22">
            <v>800002482</v>
          </cell>
          <cell r="B22" t="str">
            <v>VARIADORES S.A.S</v>
          </cell>
          <cell r="C22" t="str">
            <v>+570000</v>
          </cell>
          <cell r="E22" t="str">
            <v>RECEPCIONFACTURAS@VARIADORES.COM.CO</v>
          </cell>
          <cell r="F22" t="str">
            <v>CL 24 (AV LA ESPERANZA) 95-12</v>
          </cell>
          <cell r="G22">
            <v>11</v>
          </cell>
          <cell r="H22" t="str">
            <v>001</v>
          </cell>
          <cell r="I22" t="str">
            <v>11001</v>
          </cell>
          <cell r="J22" t="str">
            <v>VENTA DE BIENES</v>
          </cell>
          <cell r="K22">
            <v>4659</v>
          </cell>
          <cell r="L22">
            <v>219</v>
          </cell>
          <cell r="M22">
            <v>372398571</v>
          </cell>
        </row>
        <row r="23">
          <cell r="A23">
            <v>800003781</v>
          </cell>
          <cell r="B23" t="str">
            <v>V R INGENIERIA Y MERCADEO S A S</v>
          </cell>
          <cell r="C23" t="str">
            <v>+570000</v>
          </cell>
          <cell r="E23" t="str">
            <v>FACTURAEPROVEEDORES@VRINGENIERIA.COM.CO</v>
          </cell>
          <cell r="F23" t="str">
            <v>CR 126 17-10 FONTIBON</v>
          </cell>
          <cell r="G23" t="str">
            <v>11</v>
          </cell>
          <cell r="H23" t="str">
            <v>001</v>
          </cell>
          <cell r="I23" t="str">
            <v>11001</v>
          </cell>
          <cell r="J23" t="str">
            <v>VENTA DE BIENES</v>
          </cell>
          <cell r="K23">
            <v>4659</v>
          </cell>
          <cell r="L23">
            <v>219</v>
          </cell>
          <cell r="M23">
            <v>5298720</v>
          </cell>
        </row>
        <row r="24">
          <cell r="A24">
            <v>800007202</v>
          </cell>
          <cell r="B24" t="str">
            <v>ALTALENE SA</v>
          </cell>
          <cell r="D24">
            <v>3102630177</v>
          </cell>
          <cell r="E24" t="str">
            <v>rfe_altalene@altalene.net</v>
          </cell>
          <cell r="F24" t="str">
            <v>AC 57 R SUR 73 I-75</v>
          </cell>
          <cell r="G24">
            <v>11</v>
          </cell>
          <cell r="H24" t="str">
            <v>001</v>
          </cell>
          <cell r="I24" t="str">
            <v>11001</v>
          </cell>
          <cell r="J24" t="str">
            <v>VENTA DE BIENES</v>
          </cell>
          <cell r="K24">
            <v>4659</v>
          </cell>
          <cell r="L24">
            <v>219</v>
          </cell>
          <cell r="M24">
            <v>25988561</v>
          </cell>
        </row>
        <row r="25">
          <cell r="A25">
            <v>800008639</v>
          </cell>
          <cell r="B25" t="str">
            <v>INESSMAN LTDA</v>
          </cell>
          <cell r="C25" t="str">
            <v>4162296</v>
          </cell>
          <cell r="D25" t="str">
            <v>4162296</v>
          </cell>
          <cell r="E25" t="str">
            <v>juliosalazar@inessman.com</v>
          </cell>
          <cell r="F25" t="str">
            <v>CALLE 25 D 81 A 82</v>
          </cell>
          <cell r="G25" t="str">
            <v>11</v>
          </cell>
          <cell r="H25" t="str">
            <v>001</v>
          </cell>
          <cell r="I25" t="str">
            <v>11001</v>
          </cell>
          <cell r="J25" t="str">
            <v>SERV MTTO</v>
          </cell>
          <cell r="K25">
            <v>3312</v>
          </cell>
          <cell r="L25">
            <v>334</v>
          </cell>
          <cell r="M25">
            <v>115000</v>
          </cell>
        </row>
        <row r="26">
          <cell r="A26">
            <v>800008639</v>
          </cell>
          <cell r="B26" t="str">
            <v>INESSMAN LTDA</v>
          </cell>
          <cell r="C26" t="str">
            <v>4162296</v>
          </cell>
          <cell r="D26" t="str">
            <v>4162296</v>
          </cell>
          <cell r="E26" t="str">
            <v>juliosalazar@inessman.com</v>
          </cell>
          <cell r="F26" t="str">
            <v>CALLE 25 D 81 A 82</v>
          </cell>
          <cell r="G26" t="str">
            <v>11</v>
          </cell>
          <cell r="H26" t="str">
            <v>001</v>
          </cell>
          <cell r="I26" t="str">
            <v>11001</v>
          </cell>
          <cell r="J26" t="str">
            <v>VENTA DE BIENES</v>
          </cell>
          <cell r="K26">
            <v>4659</v>
          </cell>
          <cell r="L26">
            <v>219</v>
          </cell>
          <cell r="M26">
            <v>29259941</v>
          </cell>
        </row>
        <row r="27">
          <cell r="A27">
            <v>800011987</v>
          </cell>
          <cell r="B27" t="str">
            <v>TENARIS TUBOCARIBE LTDA</v>
          </cell>
          <cell r="C27" t="str">
            <v>+570000</v>
          </cell>
          <cell r="E27" t="str">
            <v>FACT.ELECTRONICAS.COL@TENARIS.COM</v>
          </cell>
          <cell r="F27" t="str">
            <v>PAR INDUSTRIAL CARLOS VELEZ</v>
          </cell>
          <cell r="G27">
            <v>13</v>
          </cell>
          <cell r="H27" t="str">
            <v>001</v>
          </cell>
          <cell r="I27" t="str">
            <v>13001</v>
          </cell>
          <cell r="J27" t="str">
            <v>VENTA DE BIENES</v>
          </cell>
          <cell r="K27">
            <v>4659</v>
          </cell>
          <cell r="L27">
            <v>219</v>
          </cell>
          <cell r="M27">
            <v>241137548</v>
          </cell>
        </row>
        <row r="28">
          <cell r="A28">
            <v>800018359</v>
          </cell>
          <cell r="B28" t="str">
            <v>BEL STAR S.A.</v>
          </cell>
          <cell r="C28" t="str">
            <v>+570000</v>
          </cell>
          <cell r="E28" t="str">
            <v>PORTALWEB_CO_FE_BELSTAR@BELCORP.BIZ</v>
          </cell>
          <cell r="F28" t="str">
            <v>TV 17 125-022</v>
          </cell>
          <cell r="G28" t="str">
            <v>25</v>
          </cell>
          <cell r="H28" t="str">
            <v>817</v>
          </cell>
          <cell r="I28" t="str">
            <v>25817</v>
          </cell>
          <cell r="J28" t="str">
            <v>VENTA DE BIENES</v>
          </cell>
          <cell r="K28">
            <v>4659</v>
          </cell>
          <cell r="L28">
            <v>219</v>
          </cell>
          <cell r="M28">
            <v>33042883</v>
          </cell>
        </row>
        <row r="29">
          <cell r="A29">
            <v>800019437</v>
          </cell>
          <cell r="B29" t="str">
            <v>CORRUGADOS DEL DARIEN S.A.S</v>
          </cell>
          <cell r="C29" t="str">
            <v>8293232</v>
          </cell>
          <cell r="D29" t="str">
            <v>8293232</v>
          </cell>
          <cell r="E29" t="str">
            <v>centro.documental@cordarien.com.co</v>
          </cell>
          <cell r="F29" t="str">
            <v>KM 2 VIA A TURBO</v>
          </cell>
          <cell r="G29" t="str">
            <v>05</v>
          </cell>
          <cell r="H29" t="str">
            <v>045</v>
          </cell>
          <cell r="I29" t="str">
            <v>05045</v>
          </cell>
          <cell r="J29" t="str">
            <v>VENTA DE BIENES</v>
          </cell>
          <cell r="K29">
            <v>4659</v>
          </cell>
          <cell r="L29">
            <v>219</v>
          </cell>
          <cell r="M29">
            <v>5211863</v>
          </cell>
        </row>
        <row r="30">
          <cell r="A30">
            <v>800022558</v>
          </cell>
          <cell r="B30" t="str">
            <v>BATERIAS WILLARD SA</v>
          </cell>
          <cell r="C30" t="str">
            <v>+570000</v>
          </cell>
          <cell r="E30" t="str">
            <v>FACTURTACION.ELECTRONICA@BATERIASWILLARD.COM</v>
          </cell>
          <cell r="F30" t="str">
            <v>PARQUE INDUSTRIAL MALAMBO PIMSA</v>
          </cell>
          <cell r="G30" t="str">
            <v>08</v>
          </cell>
          <cell r="H30" t="str">
            <v>433</v>
          </cell>
          <cell r="I30" t="str">
            <v>08433</v>
          </cell>
          <cell r="J30" t="str">
            <v>VENTA DE BIENES</v>
          </cell>
          <cell r="K30">
            <v>4659</v>
          </cell>
          <cell r="L30">
            <v>219</v>
          </cell>
          <cell r="M30">
            <v>6245040</v>
          </cell>
        </row>
        <row r="31">
          <cell r="A31">
            <v>800022623</v>
          </cell>
          <cell r="B31" t="str">
            <v>H R G INGENIERIA LTDA</v>
          </cell>
          <cell r="C31" t="str">
            <v>+570000</v>
          </cell>
          <cell r="E31" t="str">
            <v>COMERCIAL@HRGING.COM</v>
          </cell>
          <cell r="F31" t="str">
            <v>CL 68 90A-20</v>
          </cell>
          <cell r="G31" t="str">
            <v>11</v>
          </cell>
          <cell r="H31" t="str">
            <v>001</v>
          </cell>
          <cell r="I31" t="str">
            <v>11001</v>
          </cell>
          <cell r="J31" t="str">
            <v>VENTA DE BIENES</v>
          </cell>
          <cell r="K31">
            <v>4659</v>
          </cell>
          <cell r="L31">
            <v>219</v>
          </cell>
          <cell r="M31">
            <v>5790701</v>
          </cell>
        </row>
        <row r="32">
          <cell r="A32">
            <v>800027222</v>
          </cell>
          <cell r="B32" t="str">
            <v>CONSTRUCCIONES ACUSTICAS SAS</v>
          </cell>
          <cell r="C32" t="str">
            <v>+570000</v>
          </cell>
          <cell r="E32" t="str">
            <v>FACTURAELECTRONICA@ACUSTICAL.COM</v>
          </cell>
          <cell r="F32" t="str">
            <v>CL 79A 74-29</v>
          </cell>
          <cell r="G32" t="str">
            <v>11</v>
          </cell>
          <cell r="H32" t="str">
            <v>001</v>
          </cell>
          <cell r="I32" t="str">
            <v>11001</v>
          </cell>
          <cell r="J32" t="str">
            <v>VENTA DE BIENES</v>
          </cell>
          <cell r="K32">
            <v>4659</v>
          </cell>
          <cell r="L32">
            <v>219</v>
          </cell>
          <cell r="M32">
            <v>1711743</v>
          </cell>
        </row>
        <row r="33">
          <cell r="A33">
            <v>800032071</v>
          </cell>
          <cell r="B33" t="str">
            <v>EMBOTELLADORA CAPRI LTDA</v>
          </cell>
          <cell r="D33">
            <v>8844632</v>
          </cell>
          <cell r="E33" t="str">
            <v>FACTURA.ELECTRONICA@EMBOTELLADORACAPRI.COM</v>
          </cell>
          <cell r="F33" t="str">
            <v/>
          </cell>
          <cell r="G33" t="str">
            <v>25</v>
          </cell>
          <cell r="H33" t="str">
            <v>175</v>
          </cell>
          <cell r="I33" t="str">
            <v>25175</v>
          </cell>
          <cell r="J33" t="str">
            <v>VENTA DE BIENES</v>
          </cell>
          <cell r="K33">
            <v>4659</v>
          </cell>
          <cell r="L33">
            <v>219</v>
          </cell>
          <cell r="M33">
            <v>2424800</v>
          </cell>
        </row>
        <row r="34">
          <cell r="A34">
            <v>800042867</v>
          </cell>
          <cell r="B34" t="str">
            <v>METALTECO S.A.S</v>
          </cell>
          <cell r="C34" t="str">
            <v>+570000</v>
          </cell>
          <cell r="E34" t="str">
            <v>RECEPCIONFACTURAS@METALTECO.COM</v>
          </cell>
          <cell r="F34" t="str">
            <v>KM 6 VIA A GIRON</v>
          </cell>
          <cell r="G34" t="str">
            <v>68</v>
          </cell>
          <cell r="H34" t="str">
            <v>001</v>
          </cell>
          <cell r="I34" t="str">
            <v>68001</v>
          </cell>
          <cell r="J34" t="str">
            <v>VENTA DE BIENES</v>
          </cell>
          <cell r="K34">
            <v>4659</v>
          </cell>
          <cell r="L34">
            <v>219</v>
          </cell>
          <cell r="M34">
            <v>1295280</v>
          </cell>
        </row>
        <row r="35">
          <cell r="A35">
            <v>800042972</v>
          </cell>
          <cell r="B35" t="str">
            <v>INGENIERIA SUMINISTROS Y REPRESENTACIONES DE COLOMBIA SAS</v>
          </cell>
          <cell r="C35" t="str">
            <v>+570000</v>
          </cell>
          <cell r="E35" t="str">
            <v>800042972@FACTUREINBOX.CO</v>
          </cell>
          <cell r="F35" t="str">
            <v>Calle 73#18-82 Barrio la Libertad</v>
          </cell>
          <cell r="G35" t="str">
            <v>68</v>
          </cell>
          <cell r="H35" t="str">
            <v>001</v>
          </cell>
          <cell r="I35" t="str">
            <v>68001</v>
          </cell>
          <cell r="J35" t="str">
            <v>VENTA DE BIENES</v>
          </cell>
          <cell r="K35">
            <v>4659</v>
          </cell>
          <cell r="L35">
            <v>219</v>
          </cell>
          <cell r="M35">
            <v>1500064</v>
          </cell>
        </row>
        <row r="36">
          <cell r="A36">
            <v>800048943</v>
          </cell>
          <cell r="B36" t="str">
            <v>TAGHLEEF LATIN AMERICA SA</v>
          </cell>
          <cell r="C36" t="str">
            <v>+570000</v>
          </cell>
          <cell r="E36" t="str">
            <v>800048943@FACTUREINBOX.CO</v>
          </cell>
          <cell r="F36" t="str">
            <v>KM 5 VIA MAMONAL SEC  PUERTO DE HIERRO</v>
          </cell>
          <cell r="G36" t="str">
            <v>13</v>
          </cell>
          <cell r="H36" t="str">
            <v>001</v>
          </cell>
          <cell r="I36" t="str">
            <v>13001</v>
          </cell>
          <cell r="J36" t="str">
            <v>VENTA DE BIENES</v>
          </cell>
          <cell r="K36">
            <v>4659</v>
          </cell>
          <cell r="L36">
            <v>219</v>
          </cell>
          <cell r="M36">
            <v>1666450</v>
          </cell>
        </row>
        <row r="37">
          <cell r="A37">
            <v>800048974</v>
          </cell>
          <cell r="B37" t="str">
            <v>P S I FERRETERIA LIMITADA</v>
          </cell>
          <cell r="C37" t="str">
            <v>+570000</v>
          </cell>
          <cell r="E37" t="str">
            <v>FACTURACIONELECTRONICA@PSIFERRETERIALTDA.COM</v>
          </cell>
          <cell r="F37" t="str">
            <v>CR 27 13-15 OF 302</v>
          </cell>
          <cell r="G37" t="str">
            <v>11</v>
          </cell>
          <cell r="H37" t="str">
            <v>001</v>
          </cell>
          <cell r="I37" t="str">
            <v>11001</v>
          </cell>
          <cell r="J37" t="str">
            <v>VENTA DE BIENES</v>
          </cell>
          <cell r="K37">
            <v>4659</v>
          </cell>
          <cell r="L37">
            <v>219</v>
          </cell>
          <cell r="M37">
            <v>28361948</v>
          </cell>
        </row>
        <row r="38">
          <cell r="A38">
            <v>800052640</v>
          </cell>
          <cell r="B38" t="str">
            <v>EMPRESA DE ENERGIA DEL QUINDIO S.A. E.S.P.</v>
          </cell>
          <cell r="C38" t="str">
            <v>+570000</v>
          </cell>
          <cell r="E38" t="str">
            <v>FACTURAELECTRONICA@EDEQ.COM.CO</v>
          </cell>
          <cell r="F38" t="str">
            <v>CR 13 14-17</v>
          </cell>
          <cell r="G38">
            <v>63</v>
          </cell>
          <cell r="H38" t="str">
            <v>001</v>
          </cell>
          <cell r="I38" t="str">
            <v>63001</v>
          </cell>
          <cell r="J38" t="str">
            <v>VENTA DE BIENES</v>
          </cell>
          <cell r="K38">
            <v>4659</v>
          </cell>
          <cell r="L38">
            <v>219</v>
          </cell>
          <cell r="M38">
            <v>15923210</v>
          </cell>
        </row>
        <row r="39">
          <cell r="A39">
            <v>800057428</v>
          </cell>
          <cell r="B39" t="str">
            <v>FERRETERIA VALLEJO S.A.S</v>
          </cell>
          <cell r="C39" t="str">
            <v>318 3118383</v>
          </cell>
          <cell r="D39">
            <v>3183118383</v>
          </cell>
          <cell r="E39" t="str">
            <v>ELECTRONICA@FERRETERIAVALLEJO.CO</v>
          </cell>
          <cell r="F39" t="str">
            <v/>
          </cell>
          <cell r="G39" t="str">
            <v>08</v>
          </cell>
          <cell r="H39" t="str">
            <v>001</v>
          </cell>
          <cell r="I39" t="str">
            <v>08001</v>
          </cell>
          <cell r="J39" t="str">
            <v>VENTA DE BIENES</v>
          </cell>
          <cell r="K39">
            <v>4659</v>
          </cell>
          <cell r="L39">
            <v>219</v>
          </cell>
          <cell r="M39">
            <v>8505564</v>
          </cell>
        </row>
        <row r="40">
          <cell r="A40">
            <v>800057428</v>
          </cell>
          <cell r="B40" t="str">
            <v>FERRETERIA VALLEJO S.A.S</v>
          </cell>
          <cell r="C40" t="str">
            <v>318 3118383</v>
          </cell>
          <cell r="D40">
            <v>3183118383</v>
          </cell>
          <cell r="E40" t="str">
            <v>ELECTRONICA@FERRETERIAVALLEJO.CO</v>
          </cell>
          <cell r="F40" t="str">
            <v/>
          </cell>
          <cell r="G40" t="str">
            <v>08</v>
          </cell>
          <cell r="H40" t="str">
            <v>001</v>
          </cell>
          <cell r="I40" t="str">
            <v>08001</v>
          </cell>
          <cell r="J40" t="str">
            <v>TRANSPORTE</v>
          </cell>
          <cell r="K40">
            <v>3312</v>
          </cell>
          <cell r="L40">
            <v>334</v>
          </cell>
          <cell r="M40">
            <v>93000</v>
          </cell>
        </row>
        <row r="41">
          <cell r="A41">
            <v>800058709</v>
          </cell>
          <cell r="B41" t="str">
            <v>GRUPO LOPERA INGENIEROS S.A</v>
          </cell>
          <cell r="C41" t="str">
            <v>311 3165554</v>
          </cell>
          <cell r="D41">
            <v>3113165554</v>
          </cell>
          <cell r="E41" t="str">
            <v>fernandol@glingenieros.com.co</v>
          </cell>
          <cell r="F41" t="str">
            <v>Avenida 30 de Agosto No. 40 - 45</v>
          </cell>
          <cell r="G41" t="str">
            <v>66</v>
          </cell>
          <cell r="H41" t="str">
            <v>001</v>
          </cell>
          <cell r="I41" t="str">
            <v>66001</v>
          </cell>
          <cell r="J41" t="str">
            <v>VENTA DE BIENES</v>
          </cell>
          <cell r="K41">
            <v>4659</v>
          </cell>
          <cell r="L41">
            <v>219</v>
          </cell>
          <cell r="M41">
            <v>5399927</v>
          </cell>
        </row>
        <row r="42">
          <cell r="A42">
            <v>800058709</v>
          </cell>
          <cell r="B42" t="str">
            <v>GRUPO LOPERA INGENIEROS S.A</v>
          </cell>
          <cell r="C42" t="str">
            <v>311 3165554</v>
          </cell>
          <cell r="D42">
            <v>3113165554</v>
          </cell>
          <cell r="E42" t="str">
            <v>fernandol@glingenieros.com.co</v>
          </cell>
          <cell r="F42" t="str">
            <v>Avenida 30 de Agosto No. 40 - 45</v>
          </cell>
          <cell r="G42" t="str">
            <v>66</v>
          </cell>
          <cell r="H42" t="str">
            <v>001</v>
          </cell>
          <cell r="I42" t="str">
            <v>66001</v>
          </cell>
          <cell r="J42" t="str">
            <v>42 GRAVADOS</v>
          </cell>
          <cell r="K42">
            <v>4659</v>
          </cell>
          <cell r="L42">
            <v>219</v>
          </cell>
          <cell r="M42">
            <v>25700</v>
          </cell>
        </row>
        <row r="43">
          <cell r="A43">
            <v>800059470</v>
          </cell>
          <cell r="B43" t="str">
            <v>ESENTTIA S A</v>
          </cell>
          <cell r="C43" t="str">
            <v>+570000</v>
          </cell>
          <cell r="E43" t="str">
            <v>FACTURACION@ESENTTIA.CO</v>
          </cell>
          <cell r="F43" t="str">
            <v>ZN  INDUSTRIAL MAMONAL KM 8</v>
          </cell>
          <cell r="G43" t="str">
            <v>13</v>
          </cell>
          <cell r="H43" t="str">
            <v>001</v>
          </cell>
          <cell r="I43" t="str">
            <v>13001</v>
          </cell>
          <cell r="J43" t="str">
            <v>VENTA DE BIENES</v>
          </cell>
          <cell r="K43">
            <v>4659</v>
          </cell>
          <cell r="L43">
            <v>219</v>
          </cell>
          <cell r="M43">
            <v>16745912</v>
          </cell>
        </row>
        <row r="44">
          <cell r="A44">
            <v>800061585</v>
          </cell>
          <cell r="B44" t="str">
            <v>FESTO S.A.S</v>
          </cell>
          <cell r="D44">
            <v>3155370065</v>
          </cell>
          <cell r="E44" t="str">
            <v>CUENTASPORPAGAR.CO@FESTO.COM</v>
          </cell>
          <cell r="F44" t="str">
            <v>CL   26   69   76 OF 1103 Y 1104 TO 1</v>
          </cell>
          <cell r="G44">
            <v>11</v>
          </cell>
          <cell r="H44" t="str">
            <v>001</v>
          </cell>
          <cell r="I44" t="str">
            <v>11001</v>
          </cell>
          <cell r="J44" t="str">
            <v>VENTA DE BIENES</v>
          </cell>
          <cell r="K44">
            <v>4659</v>
          </cell>
          <cell r="L44">
            <v>219</v>
          </cell>
          <cell r="M44">
            <v>12737574</v>
          </cell>
        </row>
        <row r="45">
          <cell r="A45">
            <v>800064005</v>
          </cell>
          <cell r="B45" t="str">
            <v>SERINPET LTDA REPRESENTACIONES Y SERVICIOS DE PETROLEOS</v>
          </cell>
          <cell r="C45" t="str">
            <v>+570000</v>
          </cell>
          <cell r="E45" t="str">
            <v>FACTURACION@SERINPET.COM</v>
          </cell>
          <cell r="F45" t="str">
            <v>AV SUBA-COTA KM 3 LA CONEJERA</v>
          </cell>
          <cell r="G45">
            <v>11</v>
          </cell>
          <cell r="H45" t="str">
            <v>001</v>
          </cell>
          <cell r="I45" t="str">
            <v>11001</v>
          </cell>
          <cell r="J45" t="str">
            <v>VENTA DE BIENES</v>
          </cell>
          <cell r="K45">
            <v>4659</v>
          </cell>
          <cell r="L45">
            <v>219</v>
          </cell>
          <cell r="M45">
            <v>808000</v>
          </cell>
        </row>
        <row r="46">
          <cell r="A46">
            <v>800067861</v>
          </cell>
          <cell r="B46" t="str">
            <v>COMPAÑIA IBEROAMERICANA DE PLASTICOS SAS</v>
          </cell>
          <cell r="C46">
            <v>6959301</v>
          </cell>
          <cell r="D46">
            <v>6959301</v>
          </cell>
          <cell r="E46" t="str">
            <v>agil@postobon.com.co</v>
          </cell>
          <cell r="F46" t="str">
            <v>Carrera 6 # 19-29</v>
          </cell>
          <cell r="G46" t="str">
            <v>25</v>
          </cell>
          <cell r="H46" t="str">
            <v>430</v>
          </cell>
          <cell r="I46" t="str">
            <v>25430</v>
          </cell>
          <cell r="J46" t="str">
            <v>VENTA DE BIENES</v>
          </cell>
          <cell r="K46">
            <v>4659</v>
          </cell>
          <cell r="L46">
            <v>219</v>
          </cell>
          <cell r="M46">
            <v>1210400</v>
          </cell>
        </row>
        <row r="47">
          <cell r="A47">
            <v>800090890</v>
          </cell>
          <cell r="B47" t="str">
            <v>NUTRIMENTI DE COLOMBIA S.A.S</v>
          </cell>
          <cell r="D47">
            <v>4482899</v>
          </cell>
          <cell r="E47" t="str">
            <v>recepcionfacturas@nutrimenti.com.co</v>
          </cell>
          <cell r="F47" t="str">
            <v>CALLE 52 47 42 EDIFICIO COLTEJER PISO 7, MEDELLIN, ANTIOQUIA</v>
          </cell>
          <cell r="G47" t="str">
            <v>05</v>
          </cell>
          <cell r="H47" t="str">
            <v>001</v>
          </cell>
          <cell r="I47" t="str">
            <v>05001</v>
          </cell>
          <cell r="J47" t="str">
            <v>VENTA DE BIENES</v>
          </cell>
          <cell r="K47">
            <v>4659</v>
          </cell>
          <cell r="L47">
            <v>219</v>
          </cell>
          <cell r="M47">
            <v>244440</v>
          </cell>
        </row>
        <row r="48">
          <cell r="A48">
            <v>800096040</v>
          </cell>
          <cell r="B48" t="str">
            <v>COMESTIBLES ALDOR S.A.S</v>
          </cell>
          <cell r="C48" t="str">
            <v>2852852</v>
          </cell>
          <cell r="D48" t="str">
            <v>2852852</v>
          </cell>
          <cell r="E48" t="str">
            <v>PROVEEDORES@ALDORONLINE.COM</v>
          </cell>
          <cell r="F48" t="str">
            <v>CL 33 6-11</v>
          </cell>
          <cell r="G48">
            <v>11</v>
          </cell>
          <cell r="H48" t="str">
            <v>001</v>
          </cell>
          <cell r="I48" t="str">
            <v>11001</v>
          </cell>
          <cell r="J48" t="str">
            <v>VENTA DE BIENES</v>
          </cell>
          <cell r="K48">
            <v>4659</v>
          </cell>
          <cell r="L48">
            <v>219</v>
          </cell>
          <cell r="M48">
            <v>76537448</v>
          </cell>
        </row>
        <row r="49">
          <cell r="A49">
            <v>800096464</v>
          </cell>
          <cell r="B49" t="str">
            <v>PUERTO DE MAMONAL S.A.</v>
          </cell>
          <cell r="C49">
            <v>6535888</v>
          </cell>
          <cell r="D49">
            <v>6535888</v>
          </cell>
          <cell r="E49" t="str">
            <v>notificaciones@puertodemamonal.com</v>
          </cell>
          <cell r="F49" t="str">
            <v>CR 55 D KM 7 VIA MAMONAL CARTAGENA TERMINAL MARITIMO</v>
          </cell>
          <cell r="G49" t="str">
            <v>13</v>
          </cell>
          <cell r="H49" t="str">
            <v>001</v>
          </cell>
          <cell r="I49" t="str">
            <v>13001</v>
          </cell>
          <cell r="J49" t="str">
            <v>VENTA DE BIENES</v>
          </cell>
          <cell r="K49">
            <v>4659</v>
          </cell>
          <cell r="L49">
            <v>219</v>
          </cell>
          <cell r="M49">
            <v>4213600</v>
          </cell>
        </row>
        <row r="50">
          <cell r="A50">
            <v>800099903</v>
          </cell>
          <cell r="B50" t="str">
            <v>CARVAJAL EDUCACION S.A.S.</v>
          </cell>
          <cell r="C50" t="str">
            <v>+570000</v>
          </cell>
          <cell r="E50" t="str">
            <v>RECEPCION.FACTURASEDUCACION@CARVAJAL.COM</v>
          </cell>
          <cell r="F50" t="str">
            <v>CR 21 10-349 CALI</v>
          </cell>
          <cell r="G50">
            <v>76</v>
          </cell>
          <cell r="H50" t="str">
            <v>892</v>
          </cell>
          <cell r="I50" t="str">
            <v>76892</v>
          </cell>
          <cell r="J50" t="str">
            <v>VENTA DE BIENES</v>
          </cell>
          <cell r="K50">
            <v>4659</v>
          </cell>
          <cell r="L50">
            <v>219</v>
          </cell>
          <cell r="M50">
            <v>46384384</v>
          </cell>
        </row>
        <row r="51">
          <cell r="A51">
            <v>800103927</v>
          </cell>
          <cell r="B51" t="str">
            <v>SECRETARIA DE HACIENDA DE SANTANDER</v>
          </cell>
          <cell r="C51" t="str">
            <v>8698789</v>
          </cell>
          <cell r="D51" t="str">
            <v>8698789</v>
          </cell>
          <cell r="E51" t="str">
            <v>tesoreria@nortedesatander.gov.co</v>
          </cell>
          <cell r="F51" t="str">
            <v>CL 35 10 43</v>
          </cell>
          <cell r="G51" t="str">
            <v>68</v>
          </cell>
          <cell r="H51" t="str">
            <v>547</v>
          </cell>
          <cell r="I51" t="str">
            <v>68547</v>
          </cell>
          <cell r="J51" t="str">
            <v>42 GRAVADOS</v>
          </cell>
          <cell r="K51">
            <v>4659</v>
          </cell>
          <cell r="L51">
            <v>219</v>
          </cell>
          <cell r="M51">
            <v>12500</v>
          </cell>
        </row>
        <row r="52">
          <cell r="A52">
            <v>800112010</v>
          </cell>
          <cell r="B52" t="str">
            <v>PROTELEC S.A.S.</v>
          </cell>
          <cell r="C52" t="str">
            <v>+570000</v>
          </cell>
          <cell r="E52" t="str">
            <v>COMERCIAL@PROTELEC.CO</v>
          </cell>
          <cell r="F52" t="str">
            <v>CR 36B 17-43</v>
          </cell>
          <cell r="G52" t="str">
            <v>76</v>
          </cell>
          <cell r="H52" t="str">
            <v>001</v>
          </cell>
          <cell r="I52" t="str">
            <v>76001</v>
          </cell>
          <cell r="J52" t="str">
            <v>VENTA DE BIENES</v>
          </cell>
          <cell r="K52">
            <v>4659</v>
          </cell>
          <cell r="L52">
            <v>219</v>
          </cell>
          <cell r="M52">
            <v>379616</v>
          </cell>
        </row>
        <row r="53">
          <cell r="A53">
            <v>800114766</v>
          </cell>
          <cell r="B53" t="str">
            <v>FRESKALECHE S.A.S</v>
          </cell>
          <cell r="C53" t="str">
            <v>4887000</v>
          </cell>
          <cell r="D53" t="str">
            <v>4887000</v>
          </cell>
          <cell r="E53" t="str">
            <v>RECEPCIONFE@FRESKALECHE.COM.CO</v>
          </cell>
          <cell r="F53" t="str">
            <v>KM 3 VIA CHIMITA PAR INDUSTRIAL</v>
          </cell>
          <cell r="G53" t="str">
            <v>68</v>
          </cell>
          <cell r="H53" t="str">
            <v>001</v>
          </cell>
          <cell r="I53" t="str">
            <v>68001</v>
          </cell>
          <cell r="J53" t="str">
            <v>VENTA DE BIENES</v>
          </cell>
          <cell r="K53">
            <v>4659</v>
          </cell>
          <cell r="L53">
            <v>219</v>
          </cell>
          <cell r="M53">
            <v>15852840</v>
          </cell>
        </row>
        <row r="54">
          <cell r="A54">
            <v>800115720</v>
          </cell>
          <cell r="B54" t="str">
            <v>RG DISTRIBUCIONES S.A</v>
          </cell>
          <cell r="D54">
            <v>3207779304</v>
          </cell>
          <cell r="E54" t="str">
            <v>contabilidad1@rgd.com.co</v>
          </cell>
          <cell r="F54" t="str">
            <v>CARRERA 9 # 27 - 54</v>
          </cell>
          <cell r="G54" t="str">
            <v>76</v>
          </cell>
          <cell r="H54" t="str">
            <v>001</v>
          </cell>
          <cell r="I54" t="str">
            <v>76001</v>
          </cell>
          <cell r="J54" t="str">
            <v>VENTA DE BIENES</v>
          </cell>
          <cell r="K54">
            <v>4659</v>
          </cell>
          <cell r="L54">
            <v>219</v>
          </cell>
          <cell r="M54">
            <v>2780640</v>
          </cell>
        </row>
        <row r="55">
          <cell r="A55">
            <v>800116164</v>
          </cell>
          <cell r="B55" t="str">
            <v>TERMINAL DE CONTENEDORES DE CARTAGENA S A</v>
          </cell>
          <cell r="C55" t="str">
            <v>+570000</v>
          </cell>
          <cell r="E55" t="str">
            <v>RECEPCION@CONTECAR.COM.CO</v>
          </cell>
          <cell r="F55" t="str">
            <v/>
          </cell>
          <cell r="G55">
            <v>13</v>
          </cell>
          <cell r="H55" t="str">
            <v>001</v>
          </cell>
          <cell r="I55" t="str">
            <v>13001</v>
          </cell>
          <cell r="J55" t="str">
            <v>VENTA DE BIENES</v>
          </cell>
          <cell r="K55">
            <v>4659</v>
          </cell>
          <cell r="L55">
            <v>219</v>
          </cell>
          <cell r="M55">
            <v>1076255890</v>
          </cell>
        </row>
        <row r="56">
          <cell r="A56">
            <v>800116749</v>
          </cell>
          <cell r="B56" t="str">
            <v>EXTRACTORA MONTERREY S.A.S</v>
          </cell>
          <cell r="C56" t="str">
            <v>+570000</v>
          </cell>
          <cell r="E56" t="str">
            <v>FACTURACION@GRUPOMONTERREY.COM.CO</v>
          </cell>
          <cell r="F56" t="str">
            <v>CR 9 80 12 OF 401</v>
          </cell>
          <cell r="G56">
            <v>68</v>
          </cell>
          <cell r="H56" t="str">
            <v>001</v>
          </cell>
          <cell r="I56" t="str">
            <v>68001</v>
          </cell>
          <cell r="J56" t="str">
            <v>VENTA DE BIENES</v>
          </cell>
          <cell r="K56">
            <v>4659</v>
          </cell>
          <cell r="L56">
            <v>219</v>
          </cell>
          <cell r="M56">
            <v>107568325</v>
          </cell>
        </row>
        <row r="57">
          <cell r="A57">
            <v>800121118</v>
          </cell>
          <cell r="B57" t="str">
            <v>ELEMENTOS ELECTRICOS S.A.S.</v>
          </cell>
          <cell r="C57" t="str">
            <v>8895979</v>
          </cell>
          <cell r="D57" t="str">
            <v>8895979</v>
          </cell>
          <cell r="E57" t="str">
            <v>FACTURACION@ELEMENTOSELECTRICOS.COM.CO</v>
          </cell>
          <cell r="F57" t="str">
            <v>CL 20 4 30 BRR SAN NICOLASBRR EL HOYO</v>
          </cell>
          <cell r="G57">
            <v>76</v>
          </cell>
          <cell r="H57" t="str">
            <v>001</v>
          </cell>
          <cell r="I57" t="str">
            <v>76001</v>
          </cell>
          <cell r="J57" t="str">
            <v>VENTA DE BIENES</v>
          </cell>
          <cell r="K57">
            <v>4659</v>
          </cell>
          <cell r="L57">
            <v>219</v>
          </cell>
          <cell r="M57">
            <v>236414692</v>
          </cell>
        </row>
        <row r="58">
          <cell r="A58">
            <v>800122420</v>
          </cell>
          <cell r="B58" t="str">
            <v>CO &amp; TEX S.A.S</v>
          </cell>
          <cell r="C58" t="str">
            <v>+570000</v>
          </cell>
          <cell r="E58" t="str">
            <v>FACTURAS.PROVEEDORES@COYTEX.COM.CO</v>
          </cell>
          <cell r="F58" t="str">
            <v>CL 11 17-27</v>
          </cell>
          <cell r="G58" t="str">
            <v>66</v>
          </cell>
          <cell r="H58" t="str">
            <v>170</v>
          </cell>
          <cell r="I58" t="str">
            <v>66170</v>
          </cell>
          <cell r="J58" t="str">
            <v>VENTA DE BIENES</v>
          </cell>
          <cell r="K58">
            <v>4659</v>
          </cell>
          <cell r="L58">
            <v>219</v>
          </cell>
          <cell r="M58">
            <v>5589740</v>
          </cell>
        </row>
        <row r="59">
          <cell r="A59">
            <v>800125813</v>
          </cell>
          <cell r="B59" t="str">
            <v>FONDO DE INVERSIÓN COLECTIVA ABIERTO SUMAR</v>
          </cell>
          <cell r="C59" t="e">
            <v>#N/A</v>
          </cell>
          <cell r="E59" t="e">
            <v>#N/A</v>
          </cell>
          <cell r="F59" t="e">
            <v>#N/A</v>
          </cell>
          <cell r="G59">
            <v>11</v>
          </cell>
          <cell r="H59" t="str">
            <v>001</v>
          </cell>
          <cell r="I59" t="str">
            <v>11001</v>
          </cell>
          <cell r="J59" t="str">
            <v>INTERESES</v>
          </cell>
          <cell r="K59">
            <v>6619</v>
          </cell>
          <cell r="L59">
            <v>402</v>
          </cell>
          <cell r="M59">
            <v>2016238</v>
          </cell>
        </row>
        <row r="60">
          <cell r="A60">
            <v>800134853</v>
          </cell>
          <cell r="B60" t="str">
            <v>ESENTTIA MASTERBATCH LTDA</v>
          </cell>
          <cell r="C60" t="str">
            <v>+570000</v>
          </cell>
          <cell r="E60" t="str">
            <v>FACTELECTRONICAMB@ESENTTIA.CO</v>
          </cell>
          <cell r="F60" t="str">
            <v>ZONA FRANCA INDUSTRIAL DE MAMONAL BODEGA 7 Y 8 BRR BR MAMON</v>
          </cell>
          <cell r="G60" t="str">
            <v>13</v>
          </cell>
          <cell r="H60" t="str">
            <v>001</v>
          </cell>
          <cell r="I60" t="str">
            <v>13001</v>
          </cell>
          <cell r="J60" t="str">
            <v>VENTA DE BIENES</v>
          </cell>
          <cell r="K60">
            <v>4659</v>
          </cell>
          <cell r="L60">
            <v>219</v>
          </cell>
          <cell r="M60">
            <v>48724308</v>
          </cell>
        </row>
        <row r="61">
          <cell r="A61">
            <v>800135737</v>
          </cell>
          <cell r="B61" t="str">
            <v>COMERCIALIZADORA ELECTRICA DE BOLIVAR LTDA</v>
          </cell>
          <cell r="C61" t="str">
            <v>+570000</v>
          </cell>
          <cell r="E61" t="str">
            <v>ventas@comerelectrica.com</v>
          </cell>
          <cell r="F61" t="str">
            <v>AV PEDRO DE HEREDIA SEC BOSTON ED LA TORRE</v>
          </cell>
          <cell r="G61" t="str">
            <v>13</v>
          </cell>
          <cell r="H61" t="str">
            <v>001</v>
          </cell>
          <cell r="I61" t="str">
            <v>13001</v>
          </cell>
          <cell r="J61" t="str">
            <v>VENTA DE BIENES</v>
          </cell>
          <cell r="K61">
            <v>4659</v>
          </cell>
          <cell r="L61">
            <v>219</v>
          </cell>
          <cell r="M61">
            <v>275200</v>
          </cell>
        </row>
        <row r="62">
          <cell r="A62">
            <v>800135913</v>
          </cell>
          <cell r="B62" t="str">
            <v>SOCIEDAD ACUEDUCTO,ALCANTARILLADO Y ASEO DE BARRANQUILLA S.A. ESP</v>
          </cell>
          <cell r="C62" t="str">
            <v>+570000</v>
          </cell>
          <cell r="E62" t="str">
            <v>800135913@FACTUREINBOX.CO</v>
          </cell>
          <cell r="F62" t="str">
            <v>CR 8 VIA 5 ACUEDUCTO DISTRITAL</v>
          </cell>
          <cell r="G62" t="str">
            <v>08</v>
          </cell>
          <cell r="H62" t="str">
            <v>001</v>
          </cell>
          <cell r="I62" t="str">
            <v>08001</v>
          </cell>
          <cell r="J62" t="str">
            <v>VENTA DE BIENES</v>
          </cell>
          <cell r="K62">
            <v>4659</v>
          </cell>
          <cell r="L62">
            <v>219</v>
          </cell>
          <cell r="M62">
            <v>8313506</v>
          </cell>
        </row>
        <row r="63">
          <cell r="A63">
            <v>800141506</v>
          </cell>
          <cell r="B63" t="str">
            <v>THE ELITE FLOWER SAS</v>
          </cell>
          <cell r="C63" t="str">
            <v>+570000</v>
          </cell>
          <cell r="E63" t="str">
            <v>TEFFACTURACIONELECTRONICA@ELITEFLOWER.COM</v>
          </cell>
          <cell r="F63" t="str">
            <v>CL 19 5 30 OF 2201 ED BACATA</v>
          </cell>
          <cell r="G63" t="str">
            <v>11</v>
          </cell>
          <cell r="H63" t="str">
            <v>001</v>
          </cell>
          <cell r="I63" t="str">
            <v>11001</v>
          </cell>
          <cell r="J63" t="str">
            <v>VENTA DE BIENES</v>
          </cell>
          <cell r="K63">
            <v>4659</v>
          </cell>
          <cell r="L63">
            <v>219</v>
          </cell>
          <cell r="M63">
            <v>245600</v>
          </cell>
        </row>
        <row r="64">
          <cell r="A64">
            <v>800149149</v>
          </cell>
          <cell r="B64" t="str">
            <v>ALIMENTOS BALANCEADOS TEQUENDAMA SA ALBATEQ SA</v>
          </cell>
          <cell r="C64" t="str">
            <v>+570000</v>
          </cell>
          <cell r="E64" t="str">
            <v>800149149@FACTUREINBOX.CO</v>
          </cell>
          <cell r="F64" t="str">
            <v>KM 2 VIA FUNZA-COTA</v>
          </cell>
          <cell r="G64" t="str">
            <v>25</v>
          </cell>
          <cell r="H64" t="str">
            <v>286</v>
          </cell>
          <cell r="I64" t="str">
            <v>25286</v>
          </cell>
          <cell r="J64" t="str">
            <v>VENTA DE BIENES</v>
          </cell>
          <cell r="K64">
            <v>4659</v>
          </cell>
          <cell r="L64">
            <v>219</v>
          </cell>
          <cell r="M64">
            <v>5054080</v>
          </cell>
        </row>
        <row r="65">
          <cell r="A65">
            <v>800153961</v>
          </cell>
          <cell r="B65" t="str">
            <v>OMNICON S.A.S</v>
          </cell>
          <cell r="C65" t="str">
            <v>+570000</v>
          </cell>
          <cell r="E65" t="str">
            <v>JHON.CALVO@OMNICON.CO</v>
          </cell>
          <cell r="F65" t="str">
            <v>CL 8 SUR 43B-112 AP 304</v>
          </cell>
          <cell r="G65" t="str">
            <v>08</v>
          </cell>
          <cell r="H65" t="str">
            <v>001</v>
          </cell>
          <cell r="I65" t="str">
            <v>08001</v>
          </cell>
          <cell r="J65" t="str">
            <v>VENTA DE BIENES</v>
          </cell>
          <cell r="K65">
            <v>4659</v>
          </cell>
          <cell r="L65">
            <v>219</v>
          </cell>
          <cell r="M65">
            <v>331702624</v>
          </cell>
        </row>
        <row r="66">
          <cell r="A66">
            <v>800154428</v>
          </cell>
          <cell r="B66" t="str">
            <v>INDUSTRIAS ECTRICOL S.A.S</v>
          </cell>
          <cell r="C66" t="str">
            <v>+570000</v>
          </cell>
          <cell r="E66" t="str">
            <v>FACTURAELECTRONICA@ECTRICOL.COM</v>
          </cell>
          <cell r="F66" t="str">
            <v>KM 7.1 AUT MEDELLIN PAR INDUSTRIAL CELTA</v>
          </cell>
          <cell r="G66" t="str">
            <v>25</v>
          </cell>
          <cell r="H66" t="str">
            <v>286</v>
          </cell>
          <cell r="I66" t="str">
            <v>25286</v>
          </cell>
          <cell r="J66" t="str">
            <v>VENTA DE BIENES</v>
          </cell>
          <cell r="K66">
            <v>4659</v>
          </cell>
          <cell r="L66">
            <v>219</v>
          </cell>
          <cell r="M66">
            <v>706954</v>
          </cell>
        </row>
        <row r="67">
          <cell r="A67">
            <v>800156044</v>
          </cell>
          <cell r="B67" t="str">
            <v>COMPAÑIA DE PUERTOS ASOCIADOS S.A.</v>
          </cell>
          <cell r="C67" t="str">
            <v>5897373</v>
          </cell>
          <cell r="E67" t="str">
            <v>800156044@factureinbox.co</v>
          </cell>
          <cell r="F67" t="str">
            <v>VIA 40 LAS FLORES</v>
          </cell>
          <cell r="G67" t="str">
            <v>08</v>
          </cell>
          <cell r="H67" t="str">
            <v>001</v>
          </cell>
          <cell r="I67" t="str">
            <v>08001</v>
          </cell>
          <cell r="J67" t="str">
            <v>VENTA DE BIENES</v>
          </cell>
          <cell r="K67">
            <v>4659</v>
          </cell>
          <cell r="L67">
            <v>219</v>
          </cell>
          <cell r="M67">
            <v>20422886</v>
          </cell>
        </row>
        <row r="68">
          <cell r="A68">
            <v>800158850</v>
          </cell>
          <cell r="B68" t="str">
            <v>PACKING S.A.S</v>
          </cell>
          <cell r="C68" t="str">
            <v>+570000</v>
          </cell>
          <cell r="E68" t="str">
            <v>PROVEEDORES@PACKING.COM.CO</v>
          </cell>
          <cell r="F68" t="str">
            <v>KM 28 AUT NORTE</v>
          </cell>
          <cell r="G68" t="str">
            <v>25</v>
          </cell>
          <cell r="H68" t="str">
            <v>817</v>
          </cell>
          <cell r="I68" t="str">
            <v>25817</v>
          </cell>
          <cell r="J68" t="str">
            <v>42 GRAVADOS</v>
          </cell>
          <cell r="K68">
            <v>4659</v>
          </cell>
          <cell r="L68">
            <v>219</v>
          </cell>
          <cell r="M68">
            <v>10816210</v>
          </cell>
        </row>
        <row r="69">
          <cell r="A69">
            <v>800163515</v>
          </cell>
          <cell r="B69" t="str">
            <v>FACELEC S.A.S</v>
          </cell>
          <cell r="C69" t="str">
            <v>+570000</v>
          </cell>
          <cell r="E69" t="str">
            <v>FACTURAELECTRONICA@FACELEC.CO</v>
          </cell>
          <cell r="F69" t="str">
            <v>KM 7 VIA MADRID PUENTE PIEDRA</v>
          </cell>
          <cell r="G69">
            <v>25</v>
          </cell>
          <cell r="H69" t="str">
            <v>430</v>
          </cell>
          <cell r="I69" t="str">
            <v>25430</v>
          </cell>
          <cell r="J69" t="str">
            <v>VENTA DE BIENES</v>
          </cell>
          <cell r="K69">
            <v>4659</v>
          </cell>
          <cell r="L69">
            <v>219</v>
          </cell>
          <cell r="M69">
            <v>33905109</v>
          </cell>
        </row>
        <row r="70">
          <cell r="A70">
            <v>800164590</v>
          </cell>
          <cell r="B70" t="str">
            <v>CELTA S A S</v>
          </cell>
          <cell r="D70">
            <v>3504234634</v>
          </cell>
          <cell r="E70" t="str">
            <v>crfcelta@wavin.com</v>
          </cell>
          <cell r="F70" t="str">
            <v>CR 24 30-500</v>
          </cell>
          <cell r="G70" t="str">
            <v>08</v>
          </cell>
          <cell r="H70">
            <v>758</v>
          </cell>
          <cell r="I70" t="str">
            <v>08758</v>
          </cell>
          <cell r="J70" t="str">
            <v>VENTA DE BIENES</v>
          </cell>
          <cell r="K70">
            <v>4659</v>
          </cell>
          <cell r="L70">
            <v>219</v>
          </cell>
          <cell r="M70">
            <v>2738280</v>
          </cell>
        </row>
        <row r="71">
          <cell r="A71">
            <v>800173111</v>
          </cell>
          <cell r="B71" t="str">
            <v>ASESORIAS INDUSTRIALES SANTAFE</v>
          </cell>
          <cell r="C71" t="str">
            <v>17641530</v>
          </cell>
          <cell r="D71" t="str">
            <v>17641530</v>
          </cell>
          <cell r="E71" t="str">
            <v>CONTABILIDAD@ASINSAN.COM</v>
          </cell>
          <cell r="F71" t="str">
            <v>CL 80 KM 1.5 VIA SIBERIA LC 105</v>
          </cell>
          <cell r="G71" t="str">
            <v>76</v>
          </cell>
          <cell r="H71" t="str">
            <v>001</v>
          </cell>
          <cell r="I71" t="str">
            <v>76001</v>
          </cell>
          <cell r="J71" t="str">
            <v>VENTA DE BIENES</v>
          </cell>
          <cell r="K71">
            <v>4659</v>
          </cell>
          <cell r="L71">
            <v>219</v>
          </cell>
          <cell r="M71">
            <v>400000</v>
          </cell>
        </row>
        <row r="72">
          <cell r="A72">
            <v>800174904</v>
          </cell>
          <cell r="B72" t="str">
            <v>ETIQUETAS E IMPRESOS S.A.</v>
          </cell>
          <cell r="C72" t="str">
            <v>+570000</v>
          </cell>
          <cell r="E72" t="str">
            <v>FACTURACIONELECTRONICA@ETIPRESS.COM</v>
          </cell>
          <cell r="F72" t="str">
            <v>CL 18 42 53 BRR ZONA INDUSTRIAL</v>
          </cell>
          <cell r="G72" t="str">
            <v>11</v>
          </cell>
          <cell r="H72" t="str">
            <v>001</v>
          </cell>
          <cell r="I72" t="str">
            <v>11001</v>
          </cell>
          <cell r="J72" t="str">
            <v>VENTA DE BIENES</v>
          </cell>
          <cell r="K72">
            <v>4659</v>
          </cell>
          <cell r="L72">
            <v>219</v>
          </cell>
          <cell r="M72">
            <v>12967760</v>
          </cell>
        </row>
        <row r="73">
          <cell r="A73">
            <v>800175457</v>
          </cell>
          <cell r="B73" t="str">
            <v>PANAMERICANA FORMAS E IMPRESOS S.A</v>
          </cell>
          <cell r="C73" t="str">
            <v>+570000</v>
          </cell>
          <cell r="E73" t="str">
            <v>RECEPCION.FACTURA-FORMAS@PANAMERICANA.COM.CO</v>
          </cell>
          <cell r="F73" t="str">
            <v>CL 65 95 28</v>
          </cell>
          <cell r="G73">
            <v>11</v>
          </cell>
          <cell r="H73" t="str">
            <v>001</v>
          </cell>
          <cell r="I73" t="str">
            <v>11001</v>
          </cell>
          <cell r="J73" t="str">
            <v>VENTA DE BIENES</v>
          </cell>
          <cell r="K73">
            <v>4659</v>
          </cell>
          <cell r="L73">
            <v>219</v>
          </cell>
          <cell r="M73">
            <v>5174695</v>
          </cell>
        </row>
        <row r="74">
          <cell r="A74">
            <v>800176169</v>
          </cell>
          <cell r="B74" t="str">
            <v>ODECOPACK S.A.S.</v>
          </cell>
          <cell r="C74" t="str">
            <v>+570000</v>
          </cell>
          <cell r="E74" t="str">
            <v>COMPRAS@ODECOPACK.COM</v>
          </cell>
          <cell r="F74" t="str">
            <v>CL 39 2-37</v>
          </cell>
          <cell r="G74" t="str">
            <v>76</v>
          </cell>
          <cell r="H74" t="str">
            <v>001</v>
          </cell>
          <cell r="I74" t="str">
            <v>76001</v>
          </cell>
          <cell r="J74" t="str">
            <v>VENTA DE BIENES</v>
          </cell>
          <cell r="K74">
            <v>4659</v>
          </cell>
          <cell r="L74">
            <v>219</v>
          </cell>
          <cell r="M74">
            <v>14149455</v>
          </cell>
        </row>
        <row r="75">
          <cell r="A75">
            <v>800183887</v>
          </cell>
          <cell r="B75" t="str">
            <v>TMI DE COLOMBIA LTDA</v>
          </cell>
          <cell r="E75" t="str">
            <v>comercial@tmidecolombia.com</v>
          </cell>
          <cell r="F75" t="str">
            <v>CL 2 T 2 135 PARCELACION LA DOLORES</v>
          </cell>
          <cell r="G75" t="str">
            <v>76</v>
          </cell>
          <cell r="H75" t="str">
            <v>520</v>
          </cell>
          <cell r="I75" t="str">
            <v>76520</v>
          </cell>
          <cell r="J75" t="str">
            <v>VENTA DE BIENES</v>
          </cell>
          <cell r="K75">
            <v>4659</v>
          </cell>
          <cell r="L75">
            <v>219</v>
          </cell>
          <cell r="M75">
            <v>1347962</v>
          </cell>
        </row>
        <row r="76">
          <cell r="A76">
            <v>800185056</v>
          </cell>
          <cell r="B76" t="str">
            <v>TAESMET SAS</v>
          </cell>
          <cell r="C76" t="str">
            <v>310 3921926</v>
          </cell>
          <cell r="D76">
            <v>3103921926</v>
          </cell>
          <cell r="E76" t="str">
            <v>compras.02@taesmet.com</v>
          </cell>
          <cell r="F76" t="str">
            <v>CL 14 A 123 36</v>
          </cell>
          <cell r="G76" t="str">
            <v>11</v>
          </cell>
          <cell r="H76" t="str">
            <v>001</v>
          </cell>
          <cell r="I76" t="str">
            <v>11001</v>
          </cell>
          <cell r="J76" t="str">
            <v>VENTA DE BIENES</v>
          </cell>
          <cell r="K76">
            <v>4659</v>
          </cell>
          <cell r="L76">
            <v>219</v>
          </cell>
          <cell r="M76">
            <v>372800</v>
          </cell>
        </row>
        <row r="77">
          <cell r="A77">
            <v>800193444</v>
          </cell>
          <cell r="B77" t="str">
            <v>ECOLOGIA Y ENTORNO S.A.S. E.S.P.</v>
          </cell>
          <cell r="E77" t="str">
            <v>FACTURACIONELECTRONICA@ATICA.CO</v>
          </cell>
          <cell r="F77" t="str">
            <v>CR 12 79 32 OF 601</v>
          </cell>
          <cell r="G77" t="str">
            <v>11</v>
          </cell>
          <cell r="H77" t="str">
            <v>001</v>
          </cell>
          <cell r="I77" t="str">
            <v>11001</v>
          </cell>
          <cell r="J77" t="str">
            <v>VENTA DE BIENES</v>
          </cell>
          <cell r="K77">
            <v>4659</v>
          </cell>
          <cell r="L77">
            <v>219</v>
          </cell>
          <cell r="M77">
            <v>6329302</v>
          </cell>
        </row>
        <row r="78">
          <cell r="A78">
            <v>800194208</v>
          </cell>
          <cell r="B78" t="str">
            <v>GESTION ENERGETICA S.A E.S.P</v>
          </cell>
          <cell r="C78">
            <v>8756262</v>
          </cell>
          <cell r="D78">
            <v>8756262</v>
          </cell>
          <cell r="E78" t="str">
            <v>ventanillaunica@gensa.com.co</v>
          </cell>
          <cell r="F78" t="str">
            <v/>
          </cell>
          <cell r="G78">
            <v>17</v>
          </cell>
          <cell r="H78" t="str">
            <v>001</v>
          </cell>
          <cell r="I78" t="str">
            <v>17001</v>
          </cell>
          <cell r="J78" t="str">
            <v>VENTA DE BIENES</v>
          </cell>
          <cell r="K78">
            <v>4659</v>
          </cell>
          <cell r="L78">
            <v>219</v>
          </cell>
          <cell r="M78">
            <v>83490945</v>
          </cell>
        </row>
        <row r="79">
          <cell r="A79">
            <v>800197463</v>
          </cell>
          <cell r="B79" t="str">
            <v>POLLOS EL BUCANERO S.A.</v>
          </cell>
          <cell r="C79" t="str">
            <v>+570000</v>
          </cell>
          <cell r="E79" t="str">
            <v>RECEPCION_FACTURAS_BUCANERO@CARGILL.COM</v>
          </cell>
          <cell r="F79" t="str">
            <v>CL 35 NORTE 6 A BIS 100</v>
          </cell>
          <cell r="G79" t="str">
            <v>76</v>
          </cell>
          <cell r="H79" t="str">
            <v>001</v>
          </cell>
          <cell r="I79" t="str">
            <v>76001</v>
          </cell>
          <cell r="J79" t="str">
            <v>VENTA DE BIENES</v>
          </cell>
          <cell r="K79">
            <v>4659</v>
          </cell>
          <cell r="L79">
            <v>219</v>
          </cell>
          <cell r="M79">
            <v>3473200</v>
          </cell>
        </row>
        <row r="80">
          <cell r="A80">
            <v>800200969</v>
          </cell>
          <cell r="B80" t="str">
            <v>SOCIEDAD PORTUARIA REGIONAL DE CARTAGENA SA</v>
          </cell>
          <cell r="C80" t="str">
            <v>+570000</v>
          </cell>
          <cell r="E80" t="str">
            <v>RECEPCION@SPRC.COM.CO</v>
          </cell>
          <cell r="F80" t="str">
            <v>MANGA TERMINAL PORTUARIO</v>
          </cell>
          <cell r="G80">
            <v>13</v>
          </cell>
          <cell r="H80" t="str">
            <v>001</v>
          </cell>
          <cell r="I80" t="str">
            <v>13001</v>
          </cell>
          <cell r="J80" t="str">
            <v>VENTA DE BIENES</v>
          </cell>
          <cell r="K80">
            <v>4659</v>
          </cell>
          <cell r="L80">
            <v>219</v>
          </cell>
          <cell r="M80">
            <v>152862980</v>
          </cell>
        </row>
        <row r="81">
          <cell r="A81">
            <v>800206842</v>
          </cell>
          <cell r="B81" t="str">
            <v>BAKER HUGHES DE COLOMBIA</v>
          </cell>
          <cell r="C81" t="str">
            <v>+570000</v>
          </cell>
          <cell r="E81" t="str">
            <v>APCOL_FACTURACIONELECTRONICA@BAKERHUGHES.COM</v>
          </cell>
          <cell r="F81" t="str">
            <v>CL 67 7 35 P 5</v>
          </cell>
          <cell r="G81" t="str">
            <v>11</v>
          </cell>
          <cell r="H81" t="str">
            <v>001</v>
          </cell>
          <cell r="I81" t="str">
            <v>11001</v>
          </cell>
          <cell r="J81" t="str">
            <v>VENTA DE BIENES</v>
          </cell>
          <cell r="K81">
            <v>4659</v>
          </cell>
          <cell r="L81">
            <v>219</v>
          </cell>
          <cell r="M81">
            <v>37876005</v>
          </cell>
        </row>
        <row r="82">
          <cell r="A82">
            <v>800208785</v>
          </cell>
          <cell r="B82" t="str">
            <v>CONGELADOS AGRICOLAS S.A.</v>
          </cell>
          <cell r="C82" t="str">
            <v>+570000</v>
          </cell>
          <cell r="E82" t="str">
            <v>dte_8002087851@dte.paperless.com.co</v>
          </cell>
          <cell r="F82" t="str">
            <v>CL 49 SUR 72 C 30</v>
          </cell>
          <cell r="G82" t="str">
            <v>11</v>
          </cell>
          <cell r="H82" t="str">
            <v>001</v>
          </cell>
          <cell r="I82" t="str">
            <v>11001</v>
          </cell>
          <cell r="J82" t="str">
            <v>VENTA DE BIENES</v>
          </cell>
          <cell r="K82">
            <v>4659</v>
          </cell>
          <cell r="L82">
            <v>219</v>
          </cell>
          <cell r="M82">
            <v>4204240</v>
          </cell>
        </row>
        <row r="83">
          <cell r="A83">
            <v>800215347</v>
          </cell>
          <cell r="B83" t="str">
            <v>TRANSPORTADORA DE METANO E.S.P S.A</v>
          </cell>
          <cell r="C83" t="str">
            <v>+570000</v>
          </cell>
          <cell r="E83" t="str">
            <v>RECEPCION.FACTURAS.ELECTRONICAS@TRANSMETANO.COM.CO</v>
          </cell>
          <cell r="F83" t="str">
            <v>CL 29 41-105 OF 901 ED SOHO</v>
          </cell>
          <cell r="G83" t="str">
            <v>05</v>
          </cell>
          <cell r="H83" t="str">
            <v>001</v>
          </cell>
          <cell r="I83" t="str">
            <v>05001</v>
          </cell>
          <cell r="J83" t="str">
            <v>VENTA DE BIENES</v>
          </cell>
          <cell r="K83">
            <v>4659</v>
          </cell>
          <cell r="L83">
            <v>219</v>
          </cell>
          <cell r="M83">
            <v>11565567</v>
          </cell>
        </row>
        <row r="84">
          <cell r="A84">
            <v>800218958</v>
          </cell>
          <cell r="B84" t="str">
            <v>FLEXO SPRING S.A.S.</v>
          </cell>
          <cell r="C84" t="str">
            <v>+570000</v>
          </cell>
          <cell r="E84" t="str">
            <v>FACTURACIONPROV@FLEXOSPRING.COM.CO</v>
          </cell>
          <cell r="F84" t="str">
            <v>CL 14 62 33</v>
          </cell>
          <cell r="G84" t="str">
            <v>11</v>
          </cell>
          <cell r="H84" t="str">
            <v>001</v>
          </cell>
          <cell r="I84" t="str">
            <v>11001</v>
          </cell>
          <cell r="J84" t="str">
            <v>VENTA DE BIENES</v>
          </cell>
          <cell r="K84">
            <v>4659</v>
          </cell>
          <cell r="L84">
            <v>219</v>
          </cell>
          <cell r="M84">
            <v>8645600</v>
          </cell>
        </row>
        <row r="85">
          <cell r="A85">
            <v>800219925</v>
          </cell>
          <cell r="B85" t="str">
            <v>COMPAÑÍA ELECTRICA DE SOCHAGOTA S.A.S E.S.P</v>
          </cell>
          <cell r="C85" t="str">
            <v>+570000</v>
          </cell>
          <cell r="E85" t="str">
            <v>RECEPCION.FACTURAS@CES.COM.CO</v>
          </cell>
          <cell r="F85" t="str">
            <v>KM 5 VIA PAIPA TUNJA TERMOPAIPA IV</v>
          </cell>
          <cell r="G85" t="str">
            <v>15</v>
          </cell>
          <cell r="H85" t="str">
            <v>516</v>
          </cell>
          <cell r="I85" t="str">
            <v>15516</v>
          </cell>
          <cell r="J85" t="str">
            <v>SERV MTTO</v>
          </cell>
          <cell r="K85">
            <v>3312</v>
          </cell>
          <cell r="L85">
            <v>334</v>
          </cell>
          <cell r="M85">
            <v>2562500</v>
          </cell>
        </row>
        <row r="86">
          <cell r="A86">
            <v>800219925</v>
          </cell>
          <cell r="B86" t="str">
            <v>COMPAÑÍA ELECTRICA DE SOCHAGOTA S.A.S E.S.P</v>
          </cell>
          <cell r="C86" t="str">
            <v>+570000</v>
          </cell>
          <cell r="E86" t="str">
            <v>RECEPCION.FACTURAS@CES.COM.CO</v>
          </cell>
          <cell r="F86" t="str">
            <v>KM 5 VIA PAIPA TUNJA TERMOPAIPA IV</v>
          </cell>
          <cell r="G86" t="str">
            <v>15</v>
          </cell>
          <cell r="H86" t="str">
            <v>516</v>
          </cell>
          <cell r="I86" t="str">
            <v>15516</v>
          </cell>
          <cell r="J86" t="str">
            <v>VENTA DE BIENES</v>
          </cell>
          <cell r="K86">
            <v>4659</v>
          </cell>
          <cell r="L86">
            <v>219</v>
          </cell>
          <cell r="M86">
            <v>7163289</v>
          </cell>
        </row>
        <row r="87">
          <cell r="A87">
            <v>800220708</v>
          </cell>
          <cell r="B87" t="str">
            <v>SISTECONTROL S.A.S.</v>
          </cell>
          <cell r="C87">
            <v>3115237</v>
          </cell>
          <cell r="D87">
            <v>3115237</v>
          </cell>
          <cell r="E87" t="str">
            <v>FACTURACIONELECTRONICA@SISTECONTROL.COM</v>
          </cell>
          <cell r="F87" t="str">
            <v>CR 27 A 74 07 BRR ALCAZARES</v>
          </cell>
          <cell r="G87" t="str">
            <v>11</v>
          </cell>
          <cell r="H87" t="str">
            <v>001</v>
          </cell>
          <cell r="I87" t="str">
            <v>11001</v>
          </cell>
          <cell r="J87" t="str">
            <v>VENTA DE BIENES</v>
          </cell>
          <cell r="K87">
            <v>4659</v>
          </cell>
          <cell r="L87">
            <v>219</v>
          </cell>
          <cell r="M87">
            <v>8515077</v>
          </cell>
        </row>
        <row r="88">
          <cell r="A88">
            <v>800221724</v>
          </cell>
          <cell r="B88" t="str">
            <v>PRODUCTORA DE INSUMOS AGROPECUARIOS, SOMEX S.A.S</v>
          </cell>
          <cell r="C88" t="str">
            <v>+570000</v>
          </cell>
          <cell r="E88" t="str">
            <v>SOMEX.EFACT@SOMEXNUTRICION.COM</v>
          </cell>
          <cell r="F88" t="str">
            <v>CR 50 F F 8 SUR 27 OF 520  521</v>
          </cell>
          <cell r="G88" t="str">
            <v>05</v>
          </cell>
          <cell r="H88" t="str">
            <v>001</v>
          </cell>
          <cell r="I88" t="str">
            <v>05001</v>
          </cell>
          <cell r="J88" t="str">
            <v>VENTA DE BIENES</v>
          </cell>
          <cell r="K88">
            <v>4659</v>
          </cell>
          <cell r="L88">
            <v>219</v>
          </cell>
          <cell r="M88">
            <v>4025600</v>
          </cell>
        </row>
        <row r="89">
          <cell r="A89">
            <v>800221789</v>
          </cell>
          <cell r="B89" t="str">
            <v>BRINSA SA</v>
          </cell>
          <cell r="C89" t="str">
            <v>+570000</v>
          </cell>
          <cell r="E89" t="str">
            <v>FACTURACIONELECTRONICA@BRINSA.COM.CO</v>
          </cell>
          <cell r="F89" t="str">
            <v>KM 6 VIA CAJICA ZIPAQUIRA</v>
          </cell>
          <cell r="G89">
            <v>25</v>
          </cell>
          <cell r="H89" t="str">
            <v>126</v>
          </cell>
          <cell r="I89" t="str">
            <v>25126</v>
          </cell>
          <cell r="J89" t="str">
            <v>VENTA DE BIENES</v>
          </cell>
          <cell r="K89">
            <v>4659</v>
          </cell>
          <cell r="L89">
            <v>219</v>
          </cell>
          <cell r="M89">
            <v>110936026</v>
          </cell>
        </row>
        <row r="90">
          <cell r="A90">
            <v>800223278</v>
          </cell>
          <cell r="B90" t="str">
            <v>INGEMARC SAS</v>
          </cell>
          <cell r="C90">
            <v>3091448</v>
          </cell>
          <cell r="D90">
            <v>3091448</v>
          </cell>
          <cell r="E90" t="str">
            <v>CONTABILIDAD2@INGEMARC.COM.CO</v>
          </cell>
          <cell r="F90" t="str">
            <v>CR 39 B 66 125</v>
          </cell>
          <cell r="G90" t="str">
            <v>08</v>
          </cell>
          <cell r="H90" t="str">
            <v>001</v>
          </cell>
          <cell r="I90" t="str">
            <v>08001</v>
          </cell>
          <cell r="J90" t="str">
            <v>VENTA DE BIENES</v>
          </cell>
          <cell r="K90">
            <v>4659</v>
          </cell>
          <cell r="L90">
            <v>219</v>
          </cell>
          <cell r="M90">
            <v>8579006</v>
          </cell>
        </row>
        <row r="91">
          <cell r="A91">
            <v>800223278</v>
          </cell>
          <cell r="B91" t="str">
            <v>INGEMARC SAS</v>
          </cell>
          <cell r="C91">
            <v>3091448</v>
          </cell>
          <cell r="D91">
            <v>3091448</v>
          </cell>
          <cell r="E91" t="str">
            <v>CONTABILIDAD2@INGEMARC.COM.CO</v>
          </cell>
          <cell r="F91" t="str">
            <v>CR 39 B 66 125</v>
          </cell>
          <cell r="G91" t="str">
            <v>08</v>
          </cell>
          <cell r="H91" t="str">
            <v>001</v>
          </cell>
          <cell r="I91" t="str">
            <v>08001</v>
          </cell>
          <cell r="J91" t="str">
            <v>TRANSPORTE</v>
          </cell>
          <cell r="K91">
            <v>3312</v>
          </cell>
          <cell r="L91">
            <v>334</v>
          </cell>
          <cell r="M91">
            <v>16100</v>
          </cell>
        </row>
        <row r="92">
          <cell r="A92">
            <v>800224082</v>
          </cell>
          <cell r="B92" t="str">
            <v>COLOMBIANA DE CONTROLES S.A.S.</v>
          </cell>
          <cell r="C92" t="str">
            <v>+570000</v>
          </cell>
          <cell r="E92" t="str">
            <v>ALMA@COLDECON.COM.CO</v>
          </cell>
          <cell r="F92" t="str">
            <v>CL 7 SUR 51A-21 LC 172 P 3 GUAYABAL</v>
          </cell>
          <cell r="G92" t="str">
            <v>05</v>
          </cell>
          <cell r="H92" t="str">
            <v>001</v>
          </cell>
          <cell r="I92" t="str">
            <v>05001</v>
          </cell>
          <cell r="J92" t="str">
            <v>VENTA DE BIENES</v>
          </cell>
          <cell r="K92">
            <v>4659</v>
          </cell>
          <cell r="L92">
            <v>219</v>
          </cell>
          <cell r="M92">
            <v>703840314</v>
          </cell>
        </row>
        <row r="93">
          <cell r="A93">
            <v>800225340</v>
          </cell>
          <cell r="B93" t="str">
            <v>UNIVERSIDAD MILITAR NUEVA GRANADA</v>
          </cell>
          <cell r="E93" t="str">
            <v>julian.davila@unimilitar.edu.co</v>
          </cell>
          <cell r="F93" t="str">
            <v/>
          </cell>
          <cell r="G93" t="str">
            <v>11</v>
          </cell>
          <cell r="H93" t="str">
            <v>001</v>
          </cell>
          <cell r="I93" t="str">
            <v>11001</v>
          </cell>
          <cell r="J93" t="str">
            <v>VENTA DE BIENES</v>
          </cell>
          <cell r="K93">
            <v>4659</v>
          </cell>
          <cell r="L93">
            <v>219</v>
          </cell>
          <cell r="M93">
            <v>16060500</v>
          </cell>
        </row>
        <row r="94">
          <cell r="A94">
            <v>800226501</v>
          </cell>
          <cell r="B94" t="str">
            <v>MAQUINADOS Y MONTAJES S.A.S</v>
          </cell>
          <cell r="C94" t="str">
            <v>+570000</v>
          </cell>
          <cell r="E94" t="str">
            <v>FACTURACIONMYM@MAQMO.COM</v>
          </cell>
          <cell r="F94" t="str">
            <v>CR 16 60-14 BRR LA ESMERALDA</v>
          </cell>
          <cell r="G94" t="str">
            <v>68</v>
          </cell>
          <cell r="H94" t="str">
            <v>307</v>
          </cell>
          <cell r="I94" t="str">
            <v>68307</v>
          </cell>
          <cell r="J94" t="str">
            <v>VENTA DE BIENES</v>
          </cell>
          <cell r="K94">
            <v>4659</v>
          </cell>
          <cell r="L94">
            <v>219</v>
          </cell>
          <cell r="M94">
            <v>74515510</v>
          </cell>
        </row>
        <row r="95">
          <cell r="A95">
            <v>800226901</v>
          </cell>
          <cell r="B95" t="str">
            <v>RECICLENE S.A.S.</v>
          </cell>
          <cell r="C95" t="str">
            <v>+570000</v>
          </cell>
          <cell r="E95" t="str">
            <v>RFE_RECICLENE@RECICLENE.COM.CO</v>
          </cell>
          <cell r="F95" t="str">
            <v>VRD TIBITO  UN PRIVADA 60 2 PAR INDUSTRIAL  GRAN SABANA</v>
          </cell>
          <cell r="G95" t="str">
            <v>25</v>
          </cell>
          <cell r="H95" t="str">
            <v>817</v>
          </cell>
          <cell r="I95" t="str">
            <v>25817</v>
          </cell>
          <cell r="J95" t="str">
            <v>VENTA DE BIENES</v>
          </cell>
          <cell r="K95">
            <v>4659</v>
          </cell>
          <cell r="L95">
            <v>219</v>
          </cell>
          <cell r="M95">
            <v>16244300</v>
          </cell>
        </row>
        <row r="96">
          <cell r="A96">
            <v>800228515</v>
          </cell>
          <cell r="B96" t="str">
            <v>GLOBAL ASTI S.A.S</v>
          </cell>
          <cell r="C96">
            <v>8840809</v>
          </cell>
          <cell r="D96">
            <v>8840809</v>
          </cell>
          <cell r="E96" t="str">
            <v>contacto@globalsas.co</v>
          </cell>
          <cell r="F96" t="str">
            <v>CR 27 37 19 CERVANTES</v>
          </cell>
          <cell r="G96">
            <v>17</v>
          </cell>
          <cell r="H96" t="str">
            <v>001</v>
          </cell>
          <cell r="I96" t="str">
            <v>17001</v>
          </cell>
          <cell r="J96" t="str">
            <v>VENTA DE BIENES</v>
          </cell>
          <cell r="K96">
            <v>4659</v>
          </cell>
          <cell r="L96">
            <v>219</v>
          </cell>
          <cell r="M96">
            <v>163561321</v>
          </cell>
        </row>
        <row r="97">
          <cell r="A97">
            <v>800229035</v>
          </cell>
          <cell r="B97" t="str">
            <v>TECNOGLASS SAS</v>
          </cell>
          <cell r="C97" t="str">
            <v>+570000</v>
          </cell>
          <cell r="E97" t="str">
            <v>FACTURAELECTRONICA@TECNOGLASS.COM</v>
          </cell>
          <cell r="F97" t="str">
            <v>AV CIRCUNVALAR VIA 40</v>
          </cell>
          <cell r="G97" t="str">
            <v>08</v>
          </cell>
          <cell r="H97" t="str">
            <v>001</v>
          </cell>
          <cell r="I97" t="str">
            <v>08001</v>
          </cell>
          <cell r="J97" t="str">
            <v>VENTA DE BIENES</v>
          </cell>
          <cell r="K97">
            <v>4659</v>
          </cell>
          <cell r="L97">
            <v>219</v>
          </cell>
          <cell r="M97">
            <v>48817681</v>
          </cell>
        </row>
        <row r="98">
          <cell r="A98">
            <v>800229172</v>
          </cell>
          <cell r="B98" t="str">
            <v>POLYBOL S.A.S</v>
          </cell>
          <cell r="C98" t="str">
            <v>+570000</v>
          </cell>
          <cell r="E98" t="str">
            <v>FACTURACIONELECTRONICA@POLYBOL.CO</v>
          </cell>
          <cell r="F98" t="str">
            <v>KM 5 VIA MAMONAL</v>
          </cell>
          <cell r="G98">
            <v>13</v>
          </cell>
          <cell r="H98" t="str">
            <v>001</v>
          </cell>
          <cell r="I98" t="str">
            <v>13001</v>
          </cell>
          <cell r="J98" t="str">
            <v>VENTA DE BIENES</v>
          </cell>
          <cell r="K98">
            <v>4659</v>
          </cell>
          <cell r="L98">
            <v>219</v>
          </cell>
          <cell r="M98">
            <v>29306121</v>
          </cell>
        </row>
        <row r="99">
          <cell r="A99">
            <v>800229512</v>
          </cell>
          <cell r="B99" t="str">
            <v>DISMET SAS</v>
          </cell>
          <cell r="C99" t="str">
            <v>321 2816433</v>
          </cell>
          <cell r="D99">
            <v>3212816433</v>
          </cell>
          <cell r="E99" t="str">
            <v>pacheco.alejandra@dismet.com</v>
          </cell>
          <cell r="F99" t="str">
            <v>TV 42 6 16</v>
          </cell>
          <cell r="G99" t="str">
            <v>11</v>
          </cell>
          <cell r="H99" t="str">
            <v>001</v>
          </cell>
          <cell r="I99" t="str">
            <v>11001</v>
          </cell>
          <cell r="J99" t="str">
            <v>VENTA DE BIENES</v>
          </cell>
          <cell r="K99">
            <v>4659</v>
          </cell>
          <cell r="L99">
            <v>219</v>
          </cell>
          <cell r="M99">
            <v>5967360</v>
          </cell>
        </row>
        <row r="100">
          <cell r="A100">
            <v>800241068</v>
          </cell>
          <cell r="B100" t="str">
            <v>BIOEMPAK SAS</v>
          </cell>
          <cell r="C100" t="str">
            <v>+570000</v>
          </cell>
          <cell r="E100" t="str">
            <v>COMPRAS@BIOEMPAK.COM</v>
          </cell>
          <cell r="F100" t="str">
            <v>PAR INDUSTRIAL GRAN SABANA BG M40</v>
          </cell>
          <cell r="G100" t="str">
            <v>25</v>
          </cell>
          <cell r="H100" t="str">
            <v>817</v>
          </cell>
          <cell r="I100" t="str">
            <v>25817</v>
          </cell>
          <cell r="J100" t="str">
            <v>VENTA DE BIENES</v>
          </cell>
          <cell r="K100">
            <v>4659</v>
          </cell>
          <cell r="L100">
            <v>219</v>
          </cell>
          <cell r="M100">
            <v>2832000</v>
          </cell>
        </row>
        <row r="101">
          <cell r="A101">
            <v>800245746</v>
          </cell>
          <cell r="B101" t="str">
            <v>TERMOBARRANQUILLA SA ESP</v>
          </cell>
          <cell r="C101" t="str">
            <v>+570000</v>
          </cell>
          <cell r="E101" t="str">
            <v>FACTURACION@TEBSA.COM.CO</v>
          </cell>
          <cell r="F101" t="str">
            <v>Cl 18 39 250</v>
          </cell>
          <cell r="G101" t="str">
            <v>08</v>
          </cell>
          <cell r="H101" t="str">
            <v>758</v>
          </cell>
          <cell r="I101" t="str">
            <v>08758</v>
          </cell>
          <cell r="J101" t="str">
            <v>VENTA DE BIENES</v>
          </cell>
          <cell r="K101">
            <v>4659</v>
          </cell>
          <cell r="L101">
            <v>219</v>
          </cell>
          <cell r="M101">
            <v>17145398</v>
          </cell>
        </row>
        <row r="102">
          <cell r="A102">
            <v>800249313</v>
          </cell>
          <cell r="B102" t="str">
            <v>MANSAROVAR ENERGY COLOMBIA LTDA</v>
          </cell>
          <cell r="C102">
            <v>4851212</v>
          </cell>
          <cell r="D102">
            <v>4851212</v>
          </cell>
          <cell r="E102" t="str">
            <v>mansarovar_colombia@mansarovar.com.co</v>
          </cell>
          <cell r="F102" t="str">
            <v>CALLE 100 13 76 P 11</v>
          </cell>
          <cell r="G102" t="str">
            <v>11</v>
          </cell>
          <cell r="H102" t="str">
            <v>001</v>
          </cell>
          <cell r="I102" t="str">
            <v>11001</v>
          </cell>
          <cell r="J102" t="str">
            <v>VENTA DE BIENES</v>
          </cell>
          <cell r="K102">
            <v>4659</v>
          </cell>
          <cell r="L102">
            <v>219</v>
          </cell>
          <cell r="M102">
            <v>40227254</v>
          </cell>
        </row>
        <row r="103">
          <cell r="A103">
            <v>800249860</v>
          </cell>
          <cell r="B103" t="str">
            <v>CELSIA COLOMBIA S.A. E.S.P.</v>
          </cell>
          <cell r="C103" t="str">
            <v>+570000</v>
          </cell>
          <cell r="E103" t="str">
            <v>FACTURAELECTRONICA@CELSIA.COM</v>
          </cell>
          <cell r="F103" t="str">
            <v>CR 57 11-29</v>
          </cell>
          <cell r="G103" t="str">
            <v>76</v>
          </cell>
          <cell r="H103" t="str">
            <v>892</v>
          </cell>
          <cell r="I103" t="str">
            <v>76892</v>
          </cell>
          <cell r="J103" t="str">
            <v>VENTA DE BIENES</v>
          </cell>
          <cell r="K103">
            <v>4659</v>
          </cell>
          <cell r="L103">
            <v>219</v>
          </cell>
          <cell r="M103">
            <v>35461649</v>
          </cell>
        </row>
        <row r="104">
          <cell r="A104">
            <v>800251440</v>
          </cell>
          <cell r="B104" t="str">
            <v>ENTIDAD PROMOTORA DE SALUD SANITAS S.A.S.</v>
          </cell>
          <cell r="C104" t="str">
            <v>8698789</v>
          </cell>
          <cell r="D104" t="str">
            <v>8698789</v>
          </cell>
          <cell r="E104" t="str">
            <v>recepcionfecm@fe.epssanitas.com</v>
          </cell>
          <cell r="F104" t="str">
            <v>CL 100  11 B 95</v>
          </cell>
          <cell r="G104" t="str">
            <v>11</v>
          </cell>
          <cell r="H104" t="str">
            <v>001</v>
          </cell>
          <cell r="I104" t="str">
            <v>11001</v>
          </cell>
          <cell r="J104" t="str">
            <v>42 GRAVADOS</v>
          </cell>
          <cell r="K104">
            <v>4659</v>
          </cell>
          <cell r="L104">
            <v>219</v>
          </cell>
          <cell r="M104">
            <v>5299661</v>
          </cell>
        </row>
        <row r="105">
          <cell r="A105">
            <v>800252103</v>
          </cell>
          <cell r="B105" t="str">
            <v>IMSEL SAS</v>
          </cell>
          <cell r="C105" t="str">
            <v>+570000</v>
          </cell>
          <cell r="E105" t="str">
            <v>IMSEL.FACTURAS@GMAIL.COM</v>
          </cell>
          <cell r="F105" t="str">
            <v>CR 47 141 50</v>
          </cell>
          <cell r="G105">
            <v>11</v>
          </cell>
          <cell r="H105" t="str">
            <v>001</v>
          </cell>
          <cell r="I105" t="str">
            <v>11001</v>
          </cell>
          <cell r="J105" t="str">
            <v>VENTA DE BIENES</v>
          </cell>
          <cell r="K105">
            <v>4659</v>
          </cell>
          <cell r="L105">
            <v>219</v>
          </cell>
          <cell r="M105">
            <v>13834676</v>
          </cell>
        </row>
        <row r="106">
          <cell r="A106">
            <v>800252568</v>
          </cell>
          <cell r="B106" t="str">
            <v>KAMATI LTDA</v>
          </cell>
          <cell r="C106" t="str">
            <v>+570000</v>
          </cell>
          <cell r="E106" t="str">
            <v>FACTURACIONELECTRONICAKAMA@GMAIL.COM</v>
          </cell>
          <cell r="F106" t="str">
            <v>Carrera 45 A No. 101-22 pasadena</v>
          </cell>
          <cell r="G106" t="str">
            <v>11</v>
          </cell>
          <cell r="H106" t="str">
            <v>001</v>
          </cell>
          <cell r="I106" t="str">
            <v>11001</v>
          </cell>
          <cell r="J106" t="str">
            <v>VENTA DE BIENES</v>
          </cell>
          <cell r="K106">
            <v>4659</v>
          </cell>
          <cell r="L106">
            <v>219</v>
          </cell>
          <cell r="M106">
            <v>1420104</v>
          </cell>
        </row>
        <row r="107">
          <cell r="A107">
            <v>800254257</v>
          </cell>
          <cell r="B107" t="str">
            <v>SIMAC S.A.S.</v>
          </cell>
          <cell r="C107" t="str">
            <v>+570000</v>
          </cell>
          <cell r="E107" t="str">
            <v>ANGELA.SARMIENTO@SIMAC.COM.CO</v>
          </cell>
          <cell r="F107" t="str">
            <v>CL 35 D 90 22</v>
          </cell>
          <cell r="G107" t="str">
            <v>05</v>
          </cell>
          <cell r="H107" t="str">
            <v>001</v>
          </cell>
          <cell r="I107" t="str">
            <v>05001</v>
          </cell>
          <cell r="J107" t="str">
            <v>42 GRAVADOS</v>
          </cell>
          <cell r="K107">
            <v>4659</v>
          </cell>
          <cell r="L107">
            <v>219</v>
          </cell>
          <cell r="M107">
            <v>8427804</v>
          </cell>
        </row>
        <row r="108">
          <cell r="A108">
            <v>800256178</v>
          </cell>
          <cell r="B108" t="str">
            <v>INGENIERIA DE SERVICIOS Y CONTROL LTDA</v>
          </cell>
          <cell r="E108" t="str">
            <v>gerencia@insercontrol.com</v>
          </cell>
          <cell r="F108" t="str">
            <v>CL 77 65 37 LC 129 CC COUNTRY OFFICE CENTER</v>
          </cell>
          <cell r="G108" t="str">
            <v>08</v>
          </cell>
          <cell r="H108" t="str">
            <v>001</v>
          </cell>
          <cell r="I108" t="str">
            <v>08001</v>
          </cell>
          <cell r="J108" t="str">
            <v>VENTA DE BIENES</v>
          </cell>
          <cell r="K108">
            <v>4659</v>
          </cell>
          <cell r="L108">
            <v>219</v>
          </cell>
          <cell r="M108">
            <v>3925197</v>
          </cell>
        </row>
        <row r="109">
          <cell r="A109">
            <v>800256848</v>
          </cell>
          <cell r="B109" t="str">
            <v>ETEL LTDA</v>
          </cell>
          <cell r="C109">
            <v>5570056</v>
          </cell>
          <cell r="D109">
            <v>5570056</v>
          </cell>
          <cell r="E109" t="str">
            <v>contabilidad@etel.com.co</v>
          </cell>
          <cell r="F109" t="str">
            <v>CR 20 10 09 BRR BRETAÑA</v>
          </cell>
          <cell r="G109" t="str">
            <v>76</v>
          </cell>
          <cell r="H109" t="str">
            <v>001</v>
          </cell>
          <cell r="I109" t="str">
            <v>76001</v>
          </cell>
          <cell r="J109" t="str">
            <v>VENTA DE BIENES</v>
          </cell>
          <cell r="K109">
            <v>4659</v>
          </cell>
          <cell r="L109">
            <v>219</v>
          </cell>
          <cell r="M109">
            <v>2501471</v>
          </cell>
        </row>
        <row r="110">
          <cell r="A110">
            <v>802001831</v>
          </cell>
          <cell r="B110" t="str">
            <v>INDUTRONICA DEL CARIBE S.A.S.</v>
          </cell>
          <cell r="C110" t="str">
            <v>+570000</v>
          </cell>
          <cell r="E110" t="str">
            <v>FACTURACION@INDUTRONICA.COM</v>
          </cell>
          <cell r="F110" t="str">
            <v>CL.44 # 46 - 32   NTE . CENTRO  HISTORICO</v>
          </cell>
          <cell r="G110" t="str">
            <v>08</v>
          </cell>
          <cell r="H110" t="str">
            <v>001</v>
          </cell>
          <cell r="I110" t="str">
            <v>08001</v>
          </cell>
          <cell r="J110" t="str">
            <v>VENTA DE BIENES</v>
          </cell>
          <cell r="K110">
            <v>4659</v>
          </cell>
          <cell r="L110">
            <v>219</v>
          </cell>
          <cell r="M110">
            <v>5262046</v>
          </cell>
        </row>
        <row r="111">
          <cell r="A111">
            <v>802001831</v>
          </cell>
          <cell r="B111" t="str">
            <v>INDUTRONICA DEL CARIBE S.A.S.</v>
          </cell>
          <cell r="C111" t="str">
            <v>+570000</v>
          </cell>
          <cell r="E111" t="str">
            <v>FACTURACION@INDUTRONICA.COM</v>
          </cell>
          <cell r="F111" t="str">
            <v>CL.44 # 46 - 32   NTE . CENTRO  HISTORICO</v>
          </cell>
          <cell r="G111" t="str">
            <v>08</v>
          </cell>
          <cell r="H111" t="str">
            <v>001</v>
          </cell>
          <cell r="I111" t="str">
            <v>08001</v>
          </cell>
          <cell r="J111" t="str">
            <v>TRANSPORTE</v>
          </cell>
          <cell r="K111">
            <v>3312</v>
          </cell>
          <cell r="L111">
            <v>334</v>
          </cell>
          <cell r="M111">
            <v>23100</v>
          </cell>
        </row>
        <row r="112">
          <cell r="A112">
            <v>802005820</v>
          </cell>
          <cell r="B112" t="str">
            <v>DITAR SA</v>
          </cell>
          <cell r="C112" t="str">
            <v>+570000</v>
          </cell>
          <cell r="E112" t="str">
            <v>802005820@FACTUREINBOX.CO</v>
          </cell>
          <cell r="F112" t="str">
            <v>KM 7 VIA JUAN MINA PAR INDUSTRIAL CLAVERIA</v>
          </cell>
          <cell r="G112" t="str">
            <v>08</v>
          </cell>
          <cell r="H112" t="str">
            <v>001</v>
          </cell>
          <cell r="I112" t="str">
            <v>08001</v>
          </cell>
          <cell r="J112" t="str">
            <v>VENTA DE BIENES</v>
          </cell>
          <cell r="K112">
            <v>4659</v>
          </cell>
          <cell r="L112">
            <v>219</v>
          </cell>
          <cell r="M112">
            <v>15751854</v>
          </cell>
        </row>
        <row r="113">
          <cell r="A113">
            <v>802007669</v>
          </cell>
          <cell r="B113" t="str">
            <v>TRANSELCA S.A - E.S.P</v>
          </cell>
          <cell r="C113" t="str">
            <v>+570000</v>
          </cell>
          <cell r="E113" t="str">
            <v>FACTURASPROVEEDORES@TRANSELCA.COM.CO</v>
          </cell>
          <cell r="F113" t="str">
            <v>CR 55 72-109 P 10 Almacen Transelca</v>
          </cell>
          <cell r="G113" t="str">
            <v>08</v>
          </cell>
          <cell r="H113" t="str">
            <v>573</v>
          </cell>
          <cell r="I113" t="str">
            <v>08573</v>
          </cell>
          <cell r="J113" t="str">
            <v>VENTA DE BIENES</v>
          </cell>
          <cell r="K113">
            <v>4659</v>
          </cell>
          <cell r="L113">
            <v>219</v>
          </cell>
          <cell r="M113">
            <v>6644825</v>
          </cell>
        </row>
        <row r="114">
          <cell r="A114">
            <v>802011109</v>
          </cell>
          <cell r="B114" t="str">
            <v>GRUPO ALIMENTARIO DEL ATLANTICO S.A</v>
          </cell>
          <cell r="C114" t="str">
            <v>+570000</v>
          </cell>
          <cell r="E114" t="str">
            <v>FACTURAELECTRONICA@GRALCO.COM.CO</v>
          </cell>
          <cell r="F114" t="str">
            <v>CL 1 38-121 ZN INDUSTRIAL</v>
          </cell>
          <cell r="G114" t="str">
            <v>05</v>
          </cell>
          <cell r="H114" t="str">
            <v>440</v>
          </cell>
          <cell r="I114" t="str">
            <v>05440</v>
          </cell>
          <cell r="J114" t="str">
            <v>VENTA DE BIENES</v>
          </cell>
          <cell r="K114">
            <v>4659</v>
          </cell>
          <cell r="L114">
            <v>219</v>
          </cell>
          <cell r="M114">
            <v>8807920</v>
          </cell>
        </row>
        <row r="115">
          <cell r="A115">
            <v>802019339</v>
          </cell>
          <cell r="B115" t="str">
            <v>ADAMA ANDINA B.V SUCURSAL COLOMBIA</v>
          </cell>
          <cell r="C115" t="str">
            <v>+570000</v>
          </cell>
          <cell r="E115" t="str">
            <v>RECEPCION.BOGOTA@ADAMA.COM</v>
          </cell>
          <cell r="F115" t="str">
            <v>CL 1 C 7 53 IN ZF</v>
          </cell>
          <cell r="G115" t="str">
            <v>08</v>
          </cell>
          <cell r="H115" t="str">
            <v>001</v>
          </cell>
          <cell r="I115" t="str">
            <v>08001</v>
          </cell>
          <cell r="J115" t="str">
            <v>VENTA DE BIENES</v>
          </cell>
          <cell r="K115">
            <v>4659</v>
          </cell>
          <cell r="L115">
            <v>219</v>
          </cell>
          <cell r="M115">
            <v>18251351</v>
          </cell>
        </row>
        <row r="116">
          <cell r="A116">
            <v>802022269</v>
          </cell>
          <cell r="B116" t="str">
            <v>ACP Y CIA S.A.S.</v>
          </cell>
          <cell r="C116" t="str">
            <v>+570000</v>
          </cell>
          <cell r="E116" t="str">
            <v>FACTURAELECTRONICA@ACPYCIA.COM</v>
          </cell>
          <cell r="F116" t="str">
            <v>CRA 42 56 25 BG BLANCO CON AZUL</v>
          </cell>
          <cell r="G116" t="str">
            <v>08</v>
          </cell>
          <cell r="H116" t="str">
            <v>001</v>
          </cell>
          <cell r="I116" t="str">
            <v>08001</v>
          </cell>
          <cell r="J116" t="str">
            <v>VENTA DE BIENES</v>
          </cell>
          <cell r="K116">
            <v>4659</v>
          </cell>
          <cell r="L116">
            <v>219</v>
          </cell>
          <cell r="M116">
            <v>6537360</v>
          </cell>
        </row>
        <row r="117">
          <cell r="A117">
            <v>802024688</v>
          </cell>
          <cell r="B117" t="str">
            <v>GRUPO ZAMBRANO S.A.S</v>
          </cell>
          <cell r="C117" t="str">
            <v>+570000</v>
          </cell>
          <cell r="E117" t="str">
            <v>RECEPCION@GRUPOZAMBRANO.COM.CO</v>
          </cell>
          <cell r="F117" t="str">
            <v>CR 45 70 86 BRR COLOMBIA</v>
          </cell>
          <cell r="G117" t="str">
            <v>08</v>
          </cell>
          <cell r="H117" t="str">
            <v>001</v>
          </cell>
          <cell r="I117" t="str">
            <v>08001</v>
          </cell>
          <cell r="J117" t="str">
            <v>VENTA DE BIENES</v>
          </cell>
          <cell r="K117">
            <v>4659</v>
          </cell>
          <cell r="L117">
            <v>219</v>
          </cell>
          <cell r="M117">
            <v>1274400</v>
          </cell>
        </row>
        <row r="118">
          <cell r="A118">
            <v>802025044</v>
          </cell>
          <cell r="B118" t="str">
            <v>INTELPRO SAS</v>
          </cell>
          <cell r="C118" t="str">
            <v>+570000</v>
          </cell>
          <cell r="E118" t="str">
            <v>INFO@INTELPRO.NET</v>
          </cell>
          <cell r="F118" t="str">
            <v>CL 80 45-41 BRR GRANADILLO</v>
          </cell>
          <cell r="G118" t="str">
            <v>08</v>
          </cell>
          <cell r="H118" t="str">
            <v>001</v>
          </cell>
          <cell r="I118" t="str">
            <v>08001</v>
          </cell>
          <cell r="J118" t="str">
            <v>VENTA DE BIENES</v>
          </cell>
          <cell r="K118">
            <v>4659</v>
          </cell>
          <cell r="L118">
            <v>219</v>
          </cell>
          <cell r="M118">
            <v>25424133</v>
          </cell>
        </row>
        <row r="119">
          <cell r="A119">
            <v>804005810</v>
          </cell>
          <cell r="B119" t="str">
            <v>EMPRESA DE SOLUCIONES, SERVICIOS E INNOVACION ESSI S.A.S.</v>
          </cell>
          <cell r="C119" t="str">
            <v>+570000</v>
          </cell>
          <cell r="E119" t="str">
            <v>804005810@FACTUREINBOX.CO</v>
          </cell>
          <cell r="F119" t="str">
            <v>CR 16C 60-100 LA ESMERALDA</v>
          </cell>
          <cell r="G119" t="str">
            <v>68</v>
          </cell>
          <cell r="H119" t="str">
            <v>307</v>
          </cell>
          <cell r="I119" t="str">
            <v>68307</v>
          </cell>
          <cell r="J119" t="str">
            <v>VENTA DE BIENES</v>
          </cell>
          <cell r="K119">
            <v>4659</v>
          </cell>
          <cell r="L119">
            <v>219</v>
          </cell>
          <cell r="M119">
            <v>146984400</v>
          </cell>
        </row>
        <row r="120">
          <cell r="A120">
            <v>804009247</v>
          </cell>
          <cell r="B120" t="str">
            <v>CORPORACION CENTRO DE DESARROLLO TECNOLOGICO DEL GAS</v>
          </cell>
          <cell r="C120">
            <v>6542266</v>
          </cell>
          <cell r="D120">
            <v>6542266</v>
          </cell>
          <cell r="E120" t="str">
            <v>servicioalcliente@cdtdegas.com</v>
          </cell>
          <cell r="F120" t="str">
            <v>KM 2 VDA VIA REFUGIO SEDE UIS BRR GUATIGUARA</v>
          </cell>
          <cell r="G120" t="str">
            <v>68</v>
          </cell>
          <cell r="H120" t="str">
            <v>547</v>
          </cell>
          <cell r="I120" t="str">
            <v>68547</v>
          </cell>
          <cell r="J120" t="str">
            <v>VENTA DE BIENES</v>
          </cell>
          <cell r="K120">
            <v>4659</v>
          </cell>
          <cell r="L120">
            <v>219</v>
          </cell>
          <cell r="M120">
            <v>6986060</v>
          </cell>
        </row>
        <row r="121">
          <cell r="A121">
            <v>804011015</v>
          </cell>
          <cell r="B121" t="str">
            <v>ELECTROVERA S.A.S</v>
          </cell>
          <cell r="C121" t="str">
            <v>318 2099403</v>
          </cell>
          <cell r="D121">
            <v>3182099403</v>
          </cell>
          <cell r="E121" t="str">
            <v>fecompras@electrovera.com</v>
          </cell>
          <cell r="F121" t="str">
            <v/>
          </cell>
          <cell r="G121" t="str">
            <v>68</v>
          </cell>
          <cell r="H121" t="str">
            <v>001</v>
          </cell>
          <cell r="I121" t="str">
            <v>68001</v>
          </cell>
          <cell r="J121" t="str">
            <v>VENTA DE BIENES</v>
          </cell>
          <cell r="K121">
            <v>4659</v>
          </cell>
          <cell r="L121">
            <v>219</v>
          </cell>
          <cell r="M121">
            <v>328000</v>
          </cell>
        </row>
        <row r="122">
          <cell r="A122">
            <v>804016072</v>
          </cell>
          <cell r="B122" t="str">
            <v>ADIPACK LTDA</v>
          </cell>
          <cell r="C122" t="str">
            <v>+570000</v>
          </cell>
          <cell r="E122" t="str">
            <v>ADIPACK.COMPRAS@GMAIL.COM</v>
          </cell>
          <cell r="F122" t="str">
            <v>CL 14 18 31 BRR SAN FRANCISCO</v>
          </cell>
          <cell r="G122" t="str">
            <v>68</v>
          </cell>
          <cell r="H122" t="str">
            <v>001</v>
          </cell>
          <cell r="I122" t="str">
            <v>68001</v>
          </cell>
          <cell r="J122" t="str">
            <v>VENTA DE BIENES</v>
          </cell>
          <cell r="K122">
            <v>4659</v>
          </cell>
          <cell r="L122">
            <v>219</v>
          </cell>
          <cell r="M122">
            <v>4423960</v>
          </cell>
        </row>
        <row r="123">
          <cell r="A123">
            <v>805002719</v>
          </cell>
          <cell r="B123" t="str">
            <v>CONTROL DE PROCESOS INDUSTRIALES CPI S.A.S.</v>
          </cell>
          <cell r="C123" t="str">
            <v>+57000</v>
          </cell>
          <cell r="E123" t="str">
            <v>supervisorios@cpi.com.co</v>
          </cell>
          <cell r="F123" t="str">
            <v/>
          </cell>
          <cell r="G123" t="str">
            <v>08</v>
          </cell>
          <cell r="H123" t="str">
            <v>001</v>
          </cell>
          <cell r="I123" t="str">
            <v>08001</v>
          </cell>
          <cell r="J123" t="str">
            <v>VENTA DE BIENES</v>
          </cell>
          <cell r="K123">
            <v>4659</v>
          </cell>
          <cell r="L123">
            <v>219</v>
          </cell>
          <cell r="M123">
            <v>9849122</v>
          </cell>
        </row>
        <row r="124">
          <cell r="A124">
            <v>805007650</v>
          </cell>
          <cell r="B124" t="str">
            <v>R.S. INGENIERIA S.A.S</v>
          </cell>
          <cell r="C124" t="str">
            <v>321 7804574</v>
          </cell>
          <cell r="D124">
            <v>3217804574</v>
          </cell>
          <cell r="E124" t="str">
            <v>rsingenieria8@gmail.com</v>
          </cell>
          <cell r="F124" t="str">
            <v>CL 2D 71 22 BRR BUENOS AIRES</v>
          </cell>
          <cell r="G124" t="str">
            <v>76</v>
          </cell>
          <cell r="H124" t="str">
            <v>001</v>
          </cell>
          <cell r="I124" t="str">
            <v>76001</v>
          </cell>
          <cell r="J124" t="str">
            <v>VENTA DE BIENES</v>
          </cell>
          <cell r="K124">
            <v>4659</v>
          </cell>
          <cell r="L124">
            <v>219</v>
          </cell>
          <cell r="M124">
            <v>4710979</v>
          </cell>
        </row>
        <row r="125">
          <cell r="A125">
            <v>805007650</v>
          </cell>
          <cell r="B125" t="str">
            <v>R.S. INGENIERIA S.A.S</v>
          </cell>
          <cell r="C125" t="str">
            <v>321 7804574</v>
          </cell>
          <cell r="D125">
            <v>3217804574</v>
          </cell>
          <cell r="E125" t="str">
            <v>rsingenieria8@gmail.com</v>
          </cell>
          <cell r="F125" t="str">
            <v>CL 2D 71 22 BRR BUENOS AIRES</v>
          </cell>
          <cell r="G125" t="str">
            <v>76</v>
          </cell>
          <cell r="H125" t="str">
            <v>001</v>
          </cell>
          <cell r="I125" t="str">
            <v>76001</v>
          </cell>
          <cell r="J125" t="str">
            <v>TRANSPORTE</v>
          </cell>
          <cell r="K125">
            <v>3312</v>
          </cell>
          <cell r="L125">
            <v>334</v>
          </cell>
          <cell r="M125">
            <v>66700</v>
          </cell>
        </row>
        <row r="126">
          <cell r="A126">
            <v>805018755</v>
          </cell>
          <cell r="B126" t="str">
            <v>IMAD S.A.S</v>
          </cell>
          <cell r="C126" t="str">
            <v>+570000</v>
          </cell>
          <cell r="E126" t="str">
            <v>805018755@RECEPCIONDEFACTURAS.CO</v>
          </cell>
          <cell r="F126" t="str">
            <v>CR 15 31 33</v>
          </cell>
          <cell r="G126" t="str">
            <v>76</v>
          </cell>
          <cell r="H126" t="str">
            <v>001</v>
          </cell>
          <cell r="I126" t="str">
            <v>76001</v>
          </cell>
          <cell r="J126" t="str">
            <v>VENTA DE BIENES</v>
          </cell>
          <cell r="K126">
            <v>4659</v>
          </cell>
          <cell r="L126">
            <v>219</v>
          </cell>
          <cell r="M126">
            <v>6988868</v>
          </cell>
        </row>
        <row r="127">
          <cell r="A127">
            <v>805021980</v>
          </cell>
          <cell r="B127" t="str">
            <v>METROINSTRUMENTS S.A.S</v>
          </cell>
          <cell r="C127" t="str">
            <v>25242755</v>
          </cell>
          <cell r="D127" t="str">
            <v>25242755</v>
          </cell>
          <cell r="E127" t="str">
            <v>CARTERA@METROINSTRUMENTS.COM</v>
          </cell>
          <cell r="F127" t="str">
            <v/>
          </cell>
          <cell r="G127" t="str">
            <v>76</v>
          </cell>
          <cell r="H127" t="str">
            <v>001</v>
          </cell>
          <cell r="I127" t="str">
            <v>76001</v>
          </cell>
          <cell r="J127" t="str">
            <v>VENTA DE BIENES</v>
          </cell>
          <cell r="K127">
            <v>4659</v>
          </cell>
          <cell r="L127">
            <v>219</v>
          </cell>
          <cell r="M127">
            <v>32663367</v>
          </cell>
        </row>
        <row r="128">
          <cell r="A128">
            <v>805024933</v>
          </cell>
          <cell r="B128" t="str">
            <v>SUMINISTROS Y SERVICIOS TECNICOS S.A.S</v>
          </cell>
          <cell r="C128">
            <v>6600586</v>
          </cell>
          <cell r="D128">
            <v>6600586</v>
          </cell>
          <cell r="E128" t="str">
            <v>FACTURAELECTRONICA@SYST.COM.CO</v>
          </cell>
          <cell r="F128" t="str">
            <v/>
          </cell>
          <cell r="G128" t="str">
            <v>76</v>
          </cell>
          <cell r="H128" t="str">
            <v>001</v>
          </cell>
          <cell r="I128" t="str">
            <v>76001</v>
          </cell>
          <cell r="J128" t="str">
            <v>VENTA DE BIENES</v>
          </cell>
          <cell r="K128">
            <v>4659</v>
          </cell>
          <cell r="L128">
            <v>219</v>
          </cell>
          <cell r="M128">
            <v>2658979</v>
          </cell>
        </row>
        <row r="129">
          <cell r="A129">
            <v>806007073</v>
          </cell>
          <cell r="B129" t="str">
            <v>C.I. MEXICHEM COMPUESTOS COLOMBIA SAS</v>
          </cell>
          <cell r="C129" t="str">
            <v>6731520</v>
          </cell>
          <cell r="D129" t="str">
            <v>6731520</v>
          </cell>
          <cell r="E129" t="str">
            <v>fe.mcc@mexichem.com</v>
          </cell>
          <cell r="F129" t="str">
            <v>CARR VIA MAMONAL KM 8</v>
          </cell>
          <cell r="G129" t="str">
            <v>13</v>
          </cell>
          <cell r="H129" t="str">
            <v>001</v>
          </cell>
          <cell r="I129" t="str">
            <v>13001</v>
          </cell>
          <cell r="J129" t="str">
            <v>VENTA DE BIENES</v>
          </cell>
          <cell r="K129">
            <v>4659</v>
          </cell>
          <cell r="L129">
            <v>219</v>
          </cell>
          <cell r="M129">
            <v>14217900</v>
          </cell>
        </row>
        <row r="130">
          <cell r="A130">
            <v>806008873</v>
          </cell>
          <cell r="B130" t="str">
            <v>COTECMAR</v>
          </cell>
          <cell r="C130" t="str">
            <v>+570000</v>
          </cell>
          <cell r="E130" t="str">
            <v>806008873@FACTUREINBOX.CO</v>
          </cell>
          <cell r="F130" t="str">
            <v>MAMONAL KM 9</v>
          </cell>
          <cell r="G130">
            <v>13</v>
          </cell>
          <cell r="H130" t="str">
            <v>001</v>
          </cell>
          <cell r="I130" t="str">
            <v>13001</v>
          </cell>
          <cell r="J130" t="str">
            <v>VENTA DE BIENES</v>
          </cell>
          <cell r="K130">
            <v>4659</v>
          </cell>
          <cell r="L130">
            <v>219</v>
          </cell>
          <cell r="M130">
            <v>300442330</v>
          </cell>
        </row>
        <row r="131">
          <cell r="A131">
            <v>809002625</v>
          </cell>
          <cell r="B131" t="str">
            <v>INTERNACIONAL DE ELECTRICOS S.A.S</v>
          </cell>
          <cell r="C131" t="str">
            <v>+570000</v>
          </cell>
          <cell r="E131" t="str">
            <v>FACTURAELECTRONICA@IEGRUPO.CO</v>
          </cell>
          <cell r="F131" t="str">
            <v>AVENIDA SANTANDER No. 46 A 05</v>
          </cell>
          <cell r="G131">
            <v>17</v>
          </cell>
          <cell r="H131" t="str">
            <v>001</v>
          </cell>
          <cell r="I131" t="str">
            <v>17001</v>
          </cell>
          <cell r="J131" t="str">
            <v>VENTA DE BIENES</v>
          </cell>
          <cell r="K131">
            <v>4659</v>
          </cell>
          <cell r="L131">
            <v>219</v>
          </cell>
          <cell r="M131">
            <v>981819</v>
          </cell>
        </row>
        <row r="132">
          <cell r="A132">
            <v>810000598</v>
          </cell>
          <cell r="B132" t="str">
            <v>AGUAS DE MANIZALES S.A. E.S.P.</v>
          </cell>
          <cell r="C132" t="str">
            <v>+570000</v>
          </cell>
          <cell r="E132" t="str">
            <v>jdduque@aguasdemanizales.com.co</v>
          </cell>
          <cell r="F132" t="str">
            <v>AV KEVIN ANGEL 59-181</v>
          </cell>
          <cell r="G132" t="str">
            <v>17</v>
          </cell>
          <cell r="H132" t="str">
            <v>001</v>
          </cell>
          <cell r="I132" t="str">
            <v>17001</v>
          </cell>
          <cell r="J132" t="str">
            <v>VENTA DE BIENES</v>
          </cell>
          <cell r="K132">
            <v>4659</v>
          </cell>
          <cell r="L132">
            <v>219</v>
          </cell>
          <cell r="M132">
            <v>58870446</v>
          </cell>
        </row>
        <row r="133">
          <cell r="A133">
            <v>811000646</v>
          </cell>
          <cell r="B133" t="str">
            <v>INCONTROL S.A.S</v>
          </cell>
          <cell r="E133" t="str">
            <v>patricia.carvajal@incontrol.com.co</v>
          </cell>
          <cell r="F133" t="str">
            <v>Transversal 33 A Sur #31 E 50 Barrio La Magnolia</v>
          </cell>
          <cell r="G133" t="str">
            <v>05</v>
          </cell>
          <cell r="H133" t="str">
            <v>266</v>
          </cell>
          <cell r="I133" t="str">
            <v>05266</v>
          </cell>
          <cell r="J133" t="str">
            <v>VENTA DE BIENES</v>
          </cell>
          <cell r="K133">
            <v>4659</v>
          </cell>
          <cell r="L133">
            <v>219</v>
          </cell>
          <cell r="M133">
            <v>13861049</v>
          </cell>
        </row>
        <row r="134">
          <cell r="A134">
            <v>811000740</v>
          </cell>
          <cell r="B134" t="str">
            <v>ISAGEN S.A - E.S.P</v>
          </cell>
          <cell r="C134" t="str">
            <v>+570000</v>
          </cell>
          <cell r="E134" t="str">
            <v>correspondencia@isagen.com.co</v>
          </cell>
          <cell r="F134" t="str">
            <v/>
          </cell>
          <cell r="G134" t="str">
            <v>05</v>
          </cell>
          <cell r="H134" t="str">
            <v>001</v>
          </cell>
          <cell r="I134" t="str">
            <v>05001</v>
          </cell>
          <cell r="J134" t="str">
            <v>VENTA DE BIENES</v>
          </cell>
          <cell r="K134">
            <v>4659</v>
          </cell>
          <cell r="L134">
            <v>219</v>
          </cell>
          <cell r="M134">
            <v>26971011</v>
          </cell>
        </row>
        <row r="135">
          <cell r="A135">
            <v>811006981</v>
          </cell>
          <cell r="B135" t="str">
            <v>LATEXPORT SAS</v>
          </cell>
          <cell r="C135" t="str">
            <v>316 3842936</v>
          </cell>
          <cell r="D135">
            <v>3163842936</v>
          </cell>
          <cell r="E135" t="str">
            <v>contabilidad@latexport.com</v>
          </cell>
          <cell r="F135" t="str">
            <v>AUT MEDELLIN BOGOTA KM 24</v>
          </cell>
          <cell r="G135" t="str">
            <v>05</v>
          </cell>
          <cell r="H135" t="str">
            <v>318</v>
          </cell>
          <cell r="I135" t="str">
            <v>05318</v>
          </cell>
          <cell r="J135" t="str">
            <v>VENTA DE BIENES</v>
          </cell>
          <cell r="K135">
            <v>4659</v>
          </cell>
          <cell r="L135">
            <v>219</v>
          </cell>
          <cell r="M135">
            <v>2027200</v>
          </cell>
        </row>
        <row r="136">
          <cell r="A136">
            <v>811015832</v>
          </cell>
          <cell r="B136" t="str">
            <v>SURTI INDUSTRIA S.A.S.</v>
          </cell>
          <cell r="C136" t="str">
            <v>+570000</v>
          </cell>
          <cell r="E136" t="str">
            <v>FEPROVEEDORES@SURTIINDUSTRIA.COM.CO</v>
          </cell>
          <cell r="F136" t="str">
            <v>CR 33 38 A SUR 46 BRR MESA</v>
          </cell>
          <cell r="G136" t="str">
            <v>05</v>
          </cell>
          <cell r="H136" t="str">
            <v>266</v>
          </cell>
          <cell r="I136" t="str">
            <v>05266</v>
          </cell>
          <cell r="J136" t="str">
            <v>VENTA DE BIENES</v>
          </cell>
          <cell r="K136">
            <v>4659</v>
          </cell>
          <cell r="L136">
            <v>219</v>
          </cell>
          <cell r="M136">
            <v>1590400</v>
          </cell>
        </row>
        <row r="137">
          <cell r="A137">
            <v>811016504</v>
          </cell>
          <cell r="B137" t="str">
            <v>AUTOMATIZACION Y PESO SAS</v>
          </cell>
          <cell r="C137" t="str">
            <v>+570000</v>
          </cell>
          <cell r="E137" t="str">
            <v>COMPRAS@CARDINALSCALE.COM.CO</v>
          </cell>
          <cell r="F137" t="str">
            <v>CR 43 A 61 SUR 152 BG 131</v>
          </cell>
          <cell r="G137" t="str">
            <v>05</v>
          </cell>
          <cell r="H137" t="str">
            <v>631</v>
          </cell>
          <cell r="I137" t="str">
            <v>05631</v>
          </cell>
          <cell r="J137" t="str">
            <v>VENTA DE BIENES</v>
          </cell>
          <cell r="K137">
            <v>4659</v>
          </cell>
          <cell r="L137">
            <v>219</v>
          </cell>
          <cell r="M137">
            <v>49785600</v>
          </cell>
        </row>
        <row r="138">
          <cell r="A138">
            <v>811021891</v>
          </cell>
          <cell r="B138" t="str">
            <v>PRODUCTORA DE MANTOS Y TELAS S.A.S</v>
          </cell>
          <cell r="E138" t="str">
            <v>PROMATEL@PROMATEL.COM.CO</v>
          </cell>
          <cell r="F138" t="str">
            <v>CR 50 79 C SUR 250</v>
          </cell>
          <cell r="G138" t="str">
            <v>05</v>
          </cell>
          <cell r="H138" t="str">
            <v>380</v>
          </cell>
          <cell r="I138" t="str">
            <v>05380</v>
          </cell>
          <cell r="J138" t="str">
            <v>VENTA DE BIENES</v>
          </cell>
          <cell r="K138">
            <v>4659</v>
          </cell>
          <cell r="L138">
            <v>219</v>
          </cell>
          <cell r="M138">
            <v>7021840</v>
          </cell>
        </row>
        <row r="139">
          <cell r="A139">
            <v>811022981</v>
          </cell>
          <cell r="B139" t="str">
            <v>SOBERANA SAS</v>
          </cell>
          <cell r="C139" t="str">
            <v>+570000</v>
          </cell>
          <cell r="E139" t="str">
            <v>FACTURAELECTRONICA@SOBERANA.COM.CO</v>
          </cell>
          <cell r="F139" t="str">
            <v>KM 1 VIA CIENAGA DE ORO</v>
          </cell>
          <cell r="G139">
            <v>23</v>
          </cell>
          <cell r="H139" t="str">
            <v>162</v>
          </cell>
          <cell r="I139" t="str">
            <v>23162</v>
          </cell>
          <cell r="J139" t="str">
            <v>VENTA DE BIENES</v>
          </cell>
          <cell r="K139">
            <v>4659</v>
          </cell>
          <cell r="L139">
            <v>219</v>
          </cell>
          <cell r="M139">
            <v>2332000</v>
          </cell>
        </row>
        <row r="140">
          <cell r="A140">
            <v>811029525</v>
          </cell>
          <cell r="B140" t="str">
            <v>PRODUCTOS LACTEOS AURA SAS</v>
          </cell>
          <cell r="C140">
            <v>5631515</v>
          </cell>
          <cell r="D140">
            <v>5631515</v>
          </cell>
          <cell r="E140" t="str">
            <v>info@qbco.biz</v>
          </cell>
          <cell r="F140" t="str">
            <v>VEREDA LA LAJA KM 37 AUTOPISTA MEDELLIN BOGOTA</v>
          </cell>
          <cell r="G140" t="str">
            <v>05</v>
          </cell>
          <cell r="H140" t="str">
            <v>615</v>
          </cell>
          <cell r="I140" t="str">
            <v>05615</v>
          </cell>
          <cell r="J140" t="str">
            <v>VENTA DE BIENES</v>
          </cell>
          <cell r="K140">
            <v>4659</v>
          </cell>
          <cell r="L140">
            <v>219</v>
          </cell>
          <cell r="M140">
            <v>717600</v>
          </cell>
        </row>
        <row r="141">
          <cell r="A141">
            <v>811035741</v>
          </cell>
          <cell r="B141" t="str">
            <v>INDUSTRIA DE ALIMENTOS ZENU S.A.S.</v>
          </cell>
          <cell r="C141" t="str">
            <v>+570000</v>
          </cell>
          <cell r="E141" t="str">
            <v>RECEPCION_FE@ZENU.COM.CO</v>
          </cell>
          <cell r="F141" t="str">
            <v>CR 64 C 104 3</v>
          </cell>
          <cell r="G141" t="str">
            <v>05</v>
          </cell>
          <cell r="H141" t="str">
            <v>001</v>
          </cell>
          <cell r="I141" t="str">
            <v>05001</v>
          </cell>
          <cell r="J141" t="str">
            <v>VENTA DE BIENES</v>
          </cell>
          <cell r="K141">
            <v>4659</v>
          </cell>
          <cell r="L141">
            <v>219</v>
          </cell>
          <cell r="M141">
            <v>601790</v>
          </cell>
        </row>
        <row r="142">
          <cell r="A142">
            <v>811035741</v>
          </cell>
          <cell r="B142" t="str">
            <v>INDUSTRIA DE ALIMENTOS ZENU S.A.S.</v>
          </cell>
          <cell r="C142" t="str">
            <v>+570000</v>
          </cell>
          <cell r="E142" t="str">
            <v>RECEPCION_FE@ZENU.COM.CO</v>
          </cell>
          <cell r="F142" t="str">
            <v>CR 64 C 104 3</v>
          </cell>
          <cell r="G142" t="str">
            <v>05</v>
          </cell>
          <cell r="H142" t="str">
            <v>001</v>
          </cell>
          <cell r="I142" t="str">
            <v>05001</v>
          </cell>
          <cell r="J142" t="str">
            <v>TRANSPORTE</v>
          </cell>
          <cell r="K142">
            <v>3312</v>
          </cell>
          <cell r="L142">
            <v>334</v>
          </cell>
          <cell r="M142">
            <v>22000</v>
          </cell>
        </row>
        <row r="143">
          <cell r="A143">
            <v>811036030</v>
          </cell>
          <cell r="B143" t="str">
            <v>COMPAÑIA NACIONAL DE CHOCOLATES S.A.S.</v>
          </cell>
          <cell r="C143" t="str">
            <v>+570000</v>
          </cell>
          <cell r="E143" t="str">
            <v>RECEPCION_FE@CHOCOLATES.COM.CO</v>
          </cell>
          <cell r="F143" t="str">
            <v>Cr 65 No 12-60</v>
          </cell>
          <cell r="G143">
            <v>11</v>
          </cell>
          <cell r="H143" t="str">
            <v>001</v>
          </cell>
          <cell r="I143" t="str">
            <v>11001</v>
          </cell>
          <cell r="J143" t="str">
            <v>VENTA DE BIENES</v>
          </cell>
          <cell r="K143">
            <v>4659</v>
          </cell>
          <cell r="L143">
            <v>219</v>
          </cell>
          <cell r="M143">
            <v>6982547</v>
          </cell>
        </row>
        <row r="144">
          <cell r="A144">
            <v>811039383</v>
          </cell>
          <cell r="B144" t="str">
            <v>INDUSTRIA METALELECTRICA M.T.G. S.A.S</v>
          </cell>
          <cell r="C144" t="str">
            <v>+570000</v>
          </cell>
          <cell r="E144" t="str">
            <v>ALMACEN@MTG.COM.CO</v>
          </cell>
          <cell r="F144" t="str">
            <v>CR 51A 12B SUR-15</v>
          </cell>
          <cell r="G144" t="str">
            <v>05</v>
          </cell>
          <cell r="H144" t="str">
            <v>001</v>
          </cell>
          <cell r="I144" t="str">
            <v>05001</v>
          </cell>
          <cell r="J144" t="str">
            <v>VENTA DE BIENES</v>
          </cell>
          <cell r="K144">
            <v>4659</v>
          </cell>
          <cell r="L144">
            <v>219</v>
          </cell>
          <cell r="M144">
            <v>5762830</v>
          </cell>
        </row>
        <row r="145">
          <cell r="A145">
            <v>811041020</v>
          </cell>
          <cell r="B145" t="str">
            <v>EQUIPEL S.A.S.</v>
          </cell>
          <cell r="C145" t="str">
            <v>+570000</v>
          </cell>
          <cell r="E145" t="str">
            <v>CONTACTO@EQUIPEL.COM.CO</v>
          </cell>
          <cell r="F145" t="str">
            <v>CL 29  # 52-26 OFC 206</v>
          </cell>
          <cell r="G145" t="str">
            <v>05</v>
          </cell>
          <cell r="H145" t="str">
            <v>001</v>
          </cell>
          <cell r="I145" t="str">
            <v>05001</v>
          </cell>
          <cell r="J145" t="str">
            <v>VENTA DE BIENES</v>
          </cell>
          <cell r="K145">
            <v>4659</v>
          </cell>
          <cell r="L145">
            <v>219</v>
          </cell>
          <cell r="M145">
            <v>5402080</v>
          </cell>
        </row>
        <row r="146">
          <cell r="A146">
            <v>811044814</v>
          </cell>
          <cell r="B146" t="str">
            <v>SOCIEDAD DE COMERCIALIZACION INTERNACIONAL GIRDLE &amp; LINGERIE SAS</v>
          </cell>
          <cell r="C146" t="str">
            <v>+570000</v>
          </cell>
          <cell r="E146" t="str">
            <v>FACTURADT2@GLINGERIESAS.COM</v>
          </cell>
          <cell r="F146" t="str">
            <v>CR 51 13- 158 IN 101</v>
          </cell>
          <cell r="G146" t="str">
            <v>05</v>
          </cell>
          <cell r="H146" t="str">
            <v>001</v>
          </cell>
          <cell r="I146" t="str">
            <v>05001</v>
          </cell>
          <cell r="J146" t="str">
            <v>VENTA DE BIENES</v>
          </cell>
          <cell r="K146">
            <v>4659</v>
          </cell>
          <cell r="L146">
            <v>219</v>
          </cell>
          <cell r="M146">
            <v>2866534</v>
          </cell>
        </row>
        <row r="147">
          <cell r="A147">
            <v>811047008</v>
          </cell>
          <cell r="B147" t="str">
            <v>IFCO SYSTEMS COLOMBIA SAS</v>
          </cell>
          <cell r="C147" t="str">
            <v>310 3726429</v>
          </cell>
          <cell r="D147">
            <v>3103726429</v>
          </cell>
          <cell r="E147" t="str">
            <v>carlos.parra@ifco.com</v>
          </cell>
          <cell r="F147" t="str">
            <v>Parque Industrial San Judas Km. 6.8 Via Bogota - La Vega. Lotes 56-57 y 58 Etapa segunda Tenjo, Cundinamarca</v>
          </cell>
          <cell r="G147" t="str">
            <v>08</v>
          </cell>
          <cell r="H147" t="str">
            <v>433</v>
          </cell>
          <cell r="I147" t="str">
            <v>08433</v>
          </cell>
          <cell r="J147" t="str">
            <v>VENTA DE BIENES</v>
          </cell>
          <cell r="K147">
            <v>4659</v>
          </cell>
          <cell r="L147">
            <v>219</v>
          </cell>
          <cell r="M147">
            <v>14690040</v>
          </cell>
        </row>
        <row r="148">
          <cell r="A148">
            <v>813008120</v>
          </cell>
          <cell r="B148" t="str">
            <v>PA COLOMBIA S.A.S</v>
          </cell>
          <cell r="C148">
            <v>2150482</v>
          </cell>
          <cell r="D148">
            <v>2150482</v>
          </cell>
          <cell r="E148" t="str">
            <v>facturacion@pacolombia.com.co</v>
          </cell>
          <cell r="F148" t="str">
            <v>CL 104 14 A 45 OF 401 ED CENTRO EMPRESARIAL 104</v>
          </cell>
          <cell r="G148" t="str">
            <v>11</v>
          </cell>
          <cell r="H148" t="str">
            <v>001</v>
          </cell>
          <cell r="I148" t="str">
            <v>11001</v>
          </cell>
          <cell r="J148" t="str">
            <v>VENTA DE BIENES</v>
          </cell>
          <cell r="K148">
            <v>4659</v>
          </cell>
          <cell r="L148">
            <v>219</v>
          </cell>
          <cell r="M148">
            <v>70483597</v>
          </cell>
        </row>
        <row r="149">
          <cell r="A149">
            <v>813008499</v>
          </cell>
          <cell r="B149" t="str">
            <v>AUTOCENTRO SAS</v>
          </cell>
          <cell r="C149" t="str">
            <v>315 8515692</v>
          </cell>
          <cell r="D149">
            <v>3158515692</v>
          </cell>
          <cell r="E149" t="str">
            <v>info@autocentroltda.com.co</v>
          </cell>
          <cell r="F149" t="str">
            <v>CL 3 5 84</v>
          </cell>
          <cell r="G149" t="str">
            <v>41</v>
          </cell>
          <cell r="H149" t="str">
            <v>001</v>
          </cell>
          <cell r="I149" t="str">
            <v>41001</v>
          </cell>
          <cell r="J149" t="str">
            <v>VENTA DE BIENES</v>
          </cell>
          <cell r="K149">
            <v>4659</v>
          </cell>
          <cell r="L149">
            <v>219</v>
          </cell>
          <cell r="M149">
            <v>87746</v>
          </cell>
        </row>
        <row r="150">
          <cell r="A150">
            <v>815000329</v>
          </cell>
          <cell r="B150" t="str">
            <v>AQUASERVICIOS S.A. E.S.P.</v>
          </cell>
          <cell r="C150" t="str">
            <v>317 7679010</v>
          </cell>
          <cell r="D150">
            <v>3177679010</v>
          </cell>
          <cell r="E150" t="str">
            <v>compras@aquaservicios.com</v>
          </cell>
          <cell r="F150" t="str">
            <v>Km 5 Vía Cali-Candelaria Mz 21 CS 166</v>
          </cell>
          <cell r="G150" t="str">
            <v>76</v>
          </cell>
          <cell r="H150">
            <v>130</v>
          </cell>
          <cell r="I150" t="str">
            <v>76130</v>
          </cell>
          <cell r="J150" t="str">
            <v>VENTA DE BIENES</v>
          </cell>
          <cell r="K150">
            <v>4659</v>
          </cell>
          <cell r="L150">
            <v>219</v>
          </cell>
          <cell r="M150">
            <v>2087372</v>
          </cell>
        </row>
        <row r="151">
          <cell r="A151">
            <v>815000863</v>
          </cell>
          <cell r="B151" t="str">
            <v>AVIDESA DE OCCIDENTE S.A.</v>
          </cell>
          <cell r="C151" t="str">
            <v>+570000</v>
          </cell>
          <cell r="E151" t="str">
            <v>RECEPCIONFE@AVIDESADEOCCIDENTE.COM</v>
          </cell>
          <cell r="F151" t="str">
            <v>CLL 15A 25A-410 ACOPI JUMBO</v>
          </cell>
          <cell r="G151">
            <v>52</v>
          </cell>
          <cell r="H151" t="str">
            <v>001</v>
          </cell>
          <cell r="I151" t="str">
            <v>52001</v>
          </cell>
          <cell r="J151" t="str">
            <v>VENTA DE BIENES</v>
          </cell>
          <cell r="K151">
            <v>4659</v>
          </cell>
          <cell r="L151">
            <v>219</v>
          </cell>
          <cell r="M151">
            <v>150286760</v>
          </cell>
        </row>
        <row r="152">
          <cell r="A152">
            <v>815002042</v>
          </cell>
          <cell r="B152" t="str">
            <v>PGI COLOMBIA LTDA</v>
          </cell>
          <cell r="C152" t="str">
            <v>+570000</v>
          </cell>
          <cell r="E152" t="str">
            <v>CLCOFACTURACION@BERRYGLOBAL.COM</v>
          </cell>
          <cell r="F152" t="str">
            <v>KM 6 CRT YUMBO</v>
          </cell>
          <cell r="G152" t="str">
            <v>76</v>
          </cell>
          <cell r="H152" t="str">
            <v>520</v>
          </cell>
          <cell r="I152" t="str">
            <v>76520</v>
          </cell>
          <cell r="J152" t="str">
            <v>VENTA DE BIENES</v>
          </cell>
          <cell r="K152">
            <v>4659</v>
          </cell>
          <cell r="L152">
            <v>219</v>
          </cell>
          <cell r="M152">
            <v>1968729</v>
          </cell>
        </row>
        <row r="153">
          <cell r="A153">
            <v>815002042</v>
          </cell>
          <cell r="B153" t="str">
            <v>PGI COLOMBIA LTDA</v>
          </cell>
          <cell r="C153" t="str">
            <v>+570000</v>
          </cell>
          <cell r="E153" t="str">
            <v>CLCOFACTURACION@BERRYGLOBAL.COM</v>
          </cell>
          <cell r="F153" t="str">
            <v>KM 6 CRT YUMBO</v>
          </cell>
          <cell r="G153" t="str">
            <v>76</v>
          </cell>
          <cell r="H153" t="str">
            <v>520</v>
          </cell>
          <cell r="I153" t="str">
            <v>76520</v>
          </cell>
          <cell r="J153" t="str">
            <v>TRANSPORTE</v>
          </cell>
          <cell r="K153">
            <v>3312</v>
          </cell>
          <cell r="L153">
            <v>334</v>
          </cell>
          <cell r="M153">
            <v>20700</v>
          </cell>
        </row>
        <row r="154">
          <cell r="A154">
            <v>816001182</v>
          </cell>
          <cell r="B154" t="str">
            <v>AUDIFARMA S.A.</v>
          </cell>
          <cell r="C154">
            <v>3137800</v>
          </cell>
          <cell r="D154">
            <v>3137800</v>
          </cell>
          <cell r="E154" t="str">
            <v>impuestos@audifarma.com.co</v>
          </cell>
          <cell r="F154" t="str">
            <v>CL 105 14 140 BRR BELMONTE</v>
          </cell>
          <cell r="G154" t="str">
            <v>66</v>
          </cell>
          <cell r="H154" t="str">
            <v>001</v>
          </cell>
          <cell r="I154" t="str">
            <v>66001</v>
          </cell>
          <cell r="J154" t="str">
            <v>VENTA DE BIENES</v>
          </cell>
          <cell r="K154">
            <v>4659</v>
          </cell>
          <cell r="L154">
            <v>219</v>
          </cell>
          <cell r="M154">
            <v>11029600</v>
          </cell>
        </row>
        <row r="155">
          <cell r="A155">
            <v>816001488</v>
          </cell>
          <cell r="B155" t="str">
            <v>AIRMAT LTDA</v>
          </cell>
          <cell r="C155" t="str">
            <v>+570000</v>
          </cell>
          <cell r="E155" t="str">
            <v>airmat@airmatltda.com</v>
          </cell>
          <cell r="F155" t="str">
            <v>AV 30 DE AGOSTO 34-38 LC 24</v>
          </cell>
          <cell r="G155" t="str">
            <v>66</v>
          </cell>
          <cell r="H155" t="str">
            <v>001</v>
          </cell>
          <cell r="I155" t="str">
            <v>66001</v>
          </cell>
          <cell r="J155" t="str">
            <v>VENTA DE BIENES</v>
          </cell>
          <cell r="K155">
            <v>4659</v>
          </cell>
          <cell r="L155">
            <v>219</v>
          </cell>
          <cell r="M155">
            <v>2080000</v>
          </cell>
        </row>
        <row r="156">
          <cell r="A156">
            <v>817000680</v>
          </cell>
          <cell r="B156" t="str">
            <v>FAMILIA DEL PACIFICO S.A.S.</v>
          </cell>
          <cell r="C156" t="str">
            <v>+570000</v>
          </cell>
          <cell r="E156" t="str">
            <v>FACTURAZFRANCACOL.GF@ESSITY.COM</v>
          </cell>
          <cell r="F156" t="str">
            <v>PAR INDUSTRIAL Y CIAL DEL CAUCA</v>
          </cell>
          <cell r="G156">
            <v>19</v>
          </cell>
          <cell r="H156" t="str">
            <v>142</v>
          </cell>
          <cell r="I156" t="str">
            <v>19142</v>
          </cell>
          <cell r="J156" t="str">
            <v>VENTA DE BIENES</v>
          </cell>
          <cell r="K156">
            <v>4659</v>
          </cell>
          <cell r="L156">
            <v>219</v>
          </cell>
          <cell r="M156">
            <v>27688797</v>
          </cell>
        </row>
        <row r="157">
          <cell r="A157">
            <v>817000705</v>
          </cell>
          <cell r="B157" t="str">
            <v>COLOMBINA DEL CAUCA S.A.</v>
          </cell>
          <cell r="C157" t="str">
            <v>+570000</v>
          </cell>
          <cell r="E157" t="str">
            <v>RECEPCION-FE@COLOMBINA.COM</v>
          </cell>
          <cell r="F157" t="str">
            <v>PAR INDUSTRIAL EL PARAISO KM 2 VIA SAN JULIAN</v>
          </cell>
          <cell r="G157">
            <v>19</v>
          </cell>
          <cell r="H157" t="str">
            <v>698</v>
          </cell>
          <cell r="I157" t="str">
            <v>19698</v>
          </cell>
          <cell r="J157" t="str">
            <v>VENTA DE BIENES</v>
          </cell>
          <cell r="K157">
            <v>4659</v>
          </cell>
          <cell r="L157">
            <v>219</v>
          </cell>
          <cell r="M157">
            <v>46325504</v>
          </cell>
        </row>
        <row r="158">
          <cell r="A158">
            <v>817000747</v>
          </cell>
          <cell r="B158" t="str">
            <v>COMPAÑIA INTERNACIONAL DE ALIMENTOS S.A.S</v>
          </cell>
          <cell r="C158" t="str">
            <v>+570000</v>
          </cell>
          <cell r="E158" t="str">
            <v>CINAL.PROVEEDORES@YUPI.COM.CO</v>
          </cell>
          <cell r="F158" t="str">
            <v>PAR IND Y CIAL DEL CAUCA ET 2 LT 7</v>
          </cell>
          <cell r="G158" t="str">
            <v>19</v>
          </cell>
          <cell r="H158" t="str">
            <v>142</v>
          </cell>
          <cell r="I158" t="str">
            <v>19142</v>
          </cell>
          <cell r="J158" t="str">
            <v>VENTA DE BIENES</v>
          </cell>
          <cell r="K158">
            <v>4659</v>
          </cell>
          <cell r="L158">
            <v>219</v>
          </cell>
          <cell r="M158">
            <v>28407395</v>
          </cell>
        </row>
        <row r="159">
          <cell r="A159">
            <v>817001528</v>
          </cell>
          <cell r="B159" t="str">
            <v>PAVCO DE OCCIDENTE SAS</v>
          </cell>
          <cell r="C159" t="str">
            <v>312 3320184</v>
          </cell>
          <cell r="D159">
            <v>3123320184</v>
          </cell>
          <cell r="E159" t="str">
            <v>impuestosolucionesco@mexichem.com</v>
          </cell>
          <cell r="F159" t="str">
            <v>PAR INDUSTRIAL Y COMERCIAL DEL CAUCA ET III LT 7 LT 8</v>
          </cell>
          <cell r="G159">
            <v>19</v>
          </cell>
          <cell r="H159" t="str">
            <v>300</v>
          </cell>
          <cell r="I159" t="str">
            <v>19300</v>
          </cell>
          <cell r="J159" t="str">
            <v>VENTA DE BIENES</v>
          </cell>
          <cell r="K159">
            <v>4659</v>
          </cell>
          <cell r="L159">
            <v>219</v>
          </cell>
          <cell r="M159">
            <v>1862240</v>
          </cell>
        </row>
        <row r="160">
          <cell r="A160">
            <v>817002510</v>
          </cell>
          <cell r="B160" t="str">
            <v>CONVERTIDORA PAPELFIBRAS SAS</v>
          </cell>
          <cell r="C160" t="str">
            <v>+570000</v>
          </cell>
          <cell r="E160" t="str">
            <v>RECEPCION.FACTURASCPPZFPE@CARVAJAL.COM</v>
          </cell>
          <cell r="F160" t="str">
            <v>KM 3 VIA AL INGENIO LA CABAÑA VDA EL GUABAL</v>
          </cell>
          <cell r="G160" t="str">
            <v>19</v>
          </cell>
          <cell r="H160" t="str">
            <v>300</v>
          </cell>
          <cell r="I160" t="str">
            <v>19300</v>
          </cell>
          <cell r="J160" t="str">
            <v>VENTA DE BIENES</v>
          </cell>
          <cell r="K160">
            <v>4659</v>
          </cell>
          <cell r="L160">
            <v>219</v>
          </cell>
          <cell r="M160">
            <v>1759480</v>
          </cell>
        </row>
        <row r="161">
          <cell r="A161">
            <v>817002753</v>
          </cell>
          <cell r="B161" t="str">
            <v>SOFTYS COLOMBIA S.A.</v>
          </cell>
          <cell r="C161" t="str">
            <v>+570000</v>
          </cell>
          <cell r="E161" t="str">
            <v>DTE_8170027530@DTE.PAPERLESS.COM.CO</v>
          </cell>
          <cell r="F161" t="str">
            <v>KM 2 VIA SAN JULIAN PAR INDUSTRIAL EL PARAISO</v>
          </cell>
          <cell r="G161" t="str">
            <v>19</v>
          </cell>
          <cell r="H161" t="str">
            <v>698</v>
          </cell>
          <cell r="I161" t="str">
            <v>19698</v>
          </cell>
          <cell r="J161" t="str">
            <v>VENTA DE BIENES</v>
          </cell>
          <cell r="K161">
            <v>4659</v>
          </cell>
          <cell r="L161">
            <v>219</v>
          </cell>
          <cell r="M161">
            <v>1950698</v>
          </cell>
        </row>
        <row r="162">
          <cell r="A162">
            <v>817003055</v>
          </cell>
          <cell r="B162" t="str">
            <v>TECNOFAR TQ S.A.S.</v>
          </cell>
          <cell r="C162" t="str">
            <v>+570000</v>
          </cell>
          <cell r="E162" t="str">
            <v>RECEPCIONFE@TECNOQUIMICAS.COM</v>
          </cell>
          <cell r="F162" t="str">
            <v>INDUSTRIAL PAR SUR VILLARICA</v>
          </cell>
          <cell r="G162" t="str">
            <v>19</v>
          </cell>
          <cell r="H162" t="str">
            <v>845</v>
          </cell>
          <cell r="I162" t="str">
            <v>19845</v>
          </cell>
          <cell r="J162" t="str">
            <v>VENTA DE BIENES</v>
          </cell>
          <cell r="K162">
            <v>4659</v>
          </cell>
          <cell r="L162">
            <v>219</v>
          </cell>
          <cell r="M162">
            <v>963390</v>
          </cell>
        </row>
        <row r="163">
          <cell r="A163">
            <v>827000108</v>
          </cell>
          <cell r="B163" t="str">
            <v>SOCIEDAD PRODUCTORA DE ENERGIA DE SAN ANDRES Y PROVIDENCIA S.A.</v>
          </cell>
          <cell r="C163" t="str">
            <v>+570000</v>
          </cell>
          <cell r="E163" t="str">
            <v>FACTURACION@SOPESA.COM</v>
          </cell>
          <cell r="F163" t="str">
            <v>AV PROVIDENCIA N 2 F 52 ED LEDA P 1</v>
          </cell>
          <cell r="G163">
            <v>88</v>
          </cell>
          <cell r="H163" t="str">
            <v>001</v>
          </cell>
          <cell r="I163" t="str">
            <v>88001</v>
          </cell>
          <cell r="J163" t="str">
            <v>VENTA DE BIENES</v>
          </cell>
          <cell r="K163">
            <v>4659</v>
          </cell>
          <cell r="L163">
            <v>219</v>
          </cell>
          <cell r="M163">
            <v>244800</v>
          </cell>
        </row>
        <row r="164">
          <cell r="A164">
            <v>829001698</v>
          </cell>
          <cell r="B164" t="str">
            <v>SUMINISTROS ELECTRICOS E INDUSTRIALES SNEYDER S.A.S</v>
          </cell>
          <cell r="C164" t="str">
            <v>+570000</v>
          </cell>
          <cell r="E164" t="str">
            <v>COMPRAS.NACIONALES@SNEYDERSAS.COM</v>
          </cell>
          <cell r="F164" t="str">
            <v>CR 13 49A-63 BRR COLOMBIA</v>
          </cell>
          <cell r="G164" t="str">
            <v>68</v>
          </cell>
          <cell r="H164" t="str">
            <v>081</v>
          </cell>
          <cell r="I164" t="str">
            <v>68081</v>
          </cell>
          <cell r="J164" t="str">
            <v>VENTA DE BIENES</v>
          </cell>
          <cell r="K164">
            <v>4659</v>
          </cell>
          <cell r="L164">
            <v>219</v>
          </cell>
          <cell r="M164">
            <v>1240467</v>
          </cell>
        </row>
        <row r="165">
          <cell r="A165">
            <v>830000556</v>
          </cell>
          <cell r="B165" t="str">
            <v>PAPELES Y CORRUGADOS ANDINA S.A.S</v>
          </cell>
          <cell r="C165" t="str">
            <v>+570000</v>
          </cell>
          <cell r="E165" t="str">
            <v>FACTCOMPRAS@CORRUGADOSANDINA.COM.CO</v>
          </cell>
          <cell r="F165" t="str">
            <v>CR 15 93 A 62 OF 802</v>
          </cell>
          <cell r="G165" t="str">
            <v>25</v>
          </cell>
          <cell r="H165" t="str">
            <v>736</v>
          </cell>
          <cell r="I165" t="str">
            <v>25736</v>
          </cell>
          <cell r="J165" t="str">
            <v>VENTA DE BIENES</v>
          </cell>
          <cell r="K165">
            <v>4659</v>
          </cell>
          <cell r="L165">
            <v>219</v>
          </cell>
          <cell r="M165">
            <v>6143040</v>
          </cell>
        </row>
        <row r="166">
          <cell r="A166">
            <v>830002366</v>
          </cell>
          <cell r="B166" t="str">
            <v>BIMBO DE COLOMBIA S.A</v>
          </cell>
          <cell r="C166" t="str">
            <v>+570000</v>
          </cell>
          <cell r="E166" t="str">
            <v>LUIS.GUEVARA04@GRUPOBIMBO.COM</v>
          </cell>
          <cell r="F166" t="str">
            <v>Calle 31 Nro. 50 B - 22</v>
          </cell>
          <cell r="G166" t="str">
            <v>05</v>
          </cell>
          <cell r="H166" t="str">
            <v>360</v>
          </cell>
          <cell r="I166" t="str">
            <v>05360</v>
          </cell>
          <cell r="J166" t="str">
            <v>VENTA DE BIENES</v>
          </cell>
          <cell r="K166">
            <v>4659</v>
          </cell>
          <cell r="L166">
            <v>219</v>
          </cell>
          <cell r="M166">
            <v>6614439</v>
          </cell>
        </row>
        <row r="167">
          <cell r="A167">
            <v>830002711</v>
          </cell>
          <cell r="B167" t="str">
            <v>SWCOL SAS</v>
          </cell>
          <cell r="C167" t="str">
            <v>16423500</v>
          </cell>
          <cell r="E167" t="str">
            <v>david.safi@swcol.co</v>
          </cell>
          <cell r="F167" t="str">
            <v>Calle 100#8A -55 Oficina 218 Torre C WORLD TRADE CENTER</v>
          </cell>
          <cell r="G167" t="str">
            <v>11</v>
          </cell>
          <cell r="H167" t="str">
            <v>001</v>
          </cell>
          <cell r="I167" t="str">
            <v>11001</v>
          </cell>
          <cell r="J167" t="str">
            <v>VENTA DE BIENES</v>
          </cell>
          <cell r="K167">
            <v>4659</v>
          </cell>
          <cell r="L167">
            <v>219</v>
          </cell>
          <cell r="M167">
            <v>10065742</v>
          </cell>
        </row>
        <row r="168">
          <cell r="A168">
            <v>830002805</v>
          </cell>
          <cell r="B168" t="str">
            <v>INVERSIONES ROMERO MERCHAN SAS</v>
          </cell>
          <cell r="C168" t="str">
            <v>311 8260818</v>
          </cell>
          <cell r="D168">
            <v>3118260818</v>
          </cell>
          <cell r="E168" t="str">
            <v>inmcompresores@hotmail.com</v>
          </cell>
          <cell r="F168" t="str">
            <v>CR 68 D 12 37 IN 2</v>
          </cell>
          <cell r="G168" t="str">
            <v>11</v>
          </cell>
          <cell r="H168" t="str">
            <v>001</v>
          </cell>
          <cell r="I168" t="str">
            <v>11001</v>
          </cell>
          <cell r="J168" t="str">
            <v>VENTA DE BIENES</v>
          </cell>
          <cell r="K168">
            <v>4659</v>
          </cell>
          <cell r="L168">
            <v>219</v>
          </cell>
          <cell r="M168">
            <v>10571418</v>
          </cell>
        </row>
        <row r="169">
          <cell r="A169">
            <v>830003564</v>
          </cell>
          <cell r="B169" t="str">
            <v>ENTIDAD PROMOTORA DE SALUD FAMISANAR S.A.S</v>
          </cell>
          <cell r="C169" t="str">
            <v>8698789</v>
          </cell>
          <cell r="D169" t="str">
            <v>8698789</v>
          </cell>
          <cell r="E169" t="str">
            <v>notificaciones@famisanar.com.co</v>
          </cell>
          <cell r="F169" t="str">
            <v>CR 13 A 77 A 63</v>
          </cell>
          <cell r="G169" t="str">
            <v>11</v>
          </cell>
          <cell r="H169" t="str">
            <v>001</v>
          </cell>
          <cell r="I169" t="str">
            <v>11001</v>
          </cell>
          <cell r="J169" t="str">
            <v>42 GRAVADOS</v>
          </cell>
          <cell r="K169">
            <v>4659</v>
          </cell>
          <cell r="L169">
            <v>219</v>
          </cell>
          <cell r="M169">
            <v>1061102</v>
          </cell>
        </row>
        <row r="170">
          <cell r="A170">
            <v>830006735</v>
          </cell>
          <cell r="B170" t="str">
            <v>ALIMENTOS POLAR COLOMBIA S.A.S.</v>
          </cell>
          <cell r="C170" t="str">
            <v>+570000</v>
          </cell>
          <cell r="E170" t="str">
            <v>facturacion.electronicapcol@empresaspolar.com</v>
          </cell>
          <cell r="F170" t="str">
            <v>CL 100 9A-45 P 11</v>
          </cell>
          <cell r="G170">
            <v>11</v>
          </cell>
          <cell r="H170" t="str">
            <v>001</v>
          </cell>
          <cell r="I170" t="str">
            <v>11001</v>
          </cell>
          <cell r="J170" t="str">
            <v>VENTA DE BIENES</v>
          </cell>
          <cell r="K170">
            <v>4659</v>
          </cell>
          <cell r="L170">
            <v>219</v>
          </cell>
          <cell r="M170">
            <v>421478368</v>
          </cell>
        </row>
        <row r="171">
          <cell r="A171">
            <v>830006735</v>
          </cell>
          <cell r="B171" t="str">
            <v>ALIMENTOS POLAR COLOMBIA S.A.S.</v>
          </cell>
          <cell r="C171" t="str">
            <v>+570000</v>
          </cell>
          <cell r="E171" t="str">
            <v>facturacion.electronicapcol@empresaspolar.com</v>
          </cell>
          <cell r="F171" t="str">
            <v>CL 100 9A-45 P 11</v>
          </cell>
          <cell r="G171">
            <v>11</v>
          </cell>
          <cell r="H171" t="str">
            <v>001</v>
          </cell>
          <cell r="I171" t="str">
            <v>11001</v>
          </cell>
          <cell r="J171" t="str">
            <v>SERV MTTO</v>
          </cell>
          <cell r="K171">
            <v>3312</v>
          </cell>
          <cell r="L171">
            <v>334</v>
          </cell>
          <cell r="M171">
            <v>64733703</v>
          </cell>
        </row>
        <row r="172">
          <cell r="A172">
            <v>830007133</v>
          </cell>
          <cell r="B172" t="str">
            <v>CENTRAL DE EQUIPOS Y MONTAJES SAS</v>
          </cell>
          <cell r="C172">
            <v>3223453181</v>
          </cell>
          <cell r="D172">
            <v>3223453181</v>
          </cell>
          <cell r="E172" t="str">
            <v>gerencia@centraldeequiposymontajes.com</v>
          </cell>
          <cell r="F172" t="str">
            <v/>
          </cell>
          <cell r="G172" t="str">
            <v>11</v>
          </cell>
          <cell r="H172" t="str">
            <v>001</v>
          </cell>
          <cell r="I172" t="str">
            <v>11001</v>
          </cell>
          <cell r="J172" t="str">
            <v>VENTA DE BIENES</v>
          </cell>
          <cell r="K172">
            <v>4659</v>
          </cell>
          <cell r="L172">
            <v>219</v>
          </cell>
          <cell r="M172">
            <v>16394400</v>
          </cell>
        </row>
        <row r="173">
          <cell r="A173">
            <v>830007531</v>
          </cell>
          <cell r="B173" t="str">
            <v>REME INTERNACIONAL S.A.S.</v>
          </cell>
          <cell r="C173" t="str">
            <v>+570000</v>
          </cell>
          <cell r="E173" t="str">
            <v>CONTABILIDAD@REMEINTERNACIONAL.COM</v>
          </cell>
          <cell r="F173" t="str">
            <v>CR 48A 93 -18 LA CASTELLANA</v>
          </cell>
          <cell r="G173" t="str">
            <v>11</v>
          </cell>
          <cell r="H173" t="str">
            <v>001</v>
          </cell>
          <cell r="I173" t="str">
            <v>11001</v>
          </cell>
          <cell r="J173" t="str">
            <v>SERV MTTO</v>
          </cell>
          <cell r="K173">
            <v>3312</v>
          </cell>
          <cell r="L173">
            <v>334</v>
          </cell>
          <cell r="M173">
            <v>32200</v>
          </cell>
        </row>
        <row r="174">
          <cell r="A174">
            <v>830007531</v>
          </cell>
          <cell r="B174" t="str">
            <v>REME INTERNACIONAL S.A.S.</v>
          </cell>
          <cell r="C174" t="str">
            <v>+570000</v>
          </cell>
          <cell r="E174" t="str">
            <v>CONTABILIDAD@REMEINTERNACIONAL.COM</v>
          </cell>
          <cell r="F174" t="str">
            <v>CR 48A 93 -18 LA CASTELLANA</v>
          </cell>
          <cell r="G174" t="str">
            <v>11</v>
          </cell>
          <cell r="H174" t="str">
            <v>001</v>
          </cell>
          <cell r="I174" t="str">
            <v>11001</v>
          </cell>
          <cell r="J174" t="str">
            <v>VENTA DE BIENES</v>
          </cell>
          <cell r="K174">
            <v>4659</v>
          </cell>
          <cell r="L174">
            <v>219</v>
          </cell>
          <cell r="M174">
            <v>1292625</v>
          </cell>
        </row>
        <row r="175">
          <cell r="A175">
            <v>830013789</v>
          </cell>
          <cell r="B175" t="str">
            <v>AUTOPACK LTDA</v>
          </cell>
          <cell r="C175" t="str">
            <v>+570000</v>
          </cell>
          <cell r="E175" t="str">
            <v>FACTURACIONELECTRONICA@AUTOPACK.COM.CO</v>
          </cell>
          <cell r="F175" t="str">
            <v>CL 12 28-73</v>
          </cell>
          <cell r="G175" t="str">
            <v>11</v>
          </cell>
          <cell r="H175" t="str">
            <v>001</v>
          </cell>
          <cell r="I175" t="str">
            <v>11001</v>
          </cell>
          <cell r="J175" t="str">
            <v>VENTA DE BIENES</v>
          </cell>
          <cell r="K175">
            <v>4659</v>
          </cell>
          <cell r="L175">
            <v>219</v>
          </cell>
          <cell r="M175">
            <v>22452449</v>
          </cell>
        </row>
        <row r="176">
          <cell r="A176">
            <v>830015534</v>
          </cell>
          <cell r="B176" t="str">
            <v>OGA SISTEMVAC SAS</v>
          </cell>
          <cell r="C176">
            <v>7164272</v>
          </cell>
          <cell r="D176">
            <v>7164272</v>
          </cell>
          <cell r="E176" t="str">
            <v>asistente.compras4@oga.com.co</v>
          </cell>
          <cell r="F176" t="str">
            <v>Autopista Medellín Km 2.5, Vía Parcelas Km 1.5, Parque Industrial Núcleo, Bodegas 9 y 10</v>
          </cell>
          <cell r="G176" t="str">
            <v>25</v>
          </cell>
          <cell r="H176" t="str">
            <v>214</v>
          </cell>
          <cell r="I176" t="str">
            <v>25214</v>
          </cell>
          <cell r="J176" t="str">
            <v>VENTA DE BIENES</v>
          </cell>
          <cell r="K176">
            <v>4659</v>
          </cell>
          <cell r="L176">
            <v>219</v>
          </cell>
          <cell r="M176">
            <v>29199524</v>
          </cell>
        </row>
        <row r="177">
          <cell r="A177">
            <v>830018198</v>
          </cell>
          <cell r="B177" t="str">
            <v>PASTEURIZADORA SANTODOMINGO S A</v>
          </cell>
          <cell r="C177" t="str">
            <v>310 2239475</v>
          </cell>
          <cell r="D177">
            <v>3102239475</v>
          </cell>
          <cell r="E177" t="str">
            <v>facturacionelectronica@santodomingo.net.co</v>
          </cell>
          <cell r="F177" t="str">
            <v>CL 195 19 A 15</v>
          </cell>
          <cell r="G177" t="str">
            <v>11</v>
          </cell>
          <cell r="H177" t="str">
            <v>001</v>
          </cell>
          <cell r="I177" t="str">
            <v>11001</v>
          </cell>
          <cell r="J177" t="str">
            <v>VENTA DE BIENES</v>
          </cell>
          <cell r="K177">
            <v>4659</v>
          </cell>
          <cell r="L177">
            <v>219</v>
          </cell>
          <cell r="M177">
            <v>2122400</v>
          </cell>
        </row>
        <row r="178">
          <cell r="A178">
            <v>830021253</v>
          </cell>
          <cell r="B178" t="str">
            <v>CROWN COLOMBIANA S.A.</v>
          </cell>
          <cell r="C178" t="str">
            <v>+570000</v>
          </cell>
          <cell r="E178" t="str">
            <v>RECEPCION.FACTURAS@CROWNCORK.COM.CO</v>
          </cell>
          <cell r="F178" t="str">
            <v>VRD TIBITOC VIA AUTODROMO TOCANCIPA ZIPAQUIRA</v>
          </cell>
          <cell r="G178">
            <v>25</v>
          </cell>
          <cell r="H178" t="str">
            <v>817</v>
          </cell>
          <cell r="I178" t="str">
            <v>25817</v>
          </cell>
          <cell r="J178" t="str">
            <v>SERV MTTO</v>
          </cell>
          <cell r="K178">
            <v>3312</v>
          </cell>
          <cell r="L178">
            <v>334</v>
          </cell>
          <cell r="M178">
            <v>22910000</v>
          </cell>
        </row>
        <row r="179">
          <cell r="A179">
            <v>830021253</v>
          </cell>
          <cell r="B179" t="str">
            <v>CROWN COLOMBIANA S.A.</v>
          </cell>
          <cell r="C179" t="str">
            <v>+570000</v>
          </cell>
          <cell r="E179" t="str">
            <v>RECEPCION.FACTURAS@CROWNCORK.COM.CO</v>
          </cell>
          <cell r="F179" t="str">
            <v>VRD TIBITOC VIA AUTODROMO TOCANCIPA ZIPAQUIRA</v>
          </cell>
          <cell r="G179">
            <v>25</v>
          </cell>
          <cell r="H179" t="str">
            <v>817</v>
          </cell>
          <cell r="I179" t="str">
            <v>25817</v>
          </cell>
          <cell r="J179" t="str">
            <v>VENTA DE BIENES</v>
          </cell>
          <cell r="K179">
            <v>4659</v>
          </cell>
          <cell r="L179">
            <v>219</v>
          </cell>
          <cell r="M179">
            <v>67915514</v>
          </cell>
        </row>
        <row r="180">
          <cell r="A180">
            <v>830024974</v>
          </cell>
          <cell r="B180" t="str">
            <v>NATURA COSMETICOS LTDA</v>
          </cell>
          <cell r="E180" t="str">
            <v>tomas.echeverri@natura.net</v>
          </cell>
          <cell r="F180" t="str">
            <v>CR 19 100 45 P 3</v>
          </cell>
          <cell r="G180" t="str">
            <v>05</v>
          </cell>
          <cell r="H180" t="str">
            <v>318</v>
          </cell>
          <cell r="I180" t="str">
            <v>05318</v>
          </cell>
          <cell r="J180" t="str">
            <v>VENTA DE BIENES</v>
          </cell>
          <cell r="K180">
            <v>4659</v>
          </cell>
          <cell r="L180">
            <v>219</v>
          </cell>
          <cell r="M180">
            <v>12255287</v>
          </cell>
        </row>
        <row r="181">
          <cell r="A181">
            <v>830025968</v>
          </cell>
          <cell r="B181" t="str">
            <v>AUTOMATIZACION AVANZADA SA</v>
          </cell>
          <cell r="C181" t="str">
            <v>+570000</v>
          </cell>
          <cell r="E181" t="str">
            <v>COMPRAS.LOGISTICA@AUTOMATIZACIONAVANZADA.COM</v>
          </cell>
          <cell r="F181" t="str">
            <v>CR 97 24C  75 BG 36</v>
          </cell>
          <cell r="G181" t="str">
            <v>11</v>
          </cell>
          <cell r="H181" t="str">
            <v>001</v>
          </cell>
          <cell r="I181" t="str">
            <v>11001</v>
          </cell>
          <cell r="J181" t="str">
            <v>VENTA DE BIENES</v>
          </cell>
          <cell r="K181">
            <v>4659</v>
          </cell>
          <cell r="L181">
            <v>219</v>
          </cell>
          <cell r="M181">
            <v>2989850</v>
          </cell>
        </row>
        <row r="182">
          <cell r="A182">
            <v>830036921</v>
          </cell>
          <cell r="B182" t="str">
            <v>VIDRIO ANDINO S.A.S</v>
          </cell>
          <cell r="C182" t="str">
            <v>+570000</v>
          </cell>
          <cell r="E182" t="str">
            <v>VAZF_RECEPCIONFACTURAS@SAINT-GOBAIN.COM</v>
          </cell>
          <cell r="F182" t="str">
            <v>CL 94 A 11A -53 P 4</v>
          </cell>
          <cell r="G182">
            <v>25</v>
          </cell>
          <cell r="H182" t="str">
            <v>754</v>
          </cell>
          <cell r="I182" t="str">
            <v>25754</v>
          </cell>
          <cell r="J182" t="str">
            <v>VENTA DE BIENES</v>
          </cell>
          <cell r="K182">
            <v>4659</v>
          </cell>
          <cell r="L182">
            <v>219</v>
          </cell>
          <cell r="M182">
            <v>19960678</v>
          </cell>
        </row>
        <row r="183">
          <cell r="A183">
            <v>830039415</v>
          </cell>
          <cell r="B183" t="str">
            <v>SAEG ENGINEERING GROUP S.A.S</v>
          </cell>
          <cell r="E183" t="str">
            <v>Luis.bello@daikinapplied.com</v>
          </cell>
          <cell r="F183" t="str">
            <v>CL 128 A 57 C 13</v>
          </cell>
          <cell r="G183" t="str">
            <v>11</v>
          </cell>
          <cell r="H183" t="str">
            <v>001</v>
          </cell>
          <cell r="I183" t="str">
            <v>11001</v>
          </cell>
          <cell r="J183" t="str">
            <v>VENTA DE BIENES</v>
          </cell>
          <cell r="K183">
            <v>4659</v>
          </cell>
          <cell r="L183">
            <v>219</v>
          </cell>
          <cell r="M183">
            <v>3</v>
          </cell>
        </row>
        <row r="184">
          <cell r="A184">
            <v>830042086</v>
          </cell>
          <cell r="B184" t="str">
            <v>LABORATORIOS DECNO S.A.S.</v>
          </cell>
          <cell r="C184">
            <v>7432660</v>
          </cell>
          <cell r="D184">
            <v>7432660</v>
          </cell>
          <cell r="E184" t="str">
            <v>contabilidad@decno.com</v>
          </cell>
          <cell r="F184" t="str">
            <v>Carrera 27a #75a-10</v>
          </cell>
          <cell r="G184" t="str">
            <v>11</v>
          </cell>
          <cell r="H184" t="str">
            <v>001</v>
          </cell>
          <cell r="I184" t="str">
            <v>11001</v>
          </cell>
          <cell r="J184" t="str">
            <v>VENTA DE BIENES</v>
          </cell>
          <cell r="K184">
            <v>4659</v>
          </cell>
          <cell r="L184">
            <v>219</v>
          </cell>
          <cell r="M184">
            <v>1245184</v>
          </cell>
        </row>
        <row r="185">
          <cell r="A185">
            <v>830042152</v>
          </cell>
          <cell r="B185" t="str">
            <v>FLUID &amp; PIPE INGENIERIA S.A.S.</v>
          </cell>
          <cell r="C185" t="str">
            <v>313 8070398</v>
          </cell>
          <cell r="D185">
            <v>3138070398</v>
          </cell>
          <cell r="E185" t="str">
            <v>fluidandpipe@gmail.com</v>
          </cell>
          <cell r="F185" t="str">
            <v>CL 23 G 82 82</v>
          </cell>
          <cell r="G185" t="str">
            <v>11</v>
          </cell>
          <cell r="H185" t="str">
            <v>001</v>
          </cell>
          <cell r="I185" t="str">
            <v>11001</v>
          </cell>
          <cell r="J185" t="str">
            <v>VENTA DE BIENES</v>
          </cell>
          <cell r="K185">
            <v>4659</v>
          </cell>
          <cell r="L185">
            <v>219</v>
          </cell>
          <cell r="M185">
            <v>514250</v>
          </cell>
        </row>
        <row r="186">
          <cell r="A186">
            <v>830046122</v>
          </cell>
          <cell r="B186" t="str">
            <v>JORGE A GOMEZ &amp; CIA SAS</v>
          </cell>
          <cell r="C186" t="str">
            <v>+570000</v>
          </cell>
          <cell r="E186" t="str">
            <v>ALEXANDERGOMEZ@JAGCIA.COM</v>
          </cell>
          <cell r="F186" t="str">
            <v>CR 70A 5A-05 BRR NUEVA MARSELLA</v>
          </cell>
          <cell r="G186" t="str">
            <v>11</v>
          </cell>
          <cell r="H186" t="str">
            <v>001</v>
          </cell>
          <cell r="I186" t="str">
            <v>11001</v>
          </cell>
          <cell r="J186" t="str">
            <v>VENTA DE BIENES</v>
          </cell>
          <cell r="K186">
            <v>4659</v>
          </cell>
          <cell r="L186">
            <v>219</v>
          </cell>
          <cell r="M186">
            <v>475515</v>
          </cell>
        </row>
        <row r="187">
          <cell r="A187">
            <v>830050346</v>
          </cell>
          <cell r="B187" t="str">
            <v>NESTLE PURINA PET CARE DE COLOMBIA S.A</v>
          </cell>
          <cell r="C187" t="str">
            <v>+570000</v>
          </cell>
          <cell r="E187" t="str">
            <v>RADICACION.TUFACTURA@COLSEIN.COM.CO</v>
          </cell>
          <cell r="F187" t="str">
            <v>KM 18 VIA MOSQUERA</v>
          </cell>
          <cell r="G187" t="str">
            <v>25</v>
          </cell>
          <cell r="H187" t="str">
            <v>473</v>
          </cell>
          <cell r="I187" t="str">
            <v>25473</v>
          </cell>
          <cell r="J187" t="str">
            <v>VENTA DE BIENES</v>
          </cell>
          <cell r="K187">
            <v>4659</v>
          </cell>
          <cell r="L187">
            <v>219</v>
          </cell>
          <cell r="M187">
            <v>707271</v>
          </cell>
        </row>
        <row r="188">
          <cell r="A188">
            <v>830051764</v>
          </cell>
          <cell r="B188" t="str">
            <v>INTERPESAJE S.A.S.</v>
          </cell>
          <cell r="C188" t="str">
            <v>+570000</v>
          </cell>
          <cell r="E188" t="str">
            <v>FACTURACION@PESAJE.COM</v>
          </cell>
          <cell r="F188" t="str">
            <v>AV 4 NORTE   64 - 44 CEN DE NEGOCIOS LA 70 NORTE L:7</v>
          </cell>
          <cell r="G188" t="str">
            <v>08</v>
          </cell>
          <cell r="H188" t="str">
            <v>001</v>
          </cell>
          <cell r="I188" t="str">
            <v>08001</v>
          </cell>
          <cell r="J188" t="str">
            <v>VENTA DE BIENES</v>
          </cell>
          <cell r="K188">
            <v>4659</v>
          </cell>
          <cell r="L188">
            <v>219</v>
          </cell>
          <cell r="M188">
            <v>32003941</v>
          </cell>
        </row>
        <row r="189">
          <cell r="A189">
            <v>830051764</v>
          </cell>
          <cell r="B189" t="str">
            <v>INTERPESAJE S.A.S.</v>
          </cell>
          <cell r="C189" t="str">
            <v>+570000</v>
          </cell>
          <cell r="E189" t="str">
            <v>FACTURACION@PESAJE.COM</v>
          </cell>
          <cell r="F189" t="str">
            <v>AV 4 NORTE   64 - 44 CEN DE NEGOCIOS LA 70 NORTE L:7</v>
          </cell>
          <cell r="G189" t="str">
            <v>08</v>
          </cell>
          <cell r="H189" t="str">
            <v>001</v>
          </cell>
          <cell r="I189" t="str">
            <v>08001</v>
          </cell>
          <cell r="J189" t="str">
            <v>TRANSPORTE</v>
          </cell>
          <cell r="K189">
            <v>3312</v>
          </cell>
          <cell r="L189">
            <v>334</v>
          </cell>
          <cell r="M189">
            <v>19000</v>
          </cell>
        </row>
        <row r="190">
          <cell r="A190">
            <v>830054060</v>
          </cell>
          <cell r="B190" t="str">
            <v>AUTOPISTAS DEL CAFE S.A.</v>
          </cell>
          <cell r="C190" t="str">
            <v>3275500</v>
          </cell>
          <cell r="E190" t="str">
            <v>fiducoldex@fiducoldex.com.co</v>
          </cell>
          <cell r="F190" t="str">
            <v>CL 28 13 A 24 P 6</v>
          </cell>
          <cell r="G190" t="str">
            <v>11</v>
          </cell>
          <cell r="H190" t="str">
            <v>001</v>
          </cell>
          <cell r="I190" t="str">
            <v>11001</v>
          </cell>
          <cell r="J190" t="str">
            <v>VENTA DE BIENES</v>
          </cell>
          <cell r="K190">
            <v>4659</v>
          </cell>
          <cell r="L190">
            <v>219</v>
          </cell>
          <cell r="M190">
            <v>16840080</v>
          </cell>
        </row>
        <row r="191">
          <cell r="A191">
            <v>830054076</v>
          </cell>
          <cell r="B191" t="str">
            <v>FIDEICOMISOS SOCIEDAD FIDUCIARIA DE OCCIDENTE SA</v>
          </cell>
          <cell r="C191" t="str">
            <v>+570000</v>
          </cell>
          <cell r="E191" t="str">
            <v>UNIONVIALRIOPAMPLONITA.RECEPCIONFE@SACYR.COM</v>
          </cell>
          <cell r="F191" t="str">
            <v>CR 13 26 A 47 P 9</v>
          </cell>
          <cell r="G191" t="str">
            <v>11</v>
          </cell>
          <cell r="H191" t="str">
            <v>001</v>
          </cell>
          <cell r="I191" t="str">
            <v>11001</v>
          </cell>
          <cell r="J191" t="str">
            <v>VENTA DE BIENES</v>
          </cell>
          <cell r="K191">
            <v>4659</v>
          </cell>
          <cell r="L191">
            <v>219</v>
          </cell>
          <cell r="M191">
            <v>16095428</v>
          </cell>
        </row>
        <row r="192">
          <cell r="A192">
            <v>830054539</v>
          </cell>
          <cell r="B192" t="str">
            <v>PATRIMONIOS AUTONOMOS FIDUCIARIA BANCOLOMBIA S.A</v>
          </cell>
          <cell r="C192">
            <v>7456709</v>
          </cell>
          <cell r="D192">
            <v>7456709</v>
          </cell>
          <cell r="E192" t="str">
            <v>guillermo.correa@rutasdelvalle.com</v>
          </cell>
          <cell r="F192" t="str">
            <v/>
          </cell>
          <cell r="G192">
            <v>11</v>
          </cell>
          <cell r="H192" t="str">
            <v>001</v>
          </cell>
          <cell r="I192" t="str">
            <v>11001</v>
          </cell>
          <cell r="J192" t="str">
            <v>SERV MTTO</v>
          </cell>
          <cell r="K192">
            <v>3312</v>
          </cell>
          <cell r="L192">
            <v>334</v>
          </cell>
          <cell r="M192">
            <v>151868597</v>
          </cell>
        </row>
        <row r="193">
          <cell r="A193">
            <v>830054539</v>
          </cell>
          <cell r="B193" t="str">
            <v>PATRIMONIOS AUTONOMOS FIDUCIARIA BANCOLOMBIA S.A</v>
          </cell>
          <cell r="C193">
            <v>7456709</v>
          </cell>
          <cell r="D193">
            <v>7456709</v>
          </cell>
          <cell r="E193" t="str">
            <v>guillermo.correa@rutasdelvalle.com</v>
          </cell>
          <cell r="F193" t="str">
            <v/>
          </cell>
          <cell r="G193">
            <v>11</v>
          </cell>
          <cell r="H193" t="str">
            <v>001</v>
          </cell>
          <cell r="I193" t="str">
            <v>11001</v>
          </cell>
          <cell r="J193" t="str">
            <v>VENTA DE BIENES</v>
          </cell>
          <cell r="K193">
            <v>4659</v>
          </cell>
          <cell r="L193">
            <v>219</v>
          </cell>
          <cell r="M193">
            <v>24520413080</v>
          </cell>
        </row>
        <row r="194">
          <cell r="A194">
            <v>830056322</v>
          </cell>
          <cell r="B194" t="str">
            <v>SAYTEC DE COLOMBIA S.A.S</v>
          </cell>
          <cell r="C194" t="str">
            <v>+570000</v>
          </cell>
          <cell r="E194" t="str">
            <v>FEPROVEEDOR@SAYTEC.COM.CO</v>
          </cell>
          <cell r="F194" t="str">
            <v>PAR INDUSTRIAL GRAN SABANA ED 32</v>
          </cell>
          <cell r="G194" t="str">
            <v>25</v>
          </cell>
          <cell r="H194" t="str">
            <v>817</v>
          </cell>
          <cell r="I194" t="str">
            <v>25817</v>
          </cell>
          <cell r="J194" t="str">
            <v>42 GRAVADOS</v>
          </cell>
          <cell r="K194">
            <v>4659</v>
          </cell>
          <cell r="L194">
            <v>219</v>
          </cell>
          <cell r="M194">
            <v>112059467</v>
          </cell>
        </row>
        <row r="195">
          <cell r="A195">
            <v>830056322</v>
          </cell>
          <cell r="B195" t="str">
            <v>SAYTEC DE COLOMBIA S.A.S</v>
          </cell>
          <cell r="C195" t="str">
            <v>+570000</v>
          </cell>
          <cell r="E195" t="str">
            <v>FEPROVEEDOR@SAYTEC.COM.CO</v>
          </cell>
          <cell r="F195" t="str">
            <v>PAR INDUSTRIAL GRAN SABANA ED 32</v>
          </cell>
          <cell r="G195" t="str">
            <v>25</v>
          </cell>
          <cell r="H195" t="str">
            <v>817</v>
          </cell>
          <cell r="I195" t="str">
            <v>25817</v>
          </cell>
          <cell r="J195" t="str">
            <v>SERV ADMON</v>
          </cell>
          <cell r="K195">
            <v>3312</v>
          </cell>
          <cell r="L195">
            <v>334</v>
          </cell>
          <cell r="M195">
            <v>8394666</v>
          </cell>
        </row>
        <row r="196">
          <cell r="A196">
            <v>830056322</v>
          </cell>
          <cell r="B196" t="str">
            <v>SAYTEC DE COLOMBIA S.A.S</v>
          </cell>
          <cell r="C196" t="str">
            <v>+570000</v>
          </cell>
          <cell r="E196" t="str">
            <v>FEPROVEEDOR@SAYTEC.COM.CO</v>
          </cell>
          <cell r="F196" t="str">
            <v>PAR INDUSTRIAL GRAN SABANA ED 32</v>
          </cell>
          <cell r="G196" t="str">
            <v>25</v>
          </cell>
          <cell r="H196" t="str">
            <v>817</v>
          </cell>
          <cell r="I196" t="str">
            <v>25817</v>
          </cell>
          <cell r="J196" t="str">
            <v>VENTA DE BIENES</v>
          </cell>
          <cell r="K196">
            <v>4659</v>
          </cell>
          <cell r="L196">
            <v>219</v>
          </cell>
          <cell r="M196">
            <v>47542313</v>
          </cell>
        </row>
        <row r="197">
          <cell r="A197">
            <v>830058558</v>
          </cell>
          <cell r="B197" t="str">
            <v>TY GAS SA ESP</v>
          </cell>
          <cell r="C197" t="str">
            <v>+570000</v>
          </cell>
          <cell r="E197" t="str">
            <v>FACTURACION@TERMOYOPAL.COM.CO</v>
          </cell>
          <cell r="F197" t="str">
            <v>CR 14 93B 32 OF 204</v>
          </cell>
          <cell r="G197" t="str">
            <v>11</v>
          </cell>
          <cell r="H197" t="str">
            <v>001</v>
          </cell>
          <cell r="I197" t="str">
            <v>11001</v>
          </cell>
          <cell r="J197" t="str">
            <v>VENTA DE BIENES</v>
          </cell>
          <cell r="K197">
            <v>4659</v>
          </cell>
          <cell r="L197">
            <v>219</v>
          </cell>
          <cell r="M197">
            <v>15521974</v>
          </cell>
        </row>
        <row r="198">
          <cell r="A198">
            <v>830059437</v>
          </cell>
          <cell r="B198" t="str">
            <v>EDREDONA SAS</v>
          </cell>
          <cell r="C198" t="str">
            <v>312 3647493</v>
          </cell>
          <cell r="D198">
            <v>3123647493</v>
          </cell>
          <cell r="E198" t="str">
            <v>cristianl@edreodna.com</v>
          </cell>
          <cell r="F198" t="str">
            <v>KILOMETRO 1 TRONCAL DE OCCIDENTE PARQUE EMPRESARIAL DE OCCIDENTE BODEGA 39</v>
          </cell>
          <cell r="G198" t="str">
            <v>25</v>
          </cell>
          <cell r="H198" t="str">
            <v>286</v>
          </cell>
          <cell r="I198" t="str">
            <v>25286</v>
          </cell>
          <cell r="J198" t="str">
            <v>VENTA DE BIENES</v>
          </cell>
          <cell r="K198">
            <v>4659</v>
          </cell>
          <cell r="L198">
            <v>219</v>
          </cell>
          <cell r="M198">
            <v>239932</v>
          </cell>
        </row>
        <row r="199">
          <cell r="A199">
            <v>830069306</v>
          </cell>
          <cell r="B199" t="str">
            <v>FRANA INTERNATIONAL SAS</v>
          </cell>
          <cell r="C199" t="str">
            <v>+570000</v>
          </cell>
          <cell r="E199" t="str">
            <v>FACTURACIONELECTRONICA@FRANAINTERNATIONAL.COM</v>
          </cell>
          <cell r="F199" t="str">
            <v>PAR INDUSTRIAL GRAN SABANA VRD TIBITO BG 37</v>
          </cell>
          <cell r="G199" t="str">
            <v>25</v>
          </cell>
          <cell r="H199" t="str">
            <v>817</v>
          </cell>
          <cell r="I199" t="str">
            <v>25817</v>
          </cell>
          <cell r="J199" t="str">
            <v>VENTA DE BIENES</v>
          </cell>
          <cell r="K199">
            <v>4659</v>
          </cell>
          <cell r="L199">
            <v>219</v>
          </cell>
          <cell r="M199">
            <v>708000</v>
          </cell>
        </row>
        <row r="200">
          <cell r="A200">
            <v>830073703</v>
          </cell>
          <cell r="B200" t="str">
            <v>PAVIOBRAS SAS</v>
          </cell>
          <cell r="C200" t="str">
            <v>305 2936105</v>
          </cell>
          <cell r="D200">
            <v>3052936105</v>
          </cell>
          <cell r="E200" t="str">
            <v>facturacion@paviobras.com.co</v>
          </cell>
          <cell r="F200" t="str">
            <v>CR 17 81 A 66 SUR</v>
          </cell>
          <cell r="G200" t="str">
            <v>11</v>
          </cell>
          <cell r="H200" t="str">
            <v>001</v>
          </cell>
          <cell r="I200" t="str">
            <v>11001</v>
          </cell>
          <cell r="J200" t="str">
            <v>VENTA DE BIENES</v>
          </cell>
          <cell r="K200">
            <v>4659</v>
          </cell>
          <cell r="L200">
            <v>219</v>
          </cell>
          <cell r="M200">
            <v>1467256</v>
          </cell>
        </row>
        <row r="201">
          <cell r="A201">
            <v>830074182</v>
          </cell>
          <cell r="B201" t="str">
            <v>DISTRIELECTRICOS JM Y CIA LTDA</v>
          </cell>
          <cell r="C201" t="str">
            <v>+570000</v>
          </cell>
          <cell r="E201" t="str">
            <v>COMPRASDISTRIELECTRICOSJM@GMAIL.COM</v>
          </cell>
          <cell r="F201" t="str">
            <v>CL 19B 35-11 BRR CUNDINAMARCA</v>
          </cell>
          <cell r="G201" t="str">
            <v>11</v>
          </cell>
          <cell r="H201" t="str">
            <v>001</v>
          </cell>
          <cell r="I201" t="str">
            <v>11001</v>
          </cell>
          <cell r="J201" t="str">
            <v>VENTA DE BIENES</v>
          </cell>
          <cell r="K201">
            <v>4659</v>
          </cell>
          <cell r="L201">
            <v>219</v>
          </cell>
          <cell r="M201">
            <v>24738000</v>
          </cell>
        </row>
        <row r="202">
          <cell r="A202">
            <v>830078301</v>
          </cell>
          <cell r="B202" t="str">
            <v>SUPPLYTEC S.A.S</v>
          </cell>
          <cell r="C202" t="str">
            <v>+570000</v>
          </cell>
          <cell r="E202" t="str">
            <v>RECEPCIONFACTURA@SUPPLYTEC.COM.CO</v>
          </cell>
          <cell r="F202" t="str">
            <v>CRA  30 No. 15  66</v>
          </cell>
          <cell r="G202" t="str">
            <v>11</v>
          </cell>
          <cell r="H202" t="str">
            <v>001</v>
          </cell>
          <cell r="I202" t="str">
            <v>11001</v>
          </cell>
          <cell r="J202" t="str">
            <v>VENTA DE BIENES</v>
          </cell>
          <cell r="K202">
            <v>4659</v>
          </cell>
          <cell r="L202">
            <v>219</v>
          </cell>
          <cell r="M202">
            <v>3170440</v>
          </cell>
        </row>
        <row r="203">
          <cell r="A203">
            <v>830080201</v>
          </cell>
          <cell r="B203" t="str">
            <v>POINTER INSTRUMENT SERVICES S.A.S</v>
          </cell>
          <cell r="C203" t="str">
            <v>+570000</v>
          </cell>
          <cell r="E203" t="str">
            <v>VENTASYSERVICIOS@POINTERINSTRUMENT.COM</v>
          </cell>
          <cell r="F203" t="str">
            <v/>
          </cell>
          <cell r="G203" t="str">
            <v>11</v>
          </cell>
          <cell r="H203" t="str">
            <v>001</v>
          </cell>
          <cell r="I203" t="str">
            <v>11001</v>
          </cell>
          <cell r="J203" t="str">
            <v>VENTA DE BIENES</v>
          </cell>
          <cell r="K203">
            <v>4659</v>
          </cell>
          <cell r="L203">
            <v>219</v>
          </cell>
          <cell r="M203">
            <v>3958546</v>
          </cell>
        </row>
        <row r="204">
          <cell r="A204">
            <v>830081407</v>
          </cell>
          <cell r="B204" t="str">
            <v>AJECOLOMBIA S.A.S</v>
          </cell>
          <cell r="C204" t="str">
            <v>+570000</v>
          </cell>
          <cell r="E204" t="str">
            <v>DTE_8300814071@DTE.PAPERLESS.COM.CO</v>
          </cell>
          <cell r="F204" t="str">
            <v>VIA MALAMBO SABANAGRANDE KM3</v>
          </cell>
          <cell r="G204" t="str">
            <v>08</v>
          </cell>
          <cell r="H204" t="str">
            <v>433</v>
          </cell>
          <cell r="I204" t="str">
            <v>08433</v>
          </cell>
          <cell r="J204" t="str">
            <v>VENTA DE BIENES</v>
          </cell>
          <cell r="K204">
            <v>4659</v>
          </cell>
          <cell r="L204">
            <v>219</v>
          </cell>
          <cell r="M204">
            <v>16856573</v>
          </cell>
        </row>
        <row r="205">
          <cell r="A205">
            <v>830095213</v>
          </cell>
          <cell r="B205" t="str">
            <v>ORGANIZACION TERPEL S.A.</v>
          </cell>
          <cell r="C205" t="str">
            <v>+570000</v>
          </cell>
          <cell r="E205" t="str">
            <v>FELECTRONICAR@TERPEL.COM</v>
          </cell>
          <cell r="F205" t="str">
            <v>PLANTA DE ABASTECIMIENTO MANIZALES</v>
          </cell>
          <cell r="G205" t="str">
            <v>05</v>
          </cell>
          <cell r="H205" t="str">
            <v>001</v>
          </cell>
          <cell r="I205" t="str">
            <v>05001</v>
          </cell>
          <cell r="J205" t="str">
            <v>VENTA DE BIENES</v>
          </cell>
          <cell r="K205">
            <v>4659</v>
          </cell>
          <cell r="L205">
            <v>219</v>
          </cell>
          <cell r="M205">
            <v>1320345</v>
          </cell>
        </row>
        <row r="206">
          <cell r="A206">
            <v>830095890</v>
          </cell>
          <cell r="B206" t="str">
            <v>ECOFERTIL S.A</v>
          </cell>
          <cell r="C206" t="str">
            <v>+570000</v>
          </cell>
          <cell r="E206" t="str">
            <v>RECEPCION.FACTURA@MONOMEROS.COM.CO</v>
          </cell>
          <cell r="F206" t="str">
            <v>VIA 40 LAS FLORES</v>
          </cell>
          <cell r="G206" t="str">
            <v>08</v>
          </cell>
          <cell r="H206" t="str">
            <v>001</v>
          </cell>
          <cell r="I206" t="str">
            <v>08001</v>
          </cell>
          <cell r="J206" t="str">
            <v>VENTA DE BIENES</v>
          </cell>
          <cell r="K206">
            <v>4659</v>
          </cell>
          <cell r="L206">
            <v>219</v>
          </cell>
          <cell r="M206">
            <v>4828000</v>
          </cell>
        </row>
        <row r="207">
          <cell r="A207">
            <v>830098396</v>
          </cell>
          <cell r="B207" t="str">
            <v>FARMOQUING S.A.S.</v>
          </cell>
          <cell r="C207" t="str">
            <v>+570000</v>
          </cell>
          <cell r="E207" t="str">
            <v>INFO@FARMOQUING.CO</v>
          </cell>
          <cell r="F207" t="str">
            <v>CR 52A 128A-12 P 2</v>
          </cell>
          <cell r="G207" t="str">
            <v>11</v>
          </cell>
          <cell r="H207" t="str">
            <v>001</v>
          </cell>
          <cell r="I207" t="str">
            <v>11001</v>
          </cell>
          <cell r="J207" t="str">
            <v>VENTA DE BIENES</v>
          </cell>
          <cell r="K207">
            <v>4659</v>
          </cell>
          <cell r="L207">
            <v>219</v>
          </cell>
          <cell r="M207">
            <v>9306088</v>
          </cell>
        </row>
        <row r="208">
          <cell r="A208">
            <v>830100027</v>
          </cell>
          <cell r="B208" t="str">
            <v>SEI INGENIERIA - SOLUCIONES ELECTRICAS INDUSTRIALES E.U.</v>
          </cell>
          <cell r="C208" t="str">
            <v>314 2939814</v>
          </cell>
          <cell r="D208">
            <v>3142939814</v>
          </cell>
          <cell r="E208" t="str">
            <v>contable@seiingenieria.com</v>
          </cell>
          <cell r="F208" t="str">
            <v>CR 73 A 5 C 39</v>
          </cell>
          <cell r="G208" t="str">
            <v>11</v>
          </cell>
          <cell r="H208" t="str">
            <v>001</v>
          </cell>
          <cell r="I208" t="str">
            <v>11001</v>
          </cell>
          <cell r="J208" t="str">
            <v>VENTA DE BIENES</v>
          </cell>
          <cell r="K208">
            <v>4659</v>
          </cell>
          <cell r="L208">
            <v>219</v>
          </cell>
          <cell r="M208">
            <v>155186</v>
          </cell>
        </row>
        <row r="209">
          <cell r="A209">
            <v>830102500</v>
          </cell>
          <cell r="B209" t="str">
            <v>B &amp; C BIOSCIENCES SAS</v>
          </cell>
          <cell r="C209" t="str">
            <v>317 6583640</v>
          </cell>
          <cell r="D209">
            <v>3176583640</v>
          </cell>
          <cell r="E209" t="str">
            <v>administracion@bycenlinea.com</v>
          </cell>
          <cell r="F209" t="str">
            <v>CR 19 58 A 15 BRR SAN LUIS</v>
          </cell>
          <cell r="G209" t="str">
            <v>11</v>
          </cell>
          <cell r="H209" t="str">
            <v>001</v>
          </cell>
          <cell r="I209" t="str">
            <v>11001</v>
          </cell>
          <cell r="J209" t="str">
            <v>VENTA DE BIENES</v>
          </cell>
          <cell r="K209">
            <v>4659</v>
          </cell>
          <cell r="L209">
            <v>219</v>
          </cell>
          <cell r="M209">
            <v>6915388</v>
          </cell>
        </row>
        <row r="210">
          <cell r="A210">
            <v>830107617</v>
          </cell>
          <cell r="B210" t="str">
            <v>FLEISCHMANN FOODS S.A</v>
          </cell>
          <cell r="C210" t="str">
            <v>+570000</v>
          </cell>
          <cell r="E210" t="str">
            <v>FACTURACION.ELECTRONICA@ABMAURI.COM.CO</v>
          </cell>
          <cell r="F210" t="str">
            <v>CR 35 34A-64 BRR EMILIA</v>
          </cell>
          <cell r="G210" t="str">
            <v>76</v>
          </cell>
          <cell r="H210" t="str">
            <v>520</v>
          </cell>
          <cell r="I210" t="str">
            <v>76520</v>
          </cell>
          <cell r="J210" t="str">
            <v>VENTA DE BIENES</v>
          </cell>
          <cell r="K210">
            <v>4659</v>
          </cell>
          <cell r="L210">
            <v>219</v>
          </cell>
          <cell r="M210">
            <v>2581600</v>
          </cell>
        </row>
        <row r="211">
          <cell r="A211">
            <v>830113630</v>
          </cell>
          <cell r="B211" t="str">
            <v>ENFRAGEN TERMOFLORES S.A.S. E.S.P.</v>
          </cell>
          <cell r="C211" t="str">
            <v>+570000</v>
          </cell>
          <cell r="E211" t="str">
            <v>factura.termoflores@enfragen.com</v>
          </cell>
          <cell r="F211" t="str">
            <v>VIA 40 85-555</v>
          </cell>
          <cell r="G211" t="str">
            <v>08</v>
          </cell>
          <cell r="H211" t="str">
            <v>001</v>
          </cell>
          <cell r="I211" t="str">
            <v>08001</v>
          </cell>
          <cell r="J211" t="str">
            <v>VENTA DE BIENES</v>
          </cell>
          <cell r="K211">
            <v>4659</v>
          </cell>
          <cell r="L211">
            <v>219</v>
          </cell>
          <cell r="M211">
            <v>75196761</v>
          </cell>
        </row>
        <row r="212">
          <cell r="A212">
            <v>830114737</v>
          </cell>
          <cell r="B212" t="str">
            <v>GAS INSTRUMENT SAS</v>
          </cell>
          <cell r="C212" t="str">
            <v>+570000</v>
          </cell>
          <cell r="E212" t="str">
            <v>DOSORIO@GASINSTRUMENT.COM</v>
          </cell>
          <cell r="F212" t="str">
            <v>CR 70D 115A-38 OF 307 BRR SAN NICOLAS</v>
          </cell>
          <cell r="G212" t="str">
            <v>11</v>
          </cell>
          <cell r="H212" t="str">
            <v>001</v>
          </cell>
          <cell r="I212" t="str">
            <v>11001</v>
          </cell>
          <cell r="J212" t="str">
            <v>VENTA DE BIENES</v>
          </cell>
          <cell r="K212">
            <v>4659</v>
          </cell>
          <cell r="L212">
            <v>219</v>
          </cell>
          <cell r="M212">
            <v>7737568</v>
          </cell>
        </row>
        <row r="213">
          <cell r="A213">
            <v>830114737</v>
          </cell>
          <cell r="B213" t="str">
            <v>GAS INSTRUMENT SAS</v>
          </cell>
          <cell r="C213" t="str">
            <v>+570000</v>
          </cell>
          <cell r="E213" t="str">
            <v>DOSORIO@GASINSTRUMENT.COM</v>
          </cell>
          <cell r="F213" t="str">
            <v>CR 70D 115A-38 OF 307 BRR SAN NICOLAS</v>
          </cell>
          <cell r="G213" t="str">
            <v>11</v>
          </cell>
          <cell r="H213" t="str">
            <v>001</v>
          </cell>
          <cell r="I213" t="str">
            <v>11001</v>
          </cell>
          <cell r="J213" t="str">
            <v>42 GRAVADOS</v>
          </cell>
          <cell r="K213">
            <v>4659</v>
          </cell>
          <cell r="L213">
            <v>219</v>
          </cell>
          <cell r="M213">
            <v>452000</v>
          </cell>
        </row>
        <row r="214">
          <cell r="A214">
            <v>830116638</v>
          </cell>
          <cell r="B214" t="str">
            <v>CODIFICACION &amp; ETIQUETADO SA</v>
          </cell>
          <cell r="C214" t="str">
            <v>+570000</v>
          </cell>
          <cell r="E214" t="str">
            <v>FACTURARECEPCION@CODITEQ.COM</v>
          </cell>
          <cell r="F214" t="str">
            <v>CL 23   116 - 31 BG 5</v>
          </cell>
          <cell r="G214" t="str">
            <v>11</v>
          </cell>
          <cell r="H214" t="str">
            <v>001</v>
          </cell>
          <cell r="I214" t="str">
            <v>11001</v>
          </cell>
          <cell r="J214" t="str">
            <v>VENTA DE BIENES</v>
          </cell>
          <cell r="K214">
            <v>4659</v>
          </cell>
          <cell r="L214">
            <v>219</v>
          </cell>
          <cell r="M214">
            <v>1834164</v>
          </cell>
        </row>
        <row r="215">
          <cell r="A215">
            <v>830123869</v>
          </cell>
          <cell r="B215" t="str">
            <v>SAUFER SOLUCIONES SAS</v>
          </cell>
          <cell r="C215" t="str">
            <v>+570000</v>
          </cell>
          <cell r="E215" t="str">
            <v>JCABALLERO@SAUFER.COM.CO</v>
          </cell>
          <cell r="F215" t="str">
            <v>CR 18ª 60-62 AP 101</v>
          </cell>
          <cell r="G215" t="str">
            <v>68</v>
          </cell>
          <cell r="H215" t="str">
            <v>081</v>
          </cell>
          <cell r="I215" t="str">
            <v>68081</v>
          </cell>
          <cell r="J215" t="str">
            <v>VENTA DE BIENES</v>
          </cell>
          <cell r="K215">
            <v>4659</v>
          </cell>
          <cell r="L215">
            <v>219</v>
          </cell>
          <cell r="M215">
            <v>6441555</v>
          </cell>
        </row>
        <row r="216">
          <cell r="A216">
            <v>830124651</v>
          </cell>
          <cell r="B216" t="str">
            <v>MR CONTROL S.A.S.</v>
          </cell>
          <cell r="C216" t="str">
            <v>+570000</v>
          </cell>
          <cell r="E216" t="str">
            <v>CONTABILIDAD@MRCONTROLLTDA.COM</v>
          </cell>
          <cell r="F216" t="str">
            <v>CL 12A 27-84</v>
          </cell>
          <cell r="G216" t="str">
            <v>11</v>
          </cell>
          <cell r="H216" t="str">
            <v>001</v>
          </cell>
          <cell r="I216" t="str">
            <v>11001</v>
          </cell>
          <cell r="J216" t="str">
            <v>VENTA DE BIENES</v>
          </cell>
          <cell r="K216">
            <v>4659</v>
          </cell>
          <cell r="L216">
            <v>219</v>
          </cell>
          <cell r="M216">
            <v>2382720</v>
          </cell>
        </row>
        <row r="217">
          <cell r="A217">
            <v>830125741</v>
          </cell>
          <cell r="B217" t="str">
            <v>STAND ILUMINACIONES SAS</v>
          </cell>
          <cell r="C217" t="str">
            <v>316 5264044</v>
          </cell>
          <cell r="D217">
            <v>3165264044</v>
          </cell>
          <cell r="E217" t="str">
            <v>compras@standiluminaciones.com</v>
          </cell>
          <cell r="F217" t="str">
            <v>KM 3  3 VIA SIBERIA A FUNZA PAR INDUSTRIAL SANTA LUCIA BG A 6</v>
          </cell>
          <cell r="G217" t="str">
            <v>25</v>
          </cell>
          <cell r="H217" t="str">
            <v>286</v>
          </cell>
          <cell r="I217" t="str">
            <v>25286</v>
          </cell>
          <cell r="J217" t="str">
            <v>VENTA DE BIENES</v>
          </cell>
          <cell r="K217">
            <v>4659</v>
          </cell>
          <cell r="L217">
            <v>219</v>
          </cell>
          <cell r="M217">
            <v>1379980</v>
          </cell>
        </row>
        <row r="218">
          <cell r="A218">
            <v>830128434</v>
          </cell>
          <cell r="B218" t="str">
            <v>WEG COLOMBIA SAS</v>
          </cell>
          <cell r="C218" t="str">
            <v>+570000</v>
          </cell>
          <cell r="E218" t="str">
            <v>WCO-COMPRAS@WEG.NET</v>
          </cell>
          <cell r="F218" t="str">
            <v>CRA 47 G 78 D SUR147</v>
          </cell>
          <cell r="G218" t="str">
            <v>05</v>
          </cell>
          <cell r="H218" t="str">
            <v>631</v>
          </cell>
          <cell r="I218" t="str">
            <v>05631</v>
          </cell>
          <cell r="J218" t="str">
            <v>VENTA DE BIENES</v>
          </cell>
          <cell r="K218">
            <v>4659</v>
          </cell>
          <cell r="L218">
            <v>219</v>
          </cell>
          <cell r="M218">
            <v>24458154</v>
          </cell>
        </row>
        <row r="219">
          <cell r="A219">
            <v>830128909</v>
          </cell>
          <cell r="B219" t="str">
            <v>D V INGENIERIA SAS</v>
          </cell>
          <cell r="C219" t="str">
            <v>+570000</v>
          </cell>
          <cell r="E219" t="str">
            <v>facturas@dvingenieria.co</v>
          </cell>
          <cell r="F219" t="str">
            <v>CR 20 143 15</v>
          </cell>
          <cell r="G219" t="str">
            <v>11</v>
          </cell>
          <cell r="H219" t="str">
            <v>001</v>
          </cell>
          <cell r="I219" t="str">
            <v>11001</v>
          </cell>
          <cell r="J219" t="str">
            <v>VENTA DE BIENES</v>
          </cell>
          <cell r="K219">
            <v>4659</v>
          </cell>
          <cell r="L219">
            <v>219</v>
          </cell>
          <cell r="M219">
            <v>537817</v>
          </cell>
        </row>
        <row r="220">
          <cell r="A220">
            <v>830129277</v>
          </cell>
          <cell r="B220" t="str">
            <v>TERMOYOPAL GENERACION 2 SAS</v>
          </cell>
          <cell r="E220" t="str">
            <v>info@termoyopal.com.co</v>
          </cell>
          <cell r="F220" t="str">
            <v>CR 14 93 B 32 OF 204</v>
          </cell>
          <cell r="G220" t="str">
            <v>11</v>
          </cell>
          <cell r="H220" t="str">
            <v>001</v>
          </cell>
          <cell r="I220" t="str">
            <v>11001</v>
          </cell>
          <cell r="J220" t="str">
            <v>VENTA DE BIENES</v>
          </cell>
          <cell r="K220">
            <v>4659</v>
          </cell>
          <cell r="L220">
            <v>219</v>
          </cell>
          <cell r="M220">
            <v>22721564</v>
          </cell>
        </row>
        <row r="221">
          <cell r="A221">
            <v>830129417</v>
          </cell>
          <cell r="B221" t="str">
            <v>INGENIERIA AVANZADA DE COLOMBIA LTDA</v>
          </cell>
          <cell r="C221" t="str">
            <v>4717290</v>
          </cell>
          <cell r="D221" t="str">
            <v>4717290</v>
          </cell>
          <cell r="E221" t="str">
            <v>JASALAMANCA@INAVCO.COM</v>
          </cell>
          <cell r="F221" t="str">
            <v>CR 53 103 B 42 OF 501</v>
          </cell>
          <cell r="G221" t="str">
            <v>11</v>
          </cell>
          <cell r="H221" t="str">
            <v>001</v>
          </cell>
          <cell r="I221" t="str">
            <v>11001</v>
          </cell>
          <cell r="J221" t="str">
            <v>VENTA DE BIENES</v>
          </cell>
          <cell r="K221">
            <v>4659</v>
          </cell>
          <cell r="L221">
            <v>219</v>
          </cell>
          <cell r="M221">
            <v>9370212</v>
          </cell>
        </row>
        <row r="222">
          <cell r="A222">
            <v>830130106</v>
          </cell>
          <cell r="B222" t="str">
            <v>SOENERGY INTERNATIONAL COLOMBIA S.A.S.</v>
          </cell>
          <cell r="C222" t="str">
            <v>312 5835235</v>
          </cell>
          <cell r="D222">
            <v>3125835235</v>
          </cell>
          <cell r="E222" t="str">
            <v>eduardo.quintero@soenergy.com.co</v>
          </cell>
          <cell r="F222" t="str">
            <v>Parque Industrial Los Robles IV “El recreo” Km1 Via Siberia-Cota Piso 4, Colombia</v>
          </cell>
          <cell r="G222">
            <v>11</v>
          </cell>
          <cell r="H222" t="str">
            <v>001</v>
          </cell>
          <cell r="I222" t="str">
            <v>11001</v>
          </cell>
          <cell r="J222" t="str">
            <v>SERV MTTO</v>
          </cell>
          <cell r="K222">
            <v>3312</v>
          </cell>
          <cell r="L222">
            <v>334</v>
          </cell>
          <cell r="M222">
            <v>25498650</v>
          </cell>
        </row>
        <row r="223">
          <cell r="A223">
            <v>830130106</v>
          </cell>
          <cell r="B223" t="str">
            <v>SOENERGY INTERNATIONAL COLOMBIA S.A.S.</v>
          </cell>
          <cell r="C223" t="str">
            <v>312 5835235</v>
          </cell>
          <cell r="D223">
            <v>3125835235</v>
          </cell>
          <cell r="E223" t="str">
            <v>eduardo.quintero@soenergy.com.co</v>
          </cell>
          <cell r="F223" t="str">
            <v>Parque Industrial Los Robles IV “El recreo” Km1 Via Siberia-Cota Piso 4, Colombia</v>
          </cell>
          <cell r="G223">
            <v>11</v>
          </cell>
          <cell r="H223" t="str">
            <v>001</v>
          </cell>
          <cell r="I223" t="str">
            <v>11001</v>
          </cell>
          <cell r="J223" t="str">
            <v>VENTA DE BIENES</v>
          </cell>
          <cell r="K223">
            <v>4659</v>
          </cell>
          <cell r="L223">
            <v>219</v>
          </cell>
          <cell r="M223">
            <v>301912301</v>
          </cell>
        </row>
        <row r="224">
          <cell r="A224">
            <v>830130199</v>
          </cell>
          <cell r="B224" t="str">
            <v>ETIQUETAS Y CAPSULAS DE COLOMBIA ETICAP S.A.S</v>
          </cell>
          <cell r="C224" t="str">
            <v>322 3880586</v>
          </cell>
          <cell r="D224">
            <v>3223880586</v>
          </cell>
          <cell r="E224" t="str">
            <v>svargas@eticap.com.co</v>
          </cell>
          <cell r="F224" t="str">
            <v/>
          </cell>
          <cell r="G224" t="str">
            <v>25</v>
          </cell>
          <cell r="H224" t="str">
            <v>286</v>
          </cell>
          <cell r="I224" t="str">
            <v>25286</v>
          </cell>
          <cell r="J224" t="str">
            <v>VENTA DE BIENES</v>
          </cell>
          <cell r="K224">
            <v>4659</v>
          </cell>
          <cell r="L224">
            <v>219</v>
          </cell>
          <cell r="M224">
            <v>3127520</v>
          </cell>
        </row>
        <row r="225">
          <cell r="A225">
            <v>830131281</v>
          </cell>
          <cell r="B225" t="str">
            <v>AUTOMATIZACION INTEGRADA SAS</v>
          </cell>
          <cell r="C225" t="str">
            <v>+570000</v>
          </cell>
          <cell r="E225" t="str">
            <v>FACTURACION@AUTOMATIZACIONINTEGRADA.COM.CO</v>
          </cell>
          <cell r="F225" t="str">
            <v>CR 42 C BIS 5 B 07</v>
          </cell>
          <cell r="G225" t="str">
            <v>11</v>
          </cell>
          <cell r="H225" t="str">
            <v>001</v>
          </cell>
          <cell r="I225" t="str">
            <v>11001</v>
          </cell>
          <cell r="J225" t="str">
            <v>VENTA DE BIENES</v>
          </cell>
          <cell r="K225">
            <v>4659</v>
          </cell>
          <cell r="L225">
            <v>219</v>
          </cell>
          <cell r="M225">
            <v>2596160</v>
          </cell>
        </row>
        <row r="226">
          <cell r="A226">
            <v>830136799</v>
          </cell>
          <cell r="B226" t="str">
            <v>BIOMAX BIOCOMBUSTIBLES S.A</v>
          </cell>
          <cell r="C226">
            <v>3798000</v>
          </cell>
          <cell r="D226">
            <v>3798000</v>
          </cell>
          <cell r="E226" t="str">
            <v>compras@biomax.co</v>
          </cell>
          <cell r="F226" t="str">
            <v>Cra. 14 No. 99-33, piso 9</v>
          </cell>
          <cell r="G226" t="str">
            <v>11</v>
          </cell>
          <cell r="H226" t="str">
            <v>001</v>
          </cell>
          <cell r="I226" t="str">
            <v>11001</v>
          </cell>
          <cell r="J226" t="str">
            <v>VENTA DE BIENES</v>
          </cell>
          <cell r="K226">
            <v>4659</v>
          </cell>
          <cell r="L226">
            <v>219</v>
          </cell>
          <cell r="M226">
            <v>1778548</v>
          </cell>
        </row>
        <row r="227">
          <cell r="A227">
            <v>830136854</v>
          </cell>
          <cell r="B227" t="str">
            <v>CONTROL Y AUTOMATIZACION VIRTUAL S.A.S</v>
          </cell>
          <cell r="C227" t="str">
            <v>+570000</v>
          </cell>
          <cell r="E227" t="str">
            <v>facturacion@cavrobotics.com.co</v>
          </cell>
          <cell r="F227" t="str">
            <v>Av.Troncal de Occidente N° 20-85 Mz 1 Bodega 24</v>
          </cell>
          <cell r="G227" t="str">
            <v>11</v>
          </cell>
          <cell r="H227" t="str">
            <v>001</v>
          </cell>
          <cell r="I227" t="str">
            <v>11001</v>
          </cell>
          <cell r="J227" t="str">
            <v>VENTA DE BIENES</v>
          </cell>
          <cell r="K227">
            <v>4659</v>
          </cell>
          <cell r="L227">
            <v>219</v>
          </cell>
          <cell r="M227">
            <v>3780000</v>
          </cell>
        </row>
        <row r="228">
          <cell r="A228">
            <v>830138568</v>
          </cell>
          <cell r="B228" t="str">
            <v>DAIRY PARTNERS AMERICAS MANUFACTURING COLOMBIA LTDA</v>
          </cell>
          <cell r="C228" t="str">
            <v>+570000</v>
          </cell>
          <cell r="E228" t="str">
            <v>PROVEEDORES.ELECTRONICOS@CO.NESTLE.COM</v>
          </cell>
          <cell r="F228" t="str">
            <v>CR 9 6C-01 BRR PASADENA</v>
          </cell>
          <cell r="G228" t="str">
            <v>11</v>
          </cell>
          <cell r="H228" t="str">
            <v>001</v>
          </cell>
          <cell r="I228" t="str">
            <v>11001</v>
          </cell>
          <cell r="J228" t="str">
            <v>VENTA DE BIENES</v>
          </cell>
          <cell r="K228">
            <v>4659</v>
          </cell>
          <cell r="L228">
            <v>219</v>
          </cell>
          <cell r="M228">
            <v>7823823</v>
          </cell>
        </row>
        <row r="229">
          <cell r="A229">
            <v>830141369</v>
          </cell>
          <cell r="B229" t="str">
            <v>INSTRU ELECTRONIC COLOMBIA S.A.S</v>
          </cell>
          <cell r="C229" t="str">
            <v>+570000</v>
          </cell>
          <cell r="E229" t="str">
            <v>FACTURACIONELECTRONICA@INSTRUELECTRONIC.COM</v>
          </cell>
          <cell r="F229" t="str">
            <v/>
          </cell>
          <cell r="G229" t="str">
            <v>11</v>
          </cell>
          <cell r="H229" t="str">
            <v>001</v>
          </cell>
          <cell r="I229" t="str">
            <v>11001</v>
          </cell>
          <cell r="J229" t="str">
            <v>VENTA DE BIENES</v>
          </cell>
          <cell r="K229">
            <v>4659</v>
          </cell>
          <cell r="L229">
            <v>219</v>
          </cell>
          <cell r="M229">
            <v>65506262</v>
          </cell>
        </row>
        <row r="230">
          <cell r="A230">
            <v>830504700</v>
          </cell>
          <cell r="B230" t="str">
            <v>DAVIBANK COMISIONISTA DE BOLSA S.A</v>
          </cell>
          <cell r="C230" t="e">
            <v>#N/A</v>
          </cell>
          <cell r="E230" t="e">
            <v>#N/A</v>
          </cell>
          <cell r="F230" t="e">
            <v>#N/A</v>
          </cell>
          <cell r="G230">
            <v>11</v>
          </cell>
          <cell r="H230" t="str">
            <v>001</v>
          </cell>
          <cell r="I230" t="str">
            <v>11001</v>
          </cell>
          <cell r="J230" t="str">
            <v>INTERESES</v>
          </cell>
          <cell r="K230">
            <v>6619</v>
          </cell>
          <cell r="L230">
            <v>402</v>
          </cell>
          <cell r="M230">
            <v>12492298</v>
          </cell>
        </row>
        <row r="231">
          <cell r="A231">
            <v>830505238</v>
          </cell>
          <cell r="B231" t="str">
            <v>INSE GROUP S.A.S.</v>
          </cell>
          <cell r="C231" t="str">
            <v>+570000</v>
          </cell>
          <cell r="E231" t="str">
            <v>RECEPCIONFACTURAS@INSE.COM.CO</v>
          </cell>
          <cell r="F231" t="str">
            <v>AV 2 20-50 BRR SAN LUIS</v>
          </cell>
          <cell r="G231" t="str">
            <v>54</v>
          </cell>
          <cell r="H231" t="str">
            <v>001</v>
          </cell>
          <cell r="I231" t="str">
            <v>54001</v>
          </cell>
          <cell r="J231" t="str">
            <v>VENTA DE BIENES</v>
          </cell>
          <cell r="K231">
            <v>4659</v>
          </cell>
          <cell r="L231">
            <v>219</v>
          </cell>
          <cell r="M231">
            <v>16955076</v>
          </cell>
        </row>
        <row r="232">
          <cell r="A232">
            <v>830512990</v>
          </cell>
          <cell r="B232" t="str">
            <v>SOLUCION ELECTRICA LTDA</v>
          </cell>
          <cell r="E232" t="str">
            <v>FACTURACION@SOLUCIONELECTRICA.COM</v>
          </cell>
          <cell r="F232" t="str">
            <v>CR 12 15-95 OF 204</v>
          </cell>
          <cell r="G232" t="str">
            <v>11</v>
          </cell>
          <cell r="H232" t="str">
            <v>001</v>
          </cell>
          <cell r="I232" t="str">
            <v>11001</v>
          </cell>
          <cell r="J232" t="str">
            <v>VENTA DE BIENES</v>
          </cell>
          <cell r="K232">
            <v>4659</v>
          </cell>
          <cell r="L232">
            <v>219</v>
          </cell>
          <cell r="M232">
            <v>1100800</v>
          </cell>
        </row>
        <row r="233">
          <cell r="A233">
            <v>830513729</v>
          </cell>
          <cell r="B233" t="str">
            <v>COMBUSTIBLES DE COLOMBIA SA</v>
          </cell>
          <cell r="C233" t="e">
            <v>#N/A</v>
          </cell>
          <cell r="E233" t="e">
            <v>#N/A</v>
          </cell>
          <cell r="F233" t="e">
            <v>#N/A</v>
          </cell>
          <cell r="G233">
            <v>11</v>
          </cell>
          <cell r="H233" t="str">
            <v>001</v>
          </cell>
          <cell r="I233" t="str">
            <v>11001</v>
          </cell>
          <cell r="J233" t="str">
            <v>42 GRAVADOS</v>
          </cell>
          <cell r="K233">
            <v>4659</v>
          </cell>
          <cell r="L233">
            <v>219</v>
          </cell>
          <cell r="M233">
            <v>29265</v>
          </cell>
        </row>
        <row r="234">
          <cell r="A234">
            <v>832003882</v>
          </cell>
          <cell r="B234" t="str">
            <v>SCHOTT ENVASES FARMACEUTICOS SAS</v>
          </cell>
          <cell r="C234" t="str">
            <v>+570000</v>
          </cell>
          <cell r="E234" t="str">
            <v>FACTURAELECTRONICASCHOTT@GMAIL.COM</v>
          </cell>
          <cell r="F234" t="str">
            <v>AUT MEDELLIN GLORIETA SIBERIA 500 MTS COTA</v>
          </cell>
          <cell r="G234" t="str">
            <v>11</v>
          </cell>
          <cell r="H234" t="str">
            <v>001</v>
          </cell>
          <cell r="I234" t="str">
            <v>11001</v>
          </cell>
          <cell r="J234" t="str">
            <v>VENTA DE BIENES</v>
          </cell>
          <cell r="K234">
            <v>4659</v>
          </cell>
          <cell r="L234">
            <v>219</v>
          </cell>
          <cell r="M234">
            <v>150277262</v>
          </cell>
        </row>
        <row r="235">
          <cell r="A235">
            <v>844001945</v>
          </cell>
          <cell r="B235" t="str">
            <v>BOBINADOS ELECTRO ORIENTE SAS</v>
          </cell>
          <cell r="C235" t="str">
            <v>+570000</v>
          </cell>
          <cell r="E235" t="str">
            <v>PROVEEDORES@BEORIENTE.COM</v>
          </cell>
          <cell r="F235" t="str">
            <v>CR 21 25 75</v>
          </cell>
          <cell r="G235" t="str">
            <v>85</v>
          </cell>
          <cell r="H235" t="str">
            <v>001</v>
          </cell>
          <cell r="I235" t="str">
            <v>85001</v>
          </cell>
          <cell r="J235" t="str">
            <v>VENTA DE BIENES</v>
          </cell>
          <cell r="K235">
            <v>4659</v>
          </cell>
          <cell r="L235">
            <v>219</v>
          </cell>
          <cell r="M235">
            <v>237578</v>
          </cell>
        </row>
        <row r="236">
          <cell r="A236">
            <v>860000006</v>
          </cell>
          <cell r="B236" t="str">
            <v>TEAM FOODS COLOMBIA S.A.</v>
          </cell>
          <cell r="C236" t="str">
            <v>+570000</v>
          </cell>
          <cell r="E236" t="str">
            <v>FACTURAELECTRONICA@ALIANZATEAM.COM</v>
          </cell>
          <cell r="F236" t="str">
            <v>AUT SUR 51-27</v>
          </cell>
          <cell r="G236">
            <v>11</v>
          </cell>
          <cell r="H236" t="str">
            <v>001</v>
          </cell>
          <cell r="I236" t="str">
            <v>11001</v>
          </cell>
          <cell r="J236" t="str">
            <v>VENTA DE BIENES</v>
          </cell>
          <cell r="K236">
            <v>4659</v>
          </cell>
          <cell r="L236">
            <v>219</v>
          </cell>
          <cell r="M236">
            <v>8713520</v>
          </cell>
        </row>
        <row r="237">
          <cell r="A237">
            <v>860000135</v>
          </cell>
          <cell r="B237" t="str">
            <v>AZUL K S A S</v>
          </cell>
          <cell r="E237" t="str">
            <v>facturacion@azulk.com</v>
          </cell>
          <cell r="F237" t="str">
            <v>AUT SUR 60-51</v>
          </cell>
          <cell r="G237" t="str">
            <v>11</v>
          </cell>
          <cell r="H237" t="str">
            <v>001</v>
          </cell>
          <cell r="I237" t="str">
            <v>11001</v>
          </cell>
          <cell r="J237" t="str">
            <v>VENTA DE BIENES</v>
          </cell>
          <cell r="K237">
            <v>4659</v>
          </cell>
          <cell r="L237">
            <v>219</v>
          </cell>
          <cell r="M237">
            <v>43151530</v>
          </cell>
        </row>
        <row r="238">
          <cell r="A238">
            <v>860000261</v>
          </cell>
          <cell r="B238" t="str">
            <v>COMPAÑIA NACIONAL DE LEVADURAS LEVAPAN S.A.</v>
          </cell>
          <cell r="C238" t="str">
            <v>+570000</v>
          </cell>
          <cell r="E238" t="str">
            <v>FACTURACIONELECTRONICA@LEVAPAN.COM</v>
          </cell>
          <cell r="F238" t="str">
            <v>CR 27A 40-470</v>
          </cell>
          <cell r="G238" t="str">
            <v>76</v>
          </cell>
          <cell r="H238" t="str">
            <v>834</v>
          </cell>
          <cell r="I238" t="str">
            <v>76834</v>
          </cell>
          <cell r="J238" t="str">
            <v>VENTA DE BIENES</v>
          </cell>
          <cell r="K238">
            <v>4659</v>
          </cell>
          <cell r="L238">
            <v>219</v>
          </cell>
          <cell r="M238">
            <v>5533840</v>
          </cell>
        </row>
        <row r="239">
          <cell r="A239">
            <v>860000656</v>
          </cell>
          <cell r="B239" t="str">
            <v>HMV INGENIEROS LTDA</v>
          </cell>
          <cell r="C239" t="str">
            <v>3706666</v>
          </cell>
          <cell r="E239" t="str">
            <v>FACTURASHMVCOL@H-MV.COM</v>
          </cell>
          <cell r="F239" t="str">
            <v>Calle 70 # 7 - 30 Pisos 3,4,5 y 7 Edificio Séptima</v>
          </cell>
          <cell r="G239">
            <v>11</v>
          </cell>
          <cell r="H239" t="str">
            <v>001</v>
          </cell>
          <cell r="I239" t="str">
            <v>11001</v>
          </cell>
          <cell r="J239" t="str">
            <v>VENTA DE BIENES</v>
          </cell>
          <cell r="K239">
            <v>4659</v>
          </cell>
          <cell r="L239">
            <v>219</v>
          </cell>
          <cell r="M239">
            <v>50239016397</v>
          </cell>
        </row>
        <row r="240">
          <cell r="A240">
            <v>860000751</v>
          </cell>
          <cell r="B240" t="str">
            <v>HENKEL COLOMBIANA S.A S</v>
          </cell>
          <cell r="C240">
            <v>4239000</v>
          </cell>
          <cell r="D240">
            <v>4239000</v>
          </cell>
          <cell r="E240" t="str">
            <v>daniela.sarmiento@henkel.com</v>
          </cell>
          <cell r="F240" t="str">
            <v>Cl. 17 #68b-97</v>
          </cell>
          <cell r="G240" t="str">
            <v>11</v>
          </cell>
          <cell r="H240" t="str">
            <v>001</v>
          </cell>
          <cell r="I240" t="str">
            <v>11001</v>
          </cell>
          <cell r="J240" t="str">
            <v>VENTA DE BIENES</v>
          </cell>
          <cell r="K240">
            <v>4659</v>
          </cell>
          <cell r="L240">
            <v>219</v>
          </cell>
          <cell r="M240">
            <v>21083200</v>
          </cell>
        </row>
        <row r="241">
          <cell r="A241">
            <v>860000762</v>
          </cell>
          <cell r="B241" t="str">
            <v>LADRILLERA SANTAFE S.A</v>
          </cell>
          <cell r="C241" t="str">
            <v>+570000</v>
          </cell>
          <cell r="E241" t="str">
            <v>recepcionfactura@santafe.com.co</v>
          </cell>
          <cell r="F241" t="str">
            <v>VRD PANAMA-VIA FUSAGASGA</v>
          </cell>
          <cell r="G241">
            <v>11</v>
          </cell>
          <cell r="H241" t="str">
            <v>001</v>
          </cell>
          <cell r="I241" t="str">
            <v>11001</v>
          </cell>
          <cell r="J241" t="str">
            <v>VENTA DE BIENES</v>
          </cell>
          <cell r="K241">
            <v>4659</v>
          </cell>
          <cell r="L241">
            <v>219</v>
          </cell>
          <cell r="M241">
            <v>83992808</v>
          </cell>
        </row>
        <row r="242">
          <cell r="A242">
            <v>860000810</v>
          </cell>
          <cell r="B242" t="str">
            <v>SUMEQUIPOS SAS</v>
          </cell>
          <cell r="C242">
            <v>5559710</v>
          </cell>
          <cell r="D242">
            <v>5559710</v>
          </cell>
          <cell r="E242" t="str">
            <v>INFO@SUMEQUIPOS.COM</v>
          </cell>
          <cell r="F242" t="str">
            <v>CR 15 93 A 84 OF 207 ED BUSINESS 93</v>
          </cell>
          <cell r="G242" t="str">
            <v>11</v>
          </cell>
          <cell r="H242" t="str">
            <v>001</v>
          </cell>
          <cell r="I242" t="str">
            <v>11001</v>
          </cell>
          <cell r="J242" t="str">
            <v>VENTA DE BIENES</v>
          </cell>
          <cell r="K242">
            <v>4659</v>
          </cell>
          <cell r="L242">
            <v>219</v>
          </cell>
          <cell r="M242">
            <v>3206400</v>
          </cell>
        </row>
        <row r="243">
          <cell r="A243">
            <v>860001697</v>
          </cell>
          <cell r="B243" t="str">
            <v>GASEOSAS LUX S.A.S</v>
          </cell>
          <cell r="C243" t="str">
            <v>+570000</v>
          </cell>
          <cell r="E243" t="str">
            <v>recepcionfe@gaslux.com.co</v>
          </cell>
          <cell r="F243" t="str">
            <v>AV AMERICAS 53-09</v>
          </cell>
          <cell r="G243">
            <v>11</v>
          </cell>
          <cell r="H243" t="str">
            <v>001</v>
          </cell>
          <cell r="I243" t="str">
            <v>11001</v>
          </cell>
          <cell r="J243" t="str">
            <v>VENTA DE BIENES</v>
          </cell>
          <cell r="K243">
            <v>4659</v>
          </cell>
          <cell r="L243">
            <v>219</v>
          </cell>
          <cell r="M243">
            <v>34426468</v>
          </cell>
        </row>
        <row r="244">
          <cell r="A244">
            <v>860001942</v>
          </cell>
          <cell r="B244" t="str">
            <v>BAYER S.A.</v>
          </cell>
          <cell r="C244" t="str">
            <v>4142277</v>
          </cell>
          <cell r="D244" t="str">
            <v>4142277</v>
          </cell>
          <cell r="E244" t="str">
            <v>recepcion.facturaelectronicacol@bayer.com</v>
          </cell>
          <cell r="F244" t="str">
            <v>CR 50 CALLE8 DIVISION BAYER CROPSCIENCE</v>
          </cell>
          <cell r="G244" t="str">
            <v>08</v>
          </cell>
          <cell r="H244" t="str">
            <v>758</v>
          </cell>
          <cell r="I244" t="str">
            <v>08758</v>
          </cell>
          <cell r="J244" t="str">
            <v>VENTA DE BIENES</v>
          </cell>
          <cell r="K244">
            <v>4659</v>
          </cell>
          <cell r="L244">
            <v>219</v>
          </cell>
          <cell r="M244">
            <v>57846420</v>
          </cell>
        </row>
        <row r="245">
          <cell r="A245">
            <v>860001963</v>
          </cell>
          <cell r="B245" t="str">
            <v>PROTELA S.A</v>
          </cell>
          <cell r="C245" t="str">
            <v>+570000</v>
          </cell>
          <cell r="E245" t="str">
            <v>FACTURAS@PROTELA.COM</v>
          </cell>
          <cell r="F245" t="str">
            <v>TV 93 65 A  82</v>
          </cell>
          <cell r="G245">
            <v>11</v>
          </cell>
          <cell r="H245" t="str">
            <v>001</v>
          </cell>
          <cell r="I245" t="str">
            <v>11001</v>
          </cell>
          <cell r="J245" t="str">
            <v>VENTA DE BIENES</v>
          </cell>
          <cell r="K245">
            <v>4659</v>
          </cell>
          <cell r="L245">
            <v>219</v>
          </cell>
          <cell r="M245">
            <v>235839030</v>
          </cell>
        </row>
        <row r="246">
          <cell r="A246">
            <v>860001965</v>
          </cell>
          <cell r="B246" t="str">
            <v>TEXTILES LAFAYETTE SAS</v>
          </cell>
          <cell r="C246" t="str">
            <v>+570000</v>
          </cell>
          <cell r="E246" t="str">
            <v>RECFACTURAE@LAFAYETTE.COM</v>
          </cell>
          <cell r="F246" t="str">
            <v/>
          </cell>
          <cell r="G246">
            <v>11</v>
          </cell>
          <cell r="H246" t="str">
            <v>001</v>
          </cell>
          <cell r="I246" t="str">
            <v>11001</v>
          </cell>
          <cell r="J246" t="str">
            <v>VENTA DE BIENES</v>
          </cell>
          <cell r="K246">
            <v>4659</v>
          </cell>
          <cell r="L246">
            <v>219</v>
          </cell>
          <cell r="M246">
            <v>21964477</v>
          </cell>
        </row>
        <row r="247">
          <cell r="A247">
            <v>860002067</v>
          </cell>
          <cell r="B247" t="str">
            <v>PROQUINAL S.A.S.</v>
          </cell>
          <cell r="C247" t="str">
            <v>+570000</v>
          </cell>
          <cell r="E247" t="str">
            <v>RECEPCION.FACTURAS@PROQUINAL.COM</v>
          </cell>
          <cell r="F247" t="str">
            <v>CL 11 A 34 50</v>
          </cell>
          <cell r="G247">
            <v>11</v>
          </cell>
          <cell r="H247" t="str">
            <v>001</v>
          </cell>
          <cell r="I247" t="str">
            <v>11001</v>
          </cell>
          <cell r="J247" t="str">
            <v>VENTA DE BIENES</v>
          </cell>
          <cell r="K247">
            <v>4659</v>
          </cell>
          <cell r="L247">
            <v>219</v>
          </cell>
          <cell r="M247">
            <v>7600271</v>
          </cell>
        </row>
        <row r="248">
          <cell r="A248">
            <v>860002130</v>
          </cell>
          <cell r="B248" t="str">
            <v>NESTLE DE COLOMBIA S.A</v>
          </cell>
          <cell r="C248" t="str">
            <v>+570000</v>
          </cell>
          <cell r="E248" t="str">
            <v>PROVEEDORES.ELECTRONICOS@CO.NESTLE.COM</v>
          </cell>
          <cell r="F248" t="str">
            <v>CR 2 CL 22</v>
          </cell>
          <cell r="G248" t="str">
            <v>76</v>
          </cell>
          <cell r="H248" t="str">
            <v>113</v>
          </cell>
          <cell r="I248" t="str">
            <v>76113</v>
          </cell>
          <cell r="J248" t="str">
            <v>VENTA DE BIENES</v>
          </cell>
          <cell r="K248">
            <v>4659</v>
          </cell>
          <cell r="L248">
            <v>219</v>
          </cell>
          <cell r="M248">
            <v>235566118</v>
          </cell>
        </row>
        <row r="249">
          <cell r="A249">
            <v>860002302</v>
          </cell>
          <cell r="B249" t="str">
            <v>ETERNIT COLOMBIANA S.A</v>
          </cell>
          <cell r="C249" t="str">
            <v>+570000</v>
          </cell>
          <cell r="E249" t="str">
            <v>FELECTRONICABO@ELEMENTIA.COM</v>
          </cell>
          <cell r="F249" t="str">
            <v>VIA 40 CR 67 ZN INDUSTRIAL LA LOMA 3</v>
          </cell>
          <cell r="G249" t="str">
            <v>08</v>
          </cell>
          <cell r="H249" t="str">
            <v>001</v>
          </cell>
          <cell r="I249" t="str">
            <v>08001</v>
          </cell>
          <cell r="J249" t="str">
            <v>VENTA DE BIENES</v>
          </cell>
          <cell r="K249">
            <v>4659</v>
          </cell>
          <cell r="L249">
            <v>219</v>
          </cell>
          <cell r="M249">
            <v>17532069</v>
          </cell>
        </row>
        <row r="250">
          <cell r="A250">
            <v>860002518</v>
          </cell>
          <cell r="B250" t="str">
            <v>UNILEVER ANDINA COLOMBIA LTDA</v>
          </cell>
          <cell r="C250" t="str">
            <v>+570000</v>
          </cell>
          <cell r="E250" t="str">
            <v>LUZ.BARCO@UNILEVER.COM</v>
          </cell>
          <cell r="F250" t="str">
            <v>AV EL DORADO 69 B 45 P 7</v>
          </cell>
          <cell r="G250">
            <v>11</v>
          </cell>
          <cell r="H250" t="str">
            <v>001</v>
          </cell>
          <cell r="I250" t="str">
            <v>11001</v>
          </cell>
          <cell r="J250" t="str">
            <v>VENTA DE BIENES</v>
          </cell>
          <cell r="K250">
            <v>4659</v>
          </cell>
          <cell r="L250">
            <v>219</v>
          </cell>
          <cell r="M250">
            <v>314325587</v>
          </cell>
        </row>
        <row r="251">
          <cell r="A251">
            <v>860002518</v>
          </cell>
          <cell r="B251" t="str">
            <v>UNILEVER ANDINA COLOMBIA LTDA</v>
          </cell>
          <cell r="C251" t="str">
            <v>+570000</v>
          </cell>
          <cell r="E251" t="str">
            <v>LUZ.BARCO@UNILEVER.COM</v>
          </cell>
          <cell r="F251" t="str">
            <v>AV EL DORADO 69 B 45 P 7</v>
          </cell>
          <cell r="G251">
            <v>11</v>
          </cell>
          <cell r="H251" t="str">
            <v>001</v>
          </cell>
          <cell r="I251" t="str">
            <v>11001</v>
          </cell>
          <cell r="J251" t="str">
            <v>TRANSPORTE</v>
          </cell>
          <cell r="K251">
            <v>3312</v>
          </cell>
          <cell r="L251">
            <v>334</v>
          </cell>
          <cell r="M251">
            <v>434720</v>
          </cell>
        </row>
        <row r="252">
          <cell r="A252">
            <v>860002523</v>
          </cell>
          <cell r="B252" t="str">
            <v>CEMEX COLOMBIA S.A.</v>
          </cell>
          <cell r="C252" t="str">
            <v>+570000</v>
          </cell>
          <cell r="E252" t="str">
            <v>FACTURAE@FACTURAENLINEA.CO</v>
          </cell>
          <cell r="F252" t="str">
            <v>CL 99 9A-54  P 8</v>
          </cell>
          <cell r="G252" t="str">
            <v>11</v>
          </cell>
          <cell r="H252" t="str">
            <v>001</v>
          </cell>
          <cell r="I252" t="str">
            <v>11001</v>
          </cell>
          <cell r="J252" t="str">
            <v>VENTA DE BIENES</v>
          </cell>
          <cell r="K252">
            <v>4659</v>
          </cell>
          <cell r="L252">
            <v>219</v>
          </cell>
          <cell r="M252">
            <v>166649788</v>
          </cell>
        </row>
        <row r="253">
          <cell r="A253">
            <v>860002536</v>
          </cell>
          <cell r="B253" t="str">
            <v>COMPAÑIA COLOMBIANA DE CERAMICA S A S</v>
          </cell>
          <cell r="C253" t="str">
            <v>16446700</v>
          </cell>
          <cell r="D253" t="str">
            <v>16446700</v>
          </cell>
          <cell r="E253" t="str">
            <v>rec_fact_cc@corona.com.co</v>
          </cell>
          <cell r="F253" t="str">
            <v>CL 100 8 A 55 TO C P 9</v>
          </cell>
          <cell r="G253" t="str">
            <v>25</v>
          </cell>
          <cell r="H253" t="str">
            <v>430</v>
          </cell>
          <cell r="I253" t="str">
            <v>25430</v>
          </cell>
          <cell r="J253" t="str">
            <v>VENTA DE BIENES</v>
          </cell>
          <cell r="K253">
            <v>4659</v>
          </cell>
          <cell r="L253">
            <v>219</v>
          </cell>
          <cell r="M253">
            <v>8943885</v>
          </cell>
        </row>
        <row r="254">
          <cell r="A254">
            <v>860002536</v>
          </cell>
          <cell r="B254" t="str">
            <v>COMPAÑIA COLOMBIANA DE CERAMICA S A S</v>
          </cell>
          <cell r="C254" t="str">
            <v>16446700</v>
          </cell>
          <cell r="D254" t="str">
            <v>16446700</v>
          </cell>
          <cell r="E254" t="str">
            <v>rec_fact_cc@corona.com.co</v>
          </cell>
          <cell r="F254" t="str">
            <v>CL 100 8 A 55 TO C P 9</v>
          </cell>
          <cell r="G254" t="str">
            <v>25</v>
          </cell>
          <cell r="H254" t="str">
            <v>430</v>
          </cell>
          <cell r="I254" t="str">
            <v>25430</v>
          </cell>
          <cell r="J254" t="str">
            <v>42 GRAVADOS</v>
          </cell>
          <cell r="K254">
            <v>4659</v>
          </cell>
          <cell r="L254">
            <v>219</v>
          </cell>
          <cell r="M254">
            <v>3870</v>
          </cell>
        </row>
        <row r="255">
          <cell r="A255">
            <v>860002537</v>
          </cell>
          <cell r="B255" t="str">
            <v>COMPANIA COLOMBIANA DE EMPAQUES BATES S.A.S</v>
          </cell>
          <cell r="C255" t="str">
            <v>2818800</v>
          </cell>
          <cell r="D255" t="str">
            <v>2818800</v>
          </cell>
          <cell r="E255" t="str">
            <v>PROVEEDORES@COLOMBATES.COM.CO</v>
          </cell>
          <cell r="F255" t="str">
            <v>CR 33A 24-59</v>
          </cell>
          <cell r="G255">
            <v>76</v>
          </cell>
          <cell r="H255" t="str">
            <v>520</v>
          </cell>
          <cell r="I255" t="str">
            <v>76520</v>
          </cell>
          <cell r="J255" t="str">
            <v>VENTA DE BIENES</v>
          </cell>
          <cell r="K255">
            <v>4659</v>
          </cell>
          <cell r="L255">
            <v>219</v>
          </cell>
          <cell r="M255">
            <v>20450280</v>
          </cell>
        </row>
        <row r="256">
          <cell r="A256">
            <v>860002553</v>
          </cell>
          <cell r="B256" t="str">
            <v>COMESTIBLES LA ROSA S.A</v>
          </cell>
          <cell r="C256" t="str">
            <v>+570000</v>
          </cell>
          <cell r="E256" t="str">
            <v>PROVEEDORES.ELECTRONICOS@CO.NESTLE.COM</v>
          </cell>
          <cell r="F256" t="str">
            <v>CL 29 10-215</v>
          </cell>
          <cell r="G256">
            <v>66</v>
          </cell>
          <cell r="H256" t="str">
            <v>170</v>
          </cell>
          <cell r="I256" t="str">
            <v>66170</v>
          </cell>
          <cell r="J256" t="str">
            <v>VENTA DE BIENES</v>
          </cell>
          <cell r="K256">
            <v>4659</v>
          </cell>
          <cell r="L256">
            <v>219</v>
          </cell>
          <cell r="M256">
            <v>14715280</v>
          </cell>
        </row>
        <row r="257">
          <cell r="A257">
            <v>860002964</v>
          </cell>
          <cell r="B257" t="str">
            <v>BANCO DE BOGOTA</v>
          </cell>
          <cell r="C257" t="str">
            <v>60136404000</v>
          </cell>
          <cell r="D257">
            <v>36404000</v>
          </cell>
          <cell r="E257" t="str">
            <v>convenioslibranzas@bancobogota.com.co</v>
          </cell>
          <cell r="F257" t="str">
            <v>Calle 36 N° 7 - 47</v>
          </cell>
          <cell r="G257" t="str">
            <v>11</v>
          </cell>
          <cell r="H257" t="str">
            <v>001</v>
          </cell>
          <cell r="I257" t="str">
            <v>11001</v>
          </cell>
          <cell r="J257" t="str">
            <v>42 GRAVADOS</v>
          </cell>
          <cell r="K257">
            <v>4659</v>
          </cell>
          <cell r="L257">
            <v>219</v>
          </cell>
          <cell r="M257">
            <v>65020</v>
          </cell>
        </row>
        <row r="258">
          <cell r="A258">
            <v>860003020</v>
          </cell>
          <cell r="B258" t="str">
            <v xml:space="preserve">BANCO BBVA COLOMBIA </v>
          </cell>
          <cell r="C258" t="str">
            <v>(601) 4010000</v>
          </cell>
          <cell r="D258">
            <v>4010000</v>
          </cell>
          <cell r="E258" t="str">
            <v>servicioalclientebbvavalores.co@bbva.com</v>
          </cell>
          <cell r="F258" t="str">
            <v>CALLE 7</v>
          </cell>
          <cell r="G258" t="str">
            <v>05</v>
          </cell>
          <cell r="H258" t="str">
            <v>001</v>
          </cell>
          <cell r="I258" t="str">
            <v>05001</v>
          </cell>
          <cell r="J258" t="str">
            <v>INTERESES</v>
          </cell>
          <cell r="K258">
            <v>6619</v>
          </cell>
          <cell r="L258">
            <v>402</v>
          </cell>
          <cell r="M258">
            <v>6554710</v>
          </cell>
        </row>
        <row r="259">
          <cell r="A259">
            <v>860003168</v>
          </cell>
          <cell r="B259" t="str">
            <v>IMOCOM S.A.S</v>
          </cell>
          <cell r="C259" t="str">
            <v>+570000</v>
          </cell>
          <cell r="E259" t="str">
            <v>RADICACION.TUFACTURA@COLSEIN.COM.CO</v>
          </cell>
          <cell r="F259" t="str">
            <v>CL 17 50-24</v>
          </cell>
          <cell r="G259" t="str">
            <v>08</v>
          </cell>
          <cell r="H259" t="str">
            <v>001</v>
          </cell>
          <cell r="I259" t="str">
            <v>08001</v>
          </cell>
          <cell r="J259" t="str">
            <v>VENTA DE BIENES</v>
          </cell>
          <cell r="K259">
            <v>4659</v>
          </cell>
          <cell r="L259">
            <v>219</v>
          </cell>
          <cell r="M259">
            <v>3678480</v>
          </cell>
        </row>
        <row r="260">
          <cell r="A260">
            <v>860003563</v>
          </cell>
          <cell r="B260" t="str">
            <v>HITACHI ENERGY COLOMBIA S.A.S.</v>
          </cell>
          <cell r="C260" t="str">
            <v>3136500</v>
          </cell>
          <cell r="D260" t="str">
            <v>3136500</v>
          </cell>
          <cell r="E260" t="str">
            <v>RADICACION.TUFACTURA@COLSEIN.COM.CO</v>
          </cell>
          <cell r="F260" t="str">
            <v>CL16 15 124</v>
          </cell>
          <cell r="G260">
            <v>66</v>
          </cell>
          <cell r="H260" t="str">
            <v>170</v>
          </cell>
          <cell r="I260" t="str">
            <v>66170</v>
          </cell>
          <cell r="J260" t="str">
            <v>VENTA DE BIENES</v>
          </cell>
          <cell r="K260">
            <v>4659</v>
          </cell>
          <cell r="L260">
            <v>219</v>
          </cell>
          <cell r="M260">
            <v>80475400</v>
          </cell>
        </row>
        <row r="261">
          <cell r="A261">
            <v>860003831</v>
          </cell>
          <cell r="B261" t="str">
            <v>PRODUCTOS RAMO SAS</v>
          </cell>
          <cell r="C261" t="str">
            <v>+570000</v>
          </cell>
          <cell r="E261" t="str">
            <v>FACTURAELECTRONICA@RAMO.COM.CO</v>
          </cell>
          <cell r="F261" t="str">
            <v>CR 27 A 68-50</v>
          </cell>
          <cell r="G261">
            <v>25</v>
          </cell>
          <cell r="H261" t="str">
            <v>473</v>
          </cell>
          <cell r="I261" t="str">
            <v>25473</v>
          </cell>
          <cell r="J261" t="str">
            <v>VENTA DE BIENES</v>
          </cell>
          <cell r="K261">
            <v>4659</v>
          </cell>
          <cell r="L261">
            <v>219</v>
          </cell>
          <cell r="M261">
            <v>44604745</v>
          </cell>
        </row>
        <row r="262">
          <cell r="A262">
            <v>860004922</v>
          </cell>
          <cell r="B262" t="str">
            <v>PRODUCTOS NATURALES DE LA SABANA S.A.</v>
          </cell>
          <cell r="C262" t="str">
            <v>+5700000</v>
          </cell>
          <cell r="E262" t="str">
            <v>RECEPCIONFE@ALQUERIA.COM.CO</v>
          </cell>
          <cell r="F262" t="str">
            <v>KM 5 VIA TABIO</v>
          </cell>
          <cell r="G262" t="str">
            <v>25</v>
          </cell>
          <cell r="H262" t="str">
            <v>126</v>
          </cell>
          <cell r="I262" t="str">
            <v>25126</v>
          </cell>
          <cell r="J262" t="str">
            <v>VENTA DE BIENES</v>
          </cell>
          <cell r="K262">
            <v>4659</v>
          </cell>
          <cell r="L262">
            <v>219</v>
          </cell>
          <cell r="M262">
            <v>1399359</v>
          </cell>
        </row>
        <row r="263">
          <cell r="A263">
            <v>860005050</v>
          </cell>
          <cell r="B263" t="str">
            <v>MEXICHEM COLOMBIA SAS</v>
          </cell>
          <cell r="C263" t="str">
            <v>+570000</v>
          </cell>
          <cell r="E263" t="str">
            <v>RADICACION.TUFACTURA@COLSEIN.COM.CO</v>
          </cell>
          <cell r="F263" t="str">
            <v>AUT SUR 71 75 BRR PERDOMO</v>
          </cell>
          <cell r="G263" t="str">
            <v>11</v>
          </cell>
          <cell r="H263" t="str">
            <v>001</v>
          </cell>
          <cell r="I263" t="str">
            <v>11001</v>
          </cell>
          <cell r="J263" t="str">
            <v>VENTA DE BIENES</v>
          </cell>
          <cell r="K263">
            <v>4659</v>
          </cell>
          <cell r="L263">
            <v>219</v>
          </cell>
          <cell r="M263">
            <v>3755682</v>
          </cell>
        </row>
        <row r="264">
          <cell r="A264">
            <v>860005062</v>
          </cell>
          <cell r="B264" t="str">
            <v>QUIMICA INTERNACIONAL S.A</v>
          </cell>
          <cell r="C264" t="str">
            <v>+570000</v>
          </cell>
          <cell r="E264" t="str">
            <v>RECEPCIONFACTURAS@QUINTAL.COM.CO</v>
          </cell>
          <cell r="F264" t="str">
            <v>VIA 40 77B-20</v>
          </cell>
          <cell r="G264" t="str">
            <v>08</v>
          </cell>
          <cell r="H264" t="str">
            <v>001</v>
          </cell>
          <cell r="I264" t="str">
            <v>08001</v>
          </cell>
          <cell r="J264" t="str">
            <v>VENTA DE BIENES</v>
          </cell>
          <cell r="K264">
            <v>4659</v>
          </cell>
          <cell r="L264">
            <v>219</v>
          </cell>
          <cell r="M264">
            <v>2496240</v>
          </cell>
        </row>
        <row r="265">
          <cell r="A265">
            <v>860005224</v>
          </cell>
          <cell r="B265" t="str">
            <v>BAVARIA &amp; CIA S C A</v>
          </cell>
          <cell r="C265" t="str">
            <v>6389000</v>
          </cell>
          <cell r="D265" t="str">
            <v>6389000</v>
          </cell>
          <cell r="E265" t="str">
            <v>Bavaria.fe@ab-inbev.com</v>
          </cell>
          <cell r="F265" t="str">
            <v>AUT NORTE KM 30 VIA TOCANCIPA</v>
          </cell>
          <cell r="G265">
            <v>25</v>
          </cell>
          <cell r="H265" t="str">
            <v>817</v>
          </cell>
          <cell r="I265" t="str">
            <v>25817</v>
          </cell>
          <cell r="J265" t="str">
            <v>VENTA DE BIENES</v>
          </cell>
          <cell r="K265">
            <v>4659</v>
          </cell>
          <cell r="L265">
            <v>219</v>
          </cell>
          <cell r="M265">
            <v>291392970</v>
          </cell>
        </row>
        <row r="266">
          <cell r="A266">
            <v>860005224</v>
          </cell>
          <cell r="B266" t="str">
            <v>BAVARIA &amp; CIA S C A</v>
          </cell>
          <cell r="C266" t="str">
            <v>6389000</v>
          </cell>
          <cell r="D266" t="str">
            <v>6389000</v>
          </cell>
          <cell r="E266" t="str">
            <v>Bavaria.fe@ab-inbev.com</v>
          </cell>
          <cell r="F266" t="str">
            <v>AUT NORTE KM 30 VIA TOCANCIPA</v>
          </cell>
          <cell r="G266">
            <v>25</v>
          </cell>
          <cell r="H266" t="str">
            <v>817</v>
          </cell>
          <cell r="I266" t="str">
            <v>25817</v>
          </cell>
          <cell r="J266" t="str">
            <v>42 GRAVADOS</v>
          </cell>
          <cell r="K266">
            <v>4659</v>
          </cell>
          <cell r="L266">
            <v>219</v>
          </cell>
          <cell r="M266">
            <v>687700</v>
          </cell>
        </row>
        <row r="267">
          <cell r="A267">
            <v>860005224</v>
          </cell>
          <cell r="B267" t="str">
            <v>BAVARIA &amp; CIA S C A</v>
          </cell>
          <cell r="C267" t="str">
            <v>6389000</v>
          </cell>
          <cell r="D267" t="str">
            <v>6389000</v>
          </cell>
          <cell r="E267" t="str">
            <v>Bavaria.fe@ab-inbev.com</v>
          </cell>
          <cell r="F267" t="str">
            <v>AUT NORTE KM 30 VIA TOCANCIPA</v>
          </cell>
          <cell r="G267">
            <v>25</v>
          </cell>
          <cell r="H267" t="str">
            <v>817</v>
          </cell>
          <cell r="I267" t="str">
            <v>25817</v>
          </cell>
          <cell r="J267" t="str">
            <v>SERV MTTO</v>
          </cell>
          <cell r="K267">
            <v>3312</v>
          </cell>
          <cell r="L267">
            <v>334</v>
          </cell>
          <cell r="M267">
            <v>2242500</v>
          </cell>
        </row>
        <row r="268">
          <cell r="A268">
            <v>860005265</v>
          </cell>
          <cell r="B268" t="str">
            <v>GASEOSAS COLOMBIANAS S.A.S</v>
          </cell>
          <cell r="C268" t="str">
            <v>+570000</v>
          </cell>
          <cell r="E268" t="str">
            <v>recepcionfe@gascol.com.co</v>
          </cell>
          <cell r="F268" t="str">
            <v>AK 39 17 40</v>
          </cell>
          <cell r="G268">
            <v>11</v>
          </cell>
          <cell r="H268" t="str">
            <v>001</v>
          </cell>
          <cell r="I268" t="str">
            <v>11001</v>
          </cell>
          <cell r="J268" t="str">
            <v>VENTA DE BIENES</v>
          </cell>
          <cell r="K268">
            <v>4659</v>
          </cell>
          <cell r="L268">
            <v>219</v>
          </cell>
          <cell r="M268">
            <v>28651940</v>
          </cell>
        </row>
        <row r="269">
          <cell r="A269">
            <v>860005669</v>
          </cell>
          <cell r="B269" t="str">
            <v>LEGRAND COLOMBIA S.A</v>
          </cell>
          <cell r="C269" t="str">
            <v>+570000</v>
          </cell>
          <cell r="E269" t="str">
            <v>RECEPCION.FACTURAS@LEGRAND.COM.CO</v>
          </cell>
          <cell r="F269" t="str">
            <v>CL 65 93-91</v>
          </cell>
          <cell r="G269">
            <v>11</v>
          </cell>
          <cell r="H269" t="str">
            <v>001</v>
          </cell>
          <cell r="I269" t="str">
            <v>11001</v>
          </cell>
          <cell r="J269" t="str">
            <v>VENTA DE BIENES</v>
          </cell>
          <cell r="K269">
            <v>4659</v>
          </cell>
          <cell r="L269">
            <v>219</v>
          </cell>
          <cell r="M269">
            <v>22552455</v>
          </cell>
        </row>
        <row r="270">
          <cell r="A270">
            <v>860006160</v>
          </cell>
          <cell r="B270" t="str">
            <v xml:space="preserve">PLASTILENE SAS </v>
          </cell>
          <cell r="C270" t="str">
            <v>7305900</v>
          </cell>
          <cell r="D270" t="str">
            <v>7305900</v>
          </cell>
          <cell r="E270" t="str">
            <v>RFE_PLASTILENE@PLASTILENE.NET</v>
          </cell>
          <cell r="F270" t="str">
            <v>CALLE 57R SUR 73I 75 LA ESTANCIA</v>
          </cell>
          <cell r="G270">
            <v>11</v>
          </cell>
          <cell r="H270" t="str">
            <v>001</v>
          </cell>
          <cell r="I270" t="str">
            <v>11001</v>
          </cell>
          <cell r="J270" t="str">
            <v>VENTA DE BIENES</v>
          </cell>
          <cell r="K270">
            <v>4659</v>
          </cell>
          <cell r="L270">
            <v>219</v>
          </cell>
          <cell r="M270">
            <v>264059085</v>
          </cell>
        </row>
        <row r="271">
          <cell r="A271">
            <v>860006333</v>
          </cell>
          <cell r="B271" t="str">
            <v>YARA COLOMBIA S.A</v>
          </cell>
          <cell r="C271" t="str">
            <v>+570000</v>
          </cell>
          <cell r="E271" t="str">
            <v>RADICACION.TUFACTURA@COLSEIN.COM.CO</v>
          </cell>
          <cell r="F271" t="str">
            <v>PR-112 VIA Buenaventura  Buga,</v>
          </cell>
          <cell r="G271">
            <v>76</v>
          </cell>
          <cell r="H271" t="str">
            <v>890</v>
          </cell>
          <cell r="I271" t="str">
            <v>76890</v>
          </cell>
          <cell r="J271" t="str">
            <v>VENTA DE BIENES</v>
          </cell>
          <cell r="K271">
            <v>4659</v>
          </cell>
          <cell r="L271">
            <v>219</v>
          </cell>
          <cell r="M271">
            <v>58900943</v>
          </cell>
        </row>
        <row r="272">
          <cell r="A272">
            <v>860006333</v>
          </cell>
          <cell r="B272" t="str">
            <v>YARA COLOMBIA S.A</v>
          </cell>
          <cell r="C272" t="str">
            <v>+570000</v>
          </cell>
          <cell r="E272" t="str">
            <v>RADICACION.TUFACTURA@COLSEIN.COM.CO</v>
          </cell>
          <cell r="F272" t="str">
            <v>PR-112 VIA Buenaventura  Buga,</v>
          </cell>
          <cell r="G272">
            <v>76</v>
          </cell>
          <cell r="H272" t="str">
            <v>890</v>
          </cell>
          <cell r="I272" t="str">
            <v>76890</v>
          </cell>
          <cell r="J272" t="str">
            <v>TRANSPORTE</v>
          </cell>
          <cell r="K272">
            <v>3312</v>
          </cell>
          <cell r="L272">
            <v>334</v>
          </cell>
          <cell r="M272">
            <v>16000</v>
          </cell>
        </row>
        <row r="273">
          <cell r="A273">
            <v>860007277</v>
          </cell>
          <cell r="B273" t="str">
            <v>MEXICHEM RESINAS COLOMBIA S.A.S.</v>
          </cell>
          <cell r="C273" t="str">
            <v>+570000</v>
          </cell>
          <cell r="E273" t="str">
            <v>FE.MRC@MEXICHEM.COM</v>
          </cell>
          <cell r="F273" t="str">
            <v>ZN  INDUSTRIAL MAMONAL KM 8</v>
          </cell>
          <cell r="G273" t="str">
            <v>13</v>
          </cell>
          <cell r="H273" t="str">
            <v>001</v>
          </cell>
          <cell r="I273" t="str">
            <v>13001</v>
          </cell>
          <cell r="J273" t="str">
            <v>VENTA DE BIENES</v>
          </cell>
          <cell r="K273">
            <v>4659</v>
          </cell>
          <cell r="L273">
            <v>219</v>
          </cell>
          <cell r="M273">
            <v>33067053</v>
          </cell>
        </row>
        <row r="274">
          <cell r="A274">
            <v>860007538</v>
          </cell>
          <cell r="B274" t="str">
            <v>FEDERACION NACIONAL DE CAFETEROS DE COLOMBIA</v>
          </cell>
          <cell r="C274" t="str">
            <v>+570000</v>
          </cell>
          <cell r="E274" t="str">
            <v>FACELECTRONICA.BUENCAFE@CAFEDECOLOMBIA.COM</v>
          </cell>
          <cell r="F274" t="str">
            <v>CR 4 16-50</v>
          </cell>
          <cell r="G274" t="str">
            <v>17</v>
          </cell>
          <cell r="H274" t="str">
            <v>174</v>
          </cell>
          <cell r="I274" t="str">
            <v>17174</v>
          </cell>
          <cell r="J274" t="str">
            <v>VENTA DE BIENES</v>
          </cell>
          <cell r="K274">
            <v>4659</v>
          </cell>
          <cell r="L274">
            <v>219</v>
          </cell>
          <cell r="M274">
            <v>23545450</v>
          </cell>
        </row>
        <row r="275">
          <cell r="A275">
            <v>860007668</v>
          </cell>
          <cell r="B275" t="str">
            <v>ALAMBRES Y MALLAS S.A.S</v>
          </cell>
          <cell r="C275" t="str">
            <v>311 2813463</v>
          </cell>
          <cell r="D275">
            <v>3112813463</v>
          </cell>
          <cell r="E275" t="str">
            <v>recepcion_fe2@almasa.com.co</v>
          </cell>
          <cell r="F275" t="str">
            <v>CR 68 D 39 F 58 SUR</v>
          </cell>
          <cell r="G275" t="str">
            <v>11</v>
          </cell>
          <cell r="H275" t="str">
            <v>001</v>
          </cell>
          <cell r="I275" t="str">
            <v>11001</v>
          </cell>
          <cell r="J275" t="str">
            <v>VENTA DE BIENES</v>
          </cell>
          <cell r="K275">
            <v>4659</v>
          </cell>
          <cell r="L275">
            <v>219</v>
          </cell>
          <cell r="M275">
            <v>2825000</v>
          </cell>
        </row>
        <row r="276">
          <cell r="A276">
            <v>860008448</v>
          </cell>
          <cell r="B276" t="str">
            <v>MEALS MERCADEO DE ALIMENTOS DE COLOMBIA S.A.S</v>
          </cell>
          <cell r="C276" t="str">
            <v>+570000</v>
          </cell>
          <cell r="E276" t="str">
            <v>RECEPCION_FE@CREMHELADO.COM.CO</v>
          </cell>
          <cell r="F276" t="str">
            <v>KM 13 VIA LA TEBAIDA</v>
          </cell>
          <cell r="G276" t="str">
            <v>63</v>
          </cell>
          <cell r="H276" t="str">
            <v>001</v>
          </cell>
          <cell r="I276" t="str">
            <v>63001</v>
          </cell>
          <cell r="J276" t="str">
            <v>VENTA DE BIENES</v>
          </cell>
          <cell r="K276">
            <v>4659</v>
          </cell>
          <cell r="L276">
            <v>219</v>
          </cell>
          <cell r="M276">
            <v>3667000</v>
          </cell>
        </row>
        <row r="277">
          <cell r="A277">
            <v>860008547</v>
          </cell>
          <cell r="B277" t="str">
            <v>GILPA IMPRESORES S.A</v>
          </cell>
          <cell r="C277" t="str">
            <v>+570000</v>
          </cell>
          <cell r="E277" t="str">
            <v>ELECTRONICA@GILPAIMPRESORES.COM</v>
          </cell>
          <cell r="F277" t="str">
            <v>CL 24C 94 51</v>
          </cell>
          <cell r="G277">
            <v>11</v>
          </cell>
          <cell r="H277" t="str">
            <v>001</v>
          </cell>
          <cell r="I277" t="str">
            <v>11001</v>
          </cell>
          <cell r="J277" t="str">
            <v>VENTA DE BIENES</v>
          </cell>
          <cell r="K277">
            <v>4659</v>
          </cell>
          <cell r="L277">
            <v>219</v>
          </cell>
          <cell r="M277">
            <v>17126181</v>
          </cell>
        </row>
        <row r="278">
          <cell r="A278">
            <v>860009008</v>
          </cell>
          <cell r="B278" t="str">
            <v>FIBERGLASS COLOMBIA S.A.</v>
          </cell>
          <cell r="C278" t="str">
            <v>+570000</v>
          </cell>
          <cell r="E278" t="str">
            <v>860009008@FACTUREINBOX.CO</v>
          </cell>
          <cell r="F278" t="str">
            <v>CLL 3  3 49 ESTE</v>
          </cell>
          <cell r="G278">
            <v>25</v>
          </cell>
          <cell r="H278" t="str">
            <v>473</v>
          </cell>
          <cell r="I278" t="str">
            <v>25473</v>
          </cell>
          <cell r="J278" t="str">
            <v>VENTA DE BIENES</v>
          </cell>
          <cell r="K278">
            <v>4659</v>
          </cell>
          <cell r="L278">
            <v>219</v>
          </cell>
          <cell r="M278">
            <v>7768999</v>
          </cell>
        </row>
        <row r="279">
          <cell r="A279">
            <v>860009808</v>
          </cell>
          <cell r="B279" t="str">
            <v>HOLCIM ( COLOMBIA) S.A</v>
          </cell>
          <cell r="C279" t="str">
            <v>+570000</v>
          </cell>
          <cell r="E279" t="str">
            <v>RECEP.FACTURA.COL@LAFARGEHOLCIM.COM</v>
          </cell>
          <cell r="F279" t="str">
            <v>CL 113 7 45 P 12 TO B OF 1201</v>
          </cell>
          <cell r="G279" t="str">
            <v>11</v>
          </cell>
          <cell r="H279" t="str">
            <v>001</v>
          </cell>
          <cell r="I279" t="str">
            <v>11001</v>
          </cell>
          <cell r="J279" t="str">
            <v>VENTA DE BIENES</v>
          </cell>
          <cell r="K279">
            <v>4659</v>
          </cell>
          <cell r="L279">
            <v>219</v>
          </cell>
          <cell r="M279">
            <v>8635036</v>
          </cell>
        </row>
        <row r="280">
          <cell r="A280">
            <v>860009873</v>
          </cell>
          <cell r="B280" t="str">
            <v>SOCIEDAD PORTUARIA PUERTO BAHIA S A</v>
          </cell>
          <cell r="C280" t="str">
            <v>+570000</v>
          </cell>
          <cell r="E280" t="str">
            <v>RADICACION.TUFACTURA@COLSEIN.COM.CO</v>
          </cell>
          <cell r="F280" t="str">
            <v>BARU CL 7 CR 5-608 SEC LA PULGA</v>
          </cell>
          <cell r="G280">
            <v>13</v>
          </cell>
          <cell r="H280" t="str">
            <v>001</v>
          </cell>
          <cell r="I280" t="str">
            <v>13001</v>
          </cell>
          <cell r="J280" t="str">
            <v>VENTA DE BIENES</v>
          </cell>
          <cell r="K280">
            <v>4659</v>
          </cell>
          <cell r="L280">
            <v>219</v>
          </cell>
          <cell r="M280">
            <v>22474594</v>
          </cell>
        </row>
        <row r="281">
          <cell r="A281">
            <v>860012357</v>
          </cell>
          <cell r="B281" t="str">
            <v>UNIVERSIDAD SANTO TOMAS</v>
          </cell>
          <cell r="C281">
            <v>5878922</v>
          </cell>
          <cell r="D281">
            <v>5878922</v>
          </cell>
          <cell r="E281" t="str">
            <v>contabilidadbogota@usta.edu.co</v>
          </cell>
          <cell r="F281" t="str">
            <v>CR 9 51 23</v>
          </cell>
          <cell r="G281">
            <v>11</v>
          </cell>
          <cell r="H281" t="str">
            <v>001</v>
          </cell>
          <cell r="I281" t="str">
            <v>11001</v>
          </cell>
          <cell r="J281" t="str">
            <v>VENTA DE BIENES</v>
          </cell>
          <cell r="K281">
            <v>4659</v>
          </cell>
          <cell r="L281">
            <v>219</v>
          </cell>
          <cell r="M281">
            <v>3530929</v>
          </cell>
        </row>
        <row r="282">
          <cell r="A282">
            <v>860013704</v>
          </cell>
          <cell r="B282" t="str">
            <v>GASES INDUSTRIALES DE COLOMBIA SA</v>
          </cell>
          <cell r="C282" t="str">
            <v>01-800-0514300</v>
          </cell>
          <cell r="E282" t="str">
            <v>notcryog@airproducts.com</v>
          </cell>
          <cell r="F282" t="str">
            <v>Calle 26 sur # 48-41 Piso 7 - Oficina 701.</v>
          </cell>
          <cell r="G282" t="str">
            <v>05</v>
          </cell>
          <cell r="H282" t="str">
            <v>266</v>
          </cell>
          <cell r="I282" t="str">
            <v>05266</v>
          </cell>
          <cell r="J282" t="str">
            <v>VENTA DE BIENES</v>
          </cell>
          <cell r="K282">
            <v>4659</v>
          </cell>
          <cell r="L282">
            <v>219</v>
          </cell>
          <cell r="M282">
            <v>98125685</v>
          </cell>
        </row>
        <row r="283">
          <cell r="A283">
            <v>860013771</v>
          </cell>
          <cell r="B283" t="str">
            <v>AJOVER DARNEL S A S</v>
          </cell>
          <cell r="C283" t="str">
            <v>+570000</v>
          </cell>
          <cell r="E283" t="str">
            <v>facturacion.electronica@Ajover.com</v>
          </cell>
          <cell r="F283" t="str">
            <v>KM 11 VIA MAMONAL</v>
          </cell>
          <cell r="G283">
            <v>13</v>
          </cell>
          <cell r="H283" t="str">
            <v>001</v>
          </cell>
          <cell r="I283" t="str">
            <v>13001</v>
          </cell>
          <cell r="J283" t="str">
            <v>VENTA DE BIENES</v>
          </cell>
          <cell r="K283">
            <v>4659</v>
          </cell>
          <cell r="L283">
            <v>219</v>
          </cell>
          <cell r="M283">
            <v>41004347</v>
          </cell>
        </row>
        <row r="284">
          <cell r="A284">
            <v>860015753</v>
          </cell>
          <cell r="B284" t="str">
            <v>COLOMBIANA KIMBERLY COLPAPEL S.A.S</v>
          </cell>
          <cell r="C284" t="str">
            <v>+570000</v>
          </cell>
          <cell r="E284" t="str">
            <v>FACTURACION.RECEPCION@KCC.COM</v>
          </cell>
          <cell r="F284" t="str">
            <v>CL 20 21 602</v>
          </cell>
          <cell r="G284" t="str">
            <v>05</v>
          </cell>
          <cell r="H284" t="str">
            <v>079</v>
          </cell>
          <cell r="I284" t="str">
            <v>05079</v>
          </cell>
          <cell r="J284" t="str">
            <v>VENTA DE BIENES</v>
          </cell>
          <cell r="K284">
            <v>4659</v>
          </cell>
          <cell r="L284">
            <v>219</v>
          </cell>
          <cell r="M284">
            <v>59651766</v>
          </cell>
        </row>
        <row r="285">
          <cell r="A285">
            <v>860016310</v>
          </cell>
          <cell r="B285" t="str">
            <v>PRODUCCIONES GENERALES SA</v>
          </cell>
          <cell r="C285">
            <v>7940030</v>
          </cell>
          <cell r="D285">
            <v>7940030</v>
          </cell>
          <cell r="E285" t="str">
            <v>contraloria.jefe@progen.com.co</v>
          </cell>
          <cell r="F285" t="str">
            <v>CR 3 56 07 ZONA INDUSTRIAL DE CAZUCA</v>
          </cell>
          <cell r="G285" t="str">
            <v>25</v>
          </cell>
          <cell r="H285" t="str">
            <v>754</v>
          </cell>
          <cell r="I285" t="str">
            <v>25754</v>
          </cell>
          <cell r="J285" t="str">
            <v>VENTA DE BIENES</v>
          </cell>
          <cell r="K285">
            <v>4659</v>
          </cell>
          <cell r="L285">
            <v>219</v>
          </cell>
          <cell r="M285">
            <v>3068747</v>
          </cell>
        </row>
        <row r="286">
          <cell r="A286">
            <v>860020308</v>
          </cell>
          <cell r="B286" t="str">
            <v>COMESTIBLES RICOS S.A.</v>
          </cell>
          <cell r="C286" t="str">
            <v>+570000</v>
          </cell>
          <cell r="E286" t="str">
            <v>FACTURACIONELECTRONICA@SUPERRICAS.COM</v>
          </cell>
          <cell r="F286" t="str">
            <v>CL 17 D 116 15 BRR FONTIBON BOHIOS</v>
          </cell>
          <cell r="G286">
            <v>11</v>
          </cell>
          <cell r="H286" t="str">
            <v>001</v>
          </cell>
          <cell r="I286" t="str">
            <v>11001</v>
          </cell>
          <cell r="J286" t="str">
            <v>VENTA DE BIENES</v>
          </cell>
          <cell r="K286">
            <v>4659</v>
          </cell>
          <cell r="L286">
            <v>219</v>
          </cell>
          <cell r="M286">
            <v>18579020</v>
          </cell>
        </row>
        <row r="287">
          <cell r="A287">
            <v>860023525</v>
          </cell>
          <cell r="B287" t="str">
            <v>GREIF COLOMBIA S.A.S.</v>
          </cell>
          <cell r="C287" t="str">
            <v>318734614</v>
          </cell>
          <cell r="D287" t="str">
            <v>318734614</v>
          </cell>
          <cell r="E287" t="str">
            <v>info@greif.com</v>
          </cell>
          <cell r="F287" t="str">
            <v>PARQUE INDUSTRIAL LA FLORIDA BODEGA 5 KILOMETRO 1.5 AUTOPISTA MEDELLIN COTA</v>
          </cell>
          <cell r="G287" t="str">
            <v>25</v>
          </cell>
          <cell r="H287" t="str">
            <v>214</v>
          </cell>
          <cell r="I287" t="str">
            <v>25214</v>
          </cell>
          <cell r="J287" t="str">
            <v>VENTA DE BIENES</v>
          </cell>
          <cell r="K287">
            <v>4659</v>
          </cell>
          <cell r="L287">
            <v>219</v>
          </cell>
          <cell r="M287">
            <v>7604000</v>
          </cell>
        </row>
        <row r="288">
          <cell r="A288">
            <v>860025792</v>
          </cell>
          <cell r="B288" t="str">
            <v>RENAULT SOCIEDAD DE FABRICACION DE AUTOMOTORES S.A.S.</v>
          </cell>
          <cell r="C288" t="str">
            <v>+570000</v>
          </cell>
          <cell r="E288" t="str">
            <v>facturaerenault@facturaenlinea.co</v>
          </cell>
          <cell r="F288" t="str">
            <v>CR 49 39 SUR 100</v>
          </cell>
          <cell r="G288" t="str">
            <v>05</v>
          </cell>
          <cell r="H288" t="str">
            <v>266</v>
          </cell>
          <cell r="I288" t="str">
            <v>05266</v>
          </cell>
          <cell r="J288" t="str">
            <v>VENTA DE BIENES</v>
          </cell>
          <cell r="K288">
            <v>4659</v>
          </cell>
          <cell r="L288">
            <v>219</v>
          </cell>
          <cell r="M288">
            <v>27637910</v>
          </cell>
        </row>
        <row r="289">
          <cell r="A289">
            <v>860025900</v>
          </cell>
          <cell r="B289" t="str">
            <v>ALPINA  PRODUCTOS ALIMENTICIOS S.A. BIC</v>
          </cell>
          <cell r="C289" t="str">
            <v>+570000</v>
          </cell>
          <cell r="E289" t="str">
            <v>COL_INTERCAMBIO@EINVOICING.SIGNATURE-CLOUD.COM</v>
          </cell>
          <cell r="F289" t="str">
            <v>CR 63 15-61</v>
          </cell>
          <cell r="G289" t="str">
            <v>25</v>
          </cell>
          <cell r="H289" t="str">
            <v>758</v>
          </cell>
          <cell r="I289" t="str">
            <v>25758</v>
          </cell>
          <cell r="J289" t="str">
            <v>VENTA DE BIENES</v>
          </cell>
          <cell r="K289">
            <v>4659</v>
          </cell>
          <cell r="L289">
            <v>219</v>
          </cell>
          <cell r="M289">
            <v>9310475</v>
          </cell>
        </row>
        <row r="290">
          <cell r="A290">
            <v>860026753</v>
          </cell>
          <cell r="B290" t="str">
            <v>ACESCO COLOMBIA S.A.S.</v>
          </cell>
          <cell r="C290" t="str">
            <v>+570000</v>
          </cell>
          <cell r="E290" t="str">
            <v>FACTELECTRONICAPROVEEDORES@ACESCO.COM</v>
          </cell>
          <cell r="F290" t="str">
            <v>KM 3 VIA A MALAMBO SABANAGRANDE</v>
          </cell>
          <cell r="G290" t="str">
            <v>08</v>
          </cell>
          <cell r="H290" t="str">
            <v>433</v>
          </cell>
          <cell r="I290" t="str">
            <v>08433</v>
          </cell>
          <cell r="J290" t="str">
            <v>VENTA DE BIENES</v>
          </cell>
          <cell r="K290">
            <v>4659</v>
          </cell>
          <cell r="L290">
            <v>219</v>
          </cell>
          <cell r="M290">
            <v>21858093</v>
          </cell>
        </row>
        <row r="291">
          <cell r="A291">
            <v>860030605</v>
          </cell>
          <cell r="B291" t="str">
            <v>FIRMENICH S.A.</v>
          </cell>
          <cell r="C291" t="str">
            <v>+570000</v>
          </cell>
          <cell r="E291" t="str">
            <v>AP.FIDECO@FIRMENICH.COM</v>
          </cell>
          <cell r="F291" t="str">
            <v>AV ELDORADO  98 43</v>
          </cell>
          <cell r="G291">
            <v>11</v>
          </cell>
          <cell r="H291" t="str">
            <v>001</v>
          </cell>
          <cell r="I291" t="str">
            <v>11001</v>
          </cell>
          <cell r="J291" t="str">
            <v>VENTA DE BIENES</v>
          </cell>
          <cell r="K291">
            <v>4659</v>
          </cell>
          <cell r="L291">
            <v>219</v>
          </cell>
          <cell r="M291">
            <v>13354516</v>
          </cell>
        </row>
        <row r="292">
          <cell r="A292">
            <v>860032550</v>
          </cell>
          <cell r="B292" t="str">
            <v>ALFAGRES S.A. - EN REORGANIZACION</v>
          </cell>
          <cell r="C292" t="str">
            <v>+570000</v>
          </cell>
          <cell r="E292" t="str">
            <v>RECEPCION.ELECTRONICA@ALFA.COM.CO</v>
          </cell>
          <cell r="F292" t="str">
            <v>AUT SUR KM 13</v>
          </cell>
          <cell r="G292" t="str">
            <v>25</v>
          </cell>
          <cell r="H292" t="str">
            <v>754</v>
          </cell>
          <cell r="I292" t="str">
            <v>25754</v>
          </cell>
          <cell r="J292" t="str">
            <v>VENTA DE BIENES</v>
          </cell>
          <cell r="K292">
            <v>4659</v>
          </cell>
          <cell r="L292">
            <v>219</v>
          </cell>
          <cell r="M292">
            <v>15484071</v>
          </cell>
        </row>
        <row r="293">
          <cell r="A293">
            <v>860034313</v>
          </cell>
          <cell r="B293" t="str">
            <v>BANCO DAVIVIENDA S.A.</v>
          </cell>
          <cell r="C293" t="str">
            <v>3383838</v>
          </cell>
          <cell r="D293" t="str">
            <v>3383838</v>
          </cell>
          <cell r="E293" t="str">
            <v>cempresarial@davivienda.com</v>
          </cell>
          <cell r="F293" t="str">
            <v>CR  7  31 10 P 3</v>
          </cell>
          <cell r="G293" t="str">
            <v>11</v>
          </cell>
          <cell r="H293" t="str">
            <v>001</v>
          </cell>
          <cell r="I293" t="str">
            <v>11001</v>
          </cell>
          <cell r="J293" t="str">
            <v>INTERESES</v>
          </cell>
          <cell r="K293">
            <v>6619</v>
          </cell>
          <cell r="L293">
            <v>402</v>
          </cell>
          <cell r="M293">
            <v>61596000</v>
          </cell>
        </row>
        <row r="294">
          <cell r="A294">
            <v>860034812</v>
          </cell>
          <cell r="B294" t="str">
            <v>PELICULAS EXTRUIDAS S.A.S PELEX S.A.S</v>
          </cell>
          <cell r="C294" t="str">
            <v>+570000</v>
          </cell>
          <cell r="E294" t="str">
            <v>RECEPCIONF@PELEX.COM.CO</v>
          </cell>
          <cell r="F294" t="str">
            <v>CR 63 17-75 BRR ZN INDUSTRIAL PUENTE ARANDA</v>
          </cell>
          <cell r="G294" t="str">
            <v>11</v>
          </cell>
          <cell r="H294" t="str">
            <v>001</v>
          </cell>
          <cell r="I294" t="str">
            <v>11001</v>
          </cell>
          <cell r="J294" t="str">
            <v>VENTA DE BIENES</v>
          </cell>
          <cell r="K294">
            <v>4659</v>
          </cell>
          <cell r="L294">
            <v>219</v>
          </cell>
          <cell r="M294">
            <v>2514580</v>
          </cell>
        </row>
        <row r="295">
          <cell r="A295">
            <v>860036365</v>
          </cell>
          <cell r="B295" t="str">
            <v>CONCRELAB SAS</v>
          </cell>
          <cell r="C295" t="str">
            <v>+570000</v>
          </cell>
          <cell r="E295" t="str">
            <v>compras@concrelab.com</v>
          </cell>
          <cell r="F295" t="str">
            <v>CL 63 D 71 A 70</v>
          </cell>
          <cell r="G295" t="str">
            <v>11</v>
          </cell>
          <cell r="H295" t="str">
            <v>001</v>
          </cell>
          <cell r="I295" t="str">
            <v>11001</v>
          </cell>
          <cell r="J295" t="str">
            <v>VENTA DE BIENES</v>
          </cell>
          <cell r="K295">
            <v>4659</v>
          </cell>
          <cell r="L295">
            <v>219</v>
          </cell>
          <cell r="M295">
            <v>20911000</v>
          </cell>
        </row>
        <row r="296">
          <cell r="A296">
            <v>860038626</v>
          </cell>
          <cell r="B296" t="str">
            <v>AVICULTURA INDUSTRIAL AVINSA S A S</v>
          </cell>
          <cell r="C296" t="str">
            <v>+570000</v>
          </cell>
          <cell r="E296" t="str">
            <v>FACTURAELECTRONICA@AVINSASAS.COM.CO</v>
          </cell>
          <cell r="F296" t="str">
            <v>CR 27 A 68 50</v>
          </cell>
          <cell r="G296" t="str">
            <v>11</v>
          </cell>
          <cell r="H296" t="str">
            <v>001</v>
          </cell>
          <cell r="I296" t="str">
            <v>11001</v>
          </cell>
          <cell r="J296" t="str">
            <v>VENTA DE BIENES</v>
          </cell>
          <cell r="K296">
            <v>4659</v>
          </cell>
          <cell r="L296">
            <v>219</v>
          </cell>
          <cell r="M296">
            <v>6147215</v>
          </cell>
        </row>
        <row r="297">
          <cell r="A297">
            <v>860041265</v>
          </cell>
          <cell r="B297" t="str">
            <v>COLCHONES EL DORADO SA</v>
          </cell>
          <cell r="C297" t="str">
            <v>4114211</v>
          </cell>
          <cell r="D297" t="str">
            <v>4114211</v>
          </cell>
          <cell r="E297" t="str">
            <v>recepcionfacturas@colchoneseldorado.com</v>
          </cell>
          <cell r="F297" t="str">
            <v>AC 17 80 A 70</v>
          </cell>
          <cell r="G297" t="str">
            <v>11</v>
          </cell>
          <cell r="H297" t="str">
            <v>001</v>
          </cell>
          <cell r="I297" t="str">
            <v>11001</v>
          </cell>
          <cell r="J297" t="str">
            <v>VENTA DE BIENES</v>
          </cell>
          <cell r="K297">
            <v>4659</v>
          </cell>
          <cell r="L297">
            <v>219</v>
          </cell>
          <cell r="M297">
            <v>672000</v>
          </cell>
        </row>
        <row r="298">
          <cell r="A298">
            <v>860041662</v>
          </cell>
          <cell r="B298" t="str">
            <v>RAMBAL S.A.S.</v>
          </cell>
          <cell r="C298">
            <v>6761476</v>
          </cell>
          <cell r="D298">
            <v>6761476</v>
          </cell>
          <cell r="E298" t="str">
            <v>rfe@rambal.com.co</v>
          </cell>
          <cell r="F298" t="str">
            <v>CL F 71 Y 59 MZ E PAR INDUSTRIAL</v>
          </cell>
          <cell r="G298" t="str">
            <v>68</v>
          </cell>
          <cell r="H298" t="str">
            <v>001</v>
          </cell>
          <cell r="I298" t="str">
            <v>68001</v>
          </cell>
          <cell r="J298" t="str">
            <v>VENTA DE BIENES</v>
          </cell>
          <cell r="K298">
            <v>4659</v>
          </cell>
          <cell r="L298">
            <v>219</v>
          </cell>
          <cell r="M298">
            <v>24601680</v>
          </cell>
        </row>
        <row r="299">
          <cell r="A299">
            <v>860051814</v>
          </cell>
          <cell r="B299" t="str">
            <v>TECNO INGENIERIA LTDA</v>
          </cell>
          <cell r="C299" t="str">
            <v>+570000</v>
          </cell>
          <cell r="E299" t="str">
            <v>siesaferecepcion@siesafe.co</v>
          </cell>
          <cell r="F299" t="str">
            <v>CR 26 72-34</v>
          </cell>
          <cell r="G299" t="str">
            <v>11</v>
          </cell>
          <cell r="H299" t="str">
            <v>001</v>
          </cell>
          <cell r="I299" t="str">
            <v>11001</v>
          </cell>
          <cell r="J299" t="str">
            <v>VENTA DE BIENES</v>
          </cell>
          <cell r="K299">
            <v>4659</v>
          </cell>
          <cell r="L299">
            <v>219</v>
          </cell>
          <cell r="M299">
            <v>2804403</v>
          </cell>
        </row>
        <row r="300">
          <cell r="A300">
            <v>860053930</v>
          </cell>
          <cell r="B300" t="str">
            <v>SIERRACOL ENERGY ARAUCA, LLC</v>
          </cell>
          <cell r="C300" t="str">
            <v>6288245</v>
          </cell>
          <cell r="D300" t="str">
            <v>6288245</v>
          </cell>
          <cell r="E300" t="str">
            <v>Colombia-local_Invoices@sierracol.com</v>
          </cell>
          <cell r="F300" t="str">
            <v>CL 77 A 11-32</v>
          </cell>
          <cell r="G300">
            <v>11</v>
          </cell>
          <cell r="H300" t="str">
            <v>001</v>
          </cell>
          <cell r="I300" t="str">
            <v>11001</v>
          </cell>
          <cell r="J300" t="str">
            <v>VENTA DE BIENES</v>
          </cell>
          <cell r="K300">
            <v>4659</v>
          </cell>
          <cell r="L300">
            <v>219</v>
          </cell>
          <cell r="M300">
            <v>41006184</v>
          </cell>
        </row>
        <row r="301">
          <cell r="A301">
            <v>860063875</v>
          </cell>
          <cell r="B301" t="str">
            <v>ENEL COLOMBIA SA E.S.P</v>
          </cell>
          <cell r="E301" t="str">
            <v>carolina.villamizar@enel.com</v>
          </cell>
          <cell r="F301" t="str">
            <v>Vda verganzo Toncancipa km 40 Bogota autopista norte</v>
          </cell>
          <cell r="G301">
            <v>11</v>
          </cell>
          <cell r="H301" t="str">
            <v>001</v>
          </cell>
          <cell r="I301" t="str">
            <v>11001</v>
          </cell>
          <cell r="J301" t="str">
            <v>SERV MTTO</v>
          </cell>
          <cell r="K301">
            <v>3312</v>
          </cell>
          <cell r="L301">
            <v>334</v>
          </cell>
          <cell r="M301">
            <v>2562500</v>
          </cell>
        </row>
        <row r="302">
          <cell r="A302">
            <v>860063875</v>
          </cell>
          <cell r="B302" t="str">
            <v>ENEL COLOMBIA SA E.S.P</v>
          </cell>
          <cell r="E302" t="str">
            <v>carolina.villamizar@enel.com</v>
          </cell>
          <cell r="F302" t="str">
            <v>Vda verganzo Toncancipa km 40 Bogota autopista norte</v>
          </cell>
          <cell r="G302">
            <v>11</v>
          </cell>
          <cell r="H302" t="str">
            <v>001</v>
          </cell>
          <cell r="I302" t="str">
            <v>11001</v>
          </cell>
          <cell r="J302" t="str">
            <v>VENTA DE BIENES</v>
          </cell>
          <cell r="K302">
            <v>4659</v>
          </cell>
          <cell r="L302">
            <v>219</v>
          </cell>
          <cell r="M302">
            <v>4035717</v>
          </cell>
        </row>
        <row r="303">
          <cell r="A303">
            <v>860068933</v>
          </cell>
          <cell r="B303" t="str">
            <v>RODRIGUEZ Y URBINA LTDA</v>
          </cell>
          <cell r="C303" t="str">
            <v>+570000</v>
          </cell>
          <cell r="E303" t="str">
            <v>FACTURACION@RYULTDA.COM</v>
          </cell>
          <cell r="F303" t="str">
            <v>CL 22A 43-28</v>
          </cell>
          <cell r="G303" t="str">
            <v>11</v>
          </cell>
          <cell r="H303" t="str">
            <v>001</v>
          </cell>
          <cell r="I303" t="str">
            <v>11001</v>
          </cell>
          <cell r="J303" t="str">
            <v>VENTA DE BIENES</v>
          </cell>
          <cell r="K303">
            <v>4659</v>
          </cell>
          <cell r="L303">
            <v>219</v>
          </cell>
          <cell r="M303">
            <v>236000</v>
          </cell>
        </row>
        <row r="304">
          <cell r="A304">
            <v>860069804</v>
          </cell>
          <cell r="B304" t="str">
            <v>CARBONES DEL CERREJON LIMITED</v>
          </cell>
          <cell r="C304" t="str">
            <v>+570000</v>
          </cell>
          <cell r="E304" t="str">
            <v>RECEPCION.CERREJON@FACTURA1.COM.CO</v>
          </cell>
          <cell r="F304" t="str">
            <v>CR 54 72-80</v>
          </cell>
          <cell r="G304" t="str">
            <v>08</v>
          </cell>
          <cell r="H304" t="str">
            <v>001</v>
          </cell>
          <cell r="I304" t="str">
            <v>08001</v>
          </cell>
          <cell r="J304" t="str">
            <v>VENTA DE BIENES</v>
          </cell>
          <cell r="K304">
            <v>4659</v>
          </cell>
          <cell r="L304">
            <v>219</v>
          </cell>
          <cell r="M304">
            <v>339081</v>
          </cell>
        </row>
        <row r="305">
          <cell r="A305">
            <v>860072134</v>
          </cell>
          <cell r="B305" t="str">
            <v>HOCOL S.A.</v>
          </cell>
          <cell r="C305" t="str">
            <v>+570000</v>
          </cell>
          <cell r="E305" t="str">
            <v>ATENCIONPROVFACTURAS@HCL.COM.CO</v>
          </cell>
          <cell r="F305" t="str">
            <v>CR 7 113 43 P 17</v>
          </cell>
          <cell r="G305" t="str">
            <v>25</v>
          </cell>
          <cell r="H305" t="str">
            <v>286</v>
          </cell>
          <cell r="I305" t="str">
            <v>25286</v>
          </cell>
          <cell r="J305" t="str">
            <v>VENTA DE BIENES</v>
          </cell>
          <cell r="K305">
            <v>4659</v>
          </cell>
          <cell r="L305">
            <v>219</v>
          </cell>
          <cell r="M305">
            <v>1855655</v>
          </cell>
        </row>
        <row r="306">
          <cell r="A306">
            <v>860072172</v>
          </cell>
          <cell r="B306" t="str">
            <v>EMPACOR SA</v>
          </cell>
          <cell r="C306" t="str">
            <v>+570000</v>
          </cell>
          <cell r="E306" t="str">
            <v>recepcion@empacor.com</v>
          </cell>
          <cell r="F306" t="str">
            <v>DIAGONAL 16 # 115 25 PLANTA MOLINO</v>
          </cell>
          <cell r="G306">
            <v>11</v>
          </cell>
          <cell r="H306" t="str">
            <v>001</v>
          </cell>
          <cell r="I306" t="str">
            <v>11001</v>
          </cell>
          <cell r="J306" t="str">
            <v>VENTA DE BIENES</v>
          </cell>
          <cell r="K306">
            <v>4659</v>
          </cell>
          <cell r="L306">
            <v>219</v>
          </cell>
          <cell r="M306">
            <v>73899191</v>
          </cell>
        </row>
        <row r="307">
          <cell r="A307">
            <v>860074450</v>
          </cell>
          <cell r="B307" t="str">
            <v>QUALA S.A</v>
          </cell>
          <cell r="C307" t="str">
            <v>5190967</v>
          </cell>
          <cell r="D307" t="str">
            <v>5190967</v>
          </cell>
          <cell r="E307" t="str">
            <v>Facturacion@fequala.com.co</v>
          </cell>
          <cell r="F307" t="str">
            <v>CARRERA 68D #39F-51</v>
          </cell>
          <cell r="G307">
            <v>11</v>
          </cell>
          <cell r="H307" t="str">
            <v>001</v>
          </cell>
          <cell r="I307" t="str">
            <v>11001</v>
          </cell>
          <cell r="J307" t="str">
            <v>VENTA DE BIENES</v>
          </cell>
          <cell r="K307">
            <v>4659</v>
          </cell>
          <cell r="L307">
            <v>219</v>
          </cell>
          <cell r="M307">
            <v>67493764</v>
          </cell>
        </row>
        <row r="308">
          <cell r="A308">
            <v>860074578</v>
          </cell>
          <cell r="B308" t="str">
            <v>INACSA S.A.S.</v>
          </cell>
          <cell r="C308">
            <v>6684949</v>
          </cell>
          <cell r="D308">
            <v>6684949</v>
          </cell>
          <cell r="E308" t="str">
            <v>FACTURA.ELECTRONICA@INACSA.COM.CO</v>
          </cell>
          <cell r="F308" t="str">
            <v>VDA PUEBLO VIEJO KM 1 VIA SOPO BRICEÑO</v>
          </cell>
          <cell r="G308" t="str">
            <v>25</v>
          </cell>
          <cell r="H308" t="str">
            <v>758</v>
          </cell>
          <cell r="I308" t="str">
            <v>25758</v>
          </cell>
          <cell r="J308" t="str">
            <v>VENTA DE BIENES</v>
          </cell>
          <cell r="K308">
            <v>4659</v>
          </cell>
          <cell r="L308">
            <v>219</v>
          </cell>
          <cell r="M308">
            <v>995200</v>
          </cell>
        </row>
        <row r="309">
          <cell r="A309">
            <v>860076598</v>
          </cell>
          <cell r="B309" t="str">
            <v>ELECTRO ALIANZA SAS</v>
          </cell>
          <cell r="C309" t="str">
            <v>+570000</v>
          </cell>
          <cell r="E309" t="str">
            <v>860076598@FACTUREINBOX.CO</v>
          </cell>
          <cell r="F309" t="str">
            <v>CL 13 37-42</v>
          </cell>
          <cell r="G309" t="str">
            <v>11</v>
          </cell>
          <cell r="H309" t="str">
            <v>001</v>
          </cell>
          <cell r="I309" t="str">
            <v>11001</v>
          </cell>
          <cell r="J309" t="str">
            <v>VENTA DE BIENES</v>
          </cell>
          <cell r="K309">
            <v>4659</v>
          </cell>
          <cell r="L309">
            <v>219</v>
          </cell>
          <cell r="M309">
            <v>4504899</v>
          </cell>
        </row>
        <row r="310">
          <cell r="A310">
            <v>860350922</v>
          </cell>
          <cell r="B310" t="str">
            <v>TECNINTEGRAL S A S</v>
          </cell>
          <cell r="C310">
            <v>7799090</v>
          </cell>
          <cell r="D310">
            <v>7799090</v>
          </cell>
          <cell r="E310" t="str">
            <v>info@tecnintegral.com</v>
          </cell>
          <cell r="F310" t="str">
            <v>Cra. 81 #65a Sur-61 a 65a Sur-89</v>
          </cell>
          <cell r="G310" t="str">
            <v>11</v>
          </cell>
          <cell r="H310" t="str">
            <v>001</v>
          </cell>
          <cell r="I310" t="str">
            <v>11001</v>
          </cell>
          <cell r="J310" t="str">
            <v>VENTA DE BIENES</v>
          </cell>
          <cell r="K310">
            <v>4659</v>
          </cell>
          <cell r="L310">
            <v>219</v>
          </cell>
          <cell r="M310">
            <v>14187891</v>
          </cell>
        </row>
        <row r="311">
          <cell r="A311">
            <v>860400538</v>
          </cell>
          <cell r="B311" t="str">
            <v>RAYCO S.A. RODRIGO ARISTIZABAL &amp; CIA. S.A</v>
          </cell>
          <cell r="C311" t="str">
            <v>3808530</v>
          </cell>
          <cell r="D311" t="str">
            <v>3808530</v>
          </cell>
          <cell r="E311" t="str">
            <v>FACTURACION@RAYCO.CO</v>
          </cell>
          <cell r="F311" t="str">
            <v>CL 127 B BIS 45 53</v>
          </cell>
          <cell r="G311">
            <v>11</v>
          </cell>
          <cell r="H311" t="str">
            <v>001</v>
          </cell>
          <cell r="I311" t="str">
            <v>11001</v>
          </cell>
          <cell r="J311" t="str">
            <v>VENTA DE BIENES</v>
          </cell>
          <cell r="K311">
            <v>4659</v>
          </cell>
          <cell r="L311">
            <v>219</v>
          </cell>
          <cell r="M311">
            <v>1000613514</v>
          </cell>
        </row>
        <row r="312">
          <cell r="A312">
            <v>860401496</v>
          </cell>
          <cell r="B312" t="str">
            <v>UNIVERSIDAD ECCI</v>
          </cell>
          <cell r="C312" t="str">
            <v>+570000</v>
          </cell>
          <cell r="E312" t="str">
            <v>RECEPCIONFACTURAELECTRONICA@ECCI.EDU.CO</v>
          </cell>
          <cell r="F312" t="str">
            <v>CR 19 49 20 BRR ALFONSO LOPEZ</v>
          </cell>
          <cell r="G312" t="str">
            <v>11</v>
          </cell>
          <cell r="H312" t="str">
            <v>001</v>
          </cell>
          <cell r="I312" t="str">
            <v>11001</v>
          </cell>
          <cell r="J312" t="str">
            <v>ARRENDAMIENTO</v>
          </cell>
          <cell r="K312">
            <v>7730</v>
          </cell>
          <cell r="L312">
            <v>334</v>
          </cell>
          <cell r="M312">
            <v>9000000</v>
          </cell>
        </row>
        <row r="313">
          <cell r="A313">
            <v>860401826</v>
          </cell>
          <cell r="B313" t="str">
            <v>PRODUCTOS ALIMENTICIOS EL RECREO S.AS.</v>
          </cell>
          <cell r="C313">
            <v>8519501</v>
          </cell>
          <cell r="D313">
            <v>8519501</v>
          </cell>
          <cell r="E313" t="str">
            <v>FACTURACIONELECTRONICA@PRODUCTOSELRECREO.COM</v>
          </cell>
          <cell r="F313" t="str">
            <v>CL 34 29 08 ACCESO A PORTERIA PRODUCTOS LACTEOS EL RECREO</v>
          </cell>
          <cell r="G313" t="str">
            <v>25</v>
          </cell>
          <cell r="H313" t="str">
            <v>899</v>
          </cell>
          <cell r="I313" t="str">
            <v>25899</v>
          </cell>
          <cell r="J313" t="str">
            <v>VENTA DE BIENES</v>
          </cell>
          <cell r="K313">
            <v>4659</v>
          </cell>
          <cell r="L313">
            <v>219</v>
          </cell>
          <cell r="M313">
            <v>1290240</v>
          </cell>
        </row>
        <row r="314">
          <cell r="A314">
            <v>860451201</v>
          </cell>
          <cell r="B314" t="str">
            <v>INDUSTRIAS ASOCIADAS S.A.S.</v>
          </cell>
          <cell r="C314" t="str">
            <v>320 8550744</v>
          </cell>
          <cell r="D314">
            <v>3208550744</v>
          </cell>
          <cell r="E314" t="str">
            <v>rhumanos@industriasasociadas.com</v>
          </cell>
          <cell r="F314" t="str">
            <v>CR 27 13 95</v>
          </cell>
          <cell r="G314" t="str">
            <v>11</v>
          </cell>
          <cell r="H314" t="str">
            <v>001</v>
          </cell>
          <cell r="I314" t="str">
            <v>11001</v>
          </cell>
          <cell r="J314" t="str">
            <v>VENTA DE BIENES</v>
          </cell>
          <cell r="K314">
            <v>4659</v>
          </cell>
          <cell r="L314">
            <v>219</v>
          </cell>
          <cell r="M314">
            <v>4412800</v>
          </cell>
        </row>
        <row r="315">
          <cell r="A315">
            <v>860502571</v>
          </cell>
          <cell r="B315" t="str">
            <v>TECNICAS ANDINAS INDUSTRIALES SAS</v>
          </cell>
          <cell r="C315" t="str">
            <v>310 8174335</v>
          </cell>
          <cell r="D315">
            <v>3108174335</v>
          </cell>
          <cell r="E315" t="str">
            <v>e.vargas@tecnicasandinas.co</v>
          </cell>
          <cell r="F315" t="str">
            <v/>
          </cell>
          <cell r="G315" t="str">
            <v>11</v>
          </cell>
          <cell r="H315" t="str">
            <v>001</v>
          </cell>
          <cell r="I315" t="str">
            <v>11001</v>
          </cell>
          <cell r="J315" t="str">
            <v>VENTA DE BIENES</v>
          </cell>
          <cell r="K315">
            <v>4659</v>
          </cell>
          <cell r="L315">
            <v>219</v>
          </cell>
          <cell r="M315">
            <v>438400</v>
          </cell>
        </row>
        <row r="316">
          <cell r="A316">
            <v>860507111</v>
          </cell>
          <cell r="B316" t="str">
            <v>INTER SERVICIOS ELECTRICOS ISE S A S</v>
          </cell>
          <cell r="C316" t="str">
            <v>+570000</v>
          </cell>
          <cell r="E316" t="str">
            <v>AUXCONTABLE1@ISE.COM.CO</v>
          </cell>
          <cell r="F316" t="str">
            <v>CR 69A 36 46 SUR</v>
          </cell>
          <cell r="G316" t="str">
            <v>11</v>
          </cell>
          <cell r="H316" t="str">
            <v>001</v>
          </cell>
          <cell r="I316" t="str">
            <v>11001</v>
          </cell>
          <cell r="J316" t="str">
            <v>VENTA DE BIENES</v>
          </cell>
          <cell r="K316">
            <v>4659</v>
          </cell>
          <cell r="L316">
            <v>219</v>
          </cell>
          <cell r="M316">
            <v>2559531</v>
          </cell>
        </row>
        <row r="317">
          <cell r="A317">
            <v>860510648</v>
          </cell>
          <cell r="B317" t="str">
            <v>RAFAEL TRONCOSO Y COMPAÑIA S C S</v>
          </cell>
          <cell r="C317" t="str">
            <v>310 8844807</v>
          </cell>
          <cell r="D317">
            <v>3108844807</v>
          </cell>
          <cell r="E317" t="str">
            <v>rtroncosoycia69@gmail.com</v>
          </cell>
          <cell r="F317" t="str">
            <v>CR 10 96 25 OF 413</v>
          </cell>
          <cell r="G317" t="str">
            <v>11</v>
          </cell>
          <cell r="H317" t="str">
            <v>001</v>
          </cell>
          <cell r="I317" t="str">
            <v>11001</v>
          </cell>
          <cell r="J317" t="str">
            <v>VENTA DE BIENES</v>
          </cell>
          <cell r="K317">
            <v>4659</v>
          </cell>
          <cell r="L317">
            <v>219</v>
          </cell>
          <cell r="M317">
            <v>100830</v>
          </cell>
        </row>
        <row r="318">
          <cell r="A318">
            <v>860512249</v>
          </cell>
          <cell r="B318" t="str">
            <v>YANBAL DE COLOMBIA S.A.S</v>
          </cell>
          <cell r="C318" t="str">
            <v>+570000</v>
          </cell>
          <cell r="E318" t="str">
            <v>radicacion.facturas@yanbal.com</v>
          </cell>
          <cell r="F318" t="str">
            <v>AVD 15 5 187</v>
          </cell>
          <cell r="G318">
            <v>25</v>
          </cell>
          <cell r="H318" t="str">
            <v>269</v>
          </cell>
          <cell r="I318" t="str">
            <v>25269</v>
          </cell>
          <cell r="J318" t="str">
            <v>VENTA DE BIENES</v>
          </cell>
          <cell r="K318">
            <v>4659</v>
          </cell>
          <cell r="L318">
            <v>219</v>
          </cell>
          <cell r="M318">
            <v>42691228</v>
          </cell>
        </row>
        <row r="319">
          <cell r="A319">
            <v>860512475</v>
          </cell>
          <cell r="B319" t="str">
            <v>CERESCOS SAS</v>
          </cell>
          <cell r="C319" t="str">
            <v>+570000</v>
          </cell>
          <cell r="E319" t="str">
            <v>RECEPCION.FACTURAS@CERESCOS.COM</v>
          </cell>
          <cell r="F319" t="str">
            <v>CL 19 68 A 98</v>
          </cell>
          <cell r="G319" t="str">
            <v>11</v>
          </cell>
          <cell r="H319" t="str">
            <v>001</v>
          </cell>
          <cell r="I319" t="str">
            <v>11001</v>
          </cell>
          <cell r="J319" t="str">
            <v>VENTA DE BIENES</v>
          </cell>
          <cell r="K319">
            <v>4659</v>
          </cell>
          <cell r="L319">
            <v>219</v>
          </cell>
          <cell r="M319">
            <v>492000</v>
          </cell>
        </row>
        <row r="320">
          <cell r="A320">
            <v>860513290</v>
          </cell>
          <cell r="B320" t="str">
            <v>SILGAN PROENFAR S.A.S</v>
          </cell>
          <cell r="C320" t="str">
            <v>+570000</v>
          </cell>
          <cell r="E320" t="str">
            <v>RADICACION@SILGANPROENFAR.COM</v>
          </cell>
          <cell r="F320" t="str">
            <v>CL 10 34A 13</v>
          </cell>
          <cell r="G320">
            <v>11</v>
          </cell>
          <cell r="H320" t="str">
            <v>001</v>
          </cell>
          <cell r="I320" t="str">
            <v>11001</v>
          </cell>
          <cell r="J320" t="str">
            <v>VENTA DE BIENES</v>
          </cell>
          <cell r="K320">
            <v>4659</v>
          </cell>
          <cell r="L320">
            <v>219</v>
          </cell>
          <cell r="M320">
            <v>9849603</v>
          </cell>
        </row>
        <row r="321">
          <cell r="A321">
            <v>860513360</v>
          </cell>
          <cell r="B321" t="str">
            <v>PERALTA PERFILERIA S.A.S.</v>
          </cell>
          <cell r="C321" t="str">
            <v>+570000</v>
          </cell>
          <cell r="E321" t="str">
            <v>860513360@FACTUREINBOX.CO</v>
          </cell>
          <cell r="F321" t="str">
            <v>CR 15 100 21 OF 303</v>
          </cell>
          <cell r="G321" t="str">
            <v>11</v>
          </cell>
          <cell r="H321" t="str">
            <v>001</v>
          </cell>
          <cell r="I321" t="str">
            <v>11001</v>
          </cell>
          <cell r="J321" t="str">
            <v>VENTA DE BIENES</v>
          </cell>
          <cell r="K321">
            <v>4659</v>
          </cell>
          <cell r="L321">
            <v>219</v>
          </cell>
          <cell r="M321">
            <v>159200</v>
          </cell>
        </row>
        <row r="322">
          <cell r="A322">
            <v>860516178</v>
          </cell>
          <cell r="B322" t="str">
            <v>TUCKER ENERGY SERVICES S.A</v>
          </cell>
          <cell r="C322" t="str">
            <v>+570000</v>
          </cell>
          <cell r="E322" t="str">
            <v>PROVEEDORES@TUCKERENERGY.COM</v>
          </cell>
          <cell r="F322" t="str">
            <v>KM 1 VIA SIBERIA COTA, COSTADO ORIENTAL</v>
          </cell>
          <cell r="G322" t="str">
            <v>25</v>
          </cell>
          <cell r="H322" t="str">
            <v>214</v>
          </cell>
          <cell r="I322" t="str">
            <v>25214</v>
          </cell>
          <cell r="J322" t="str">
            <v>VENTA DE BIENES</v>
          </cell>
          <cell r="K322">
            <v>4659</v>
          </cell>
          <cell r="L322">
            <v>219</v>
          </cell>
          <cell r="M322">
            <v>2034336</v>
          </cell>
        </row>
        <row r="323">
          <cell r="A323">
            <v>860517435</v>
          </cell>
          <cell r="B323" t="str">
            <v>GRUPO SASA SAS</v>
          </cell>
          <cell r="C323" t="str">
            <v>320 2769132</v>
          </cell>
          <cell r="D323">
            <v>3202769132</v>
          </cell>
          <cell r="E323" t="str">
            <v>Jefe.mantenimiento@gruposasa.co</v>
          </cell>
          <cell r="F323" t="str">
            <v>CR 5 ESTE   20   69 BG 10</v>
          </cell>
          <cell r="G323" t="str">
            <v>25</v>
          </cell>
          <cell r="H323" t="str">
            <v>473</v>
          </cell>
          <cell r="I323" t="str">
            <v>25473</v>
          </cell>
          <cell r="J323" t="str">
            <v>VENTA DE BIENES</v>
          </cell>
          <cell r="K323">
            <v>4659</v>
          </cell>
          <cell r="L323">
            <v>219</v>
          </cell>
          <cell r="M323">
            <v>227638</v>
          </cell>
        </row>
        <row r="324">
          <cell r="A324">
            <v>860517500</v>
          </cell>
          <cell r="B324" t="str">
            <v>MONPLAST S A S</v>
          </cell>
          <cell r="C324" t="str">
            <v>8233933</v>
          </cell>
          <cell r="E324" t="str">
            <v>contabilidad@monplast.com.co</v>
          </cell>
          <cell r="F324" t="str">
            <v>AUT BOGOTA MEDELLIN KM 7 1 PAR INDUSTRIAL CELTA TRADE PARK BG 72</v>
          </cell>
          <cell r="G324" t="str">
            <v>25</v>
          </cell>
          <cell r="H324" t="str">
            <v>286</v>
          </cell>
          <cell r="I324" t="str">
            <v>25286</v>
          </cell>
          <cell r="J324" t="str">
            <v>VENTA DE BIENES</v>
          </cell>
          <cell r="K324">
            <v>4659</v>
          </cell>
          <cell r="L324">
            <v>219</v>
          </cell>
          <cell r="M324">
            <v>3194400</v>
          </cell>
        </row>
        <row r="325">
          <cell r="A325">
            <v>860521637</v>
          </cell>
          <cell r="B325" t="str">
            <v>ORGANIZACION CARDENAS S.A.S.</v>
          </cell>
          <cell r="C325" t="str">
            <v>+570000</v>
          </cell>
          <cell r="E325" t="str">
            <v>RECEPCIONFEOCSAS@ORGANIZACIONCARDENAS.COM.CO</v>
          </cell>
          <cell r="F325" t="str">
            <v>CR 75 24 D 57 P 3</v>
          </cell>
          <cell r="G325" t="str">
            <v>11</v>
          </cell>
          <cell r="H325" t="str">
            <v>001</v>
          </cell>
          <cell r="I325" t="str">
            <v>11001</v>
          </cell>
          <cell r="J325" t="str">
            <v>VENTA DE BIENES</v>
          </cell>
          <cell r="K325">
            <v>4659</v>
          </cell>
          <cell r="L325">
            <v>219</v>
          </cell>
          <cell r="M325">
            <v>105600</v>
          </cell>
        </row>
        <row r="326">
          <cell r="A326">
            <v>860522056</v>
          </cell>
          <cell r="B326" t="str">
            <v>LAMITECH S.A.S.</v>
          </cell>
          <cell r="C326" t="str">
            <v>+570000</v>
          </cell>
          <cell r="E326" t="str">
            <v>RECEPCION@LAMITECH.COM.CO</v>
          </cell>
          <cell r="F326" t="str">
            <v>VIA MAMONAL KM 13</v>
          </cell>
          <cell r="G326" t="str">
            <v>13</v>
          </cell>
          <cell r="H326" t="str">
            <v>001</v>
          </cell>
          <cell r="I326" t="str">
            <v>13001</v>
          </cell>
          <cell r="J326" t="str">
            <v>VENTA DE BIENES</v>
          </cell>
          <cell r="K326">
            <v>4659</v>
          </cell>
          <cell r="L326">
            <v>219</v>
          </cell>
          <cell r="M326">
            <v>48596742</v>
          </cell>
        </row>
        <row r="327">
          <cell r="A327">
            <v>860526787</v>
          </cell>
          <cell r="B327" t="str">
            <v>T G T GAMAS SAS</v>
          </cell>
          <cell r="C327" t="str">
            <v>+570000</v>
          </cell>
          <cell r="E327" t="str">
            <v>860526787@FACTUREINBOX.CO</v>
          </cell>
          <cell r="F327" t="str">
            <v>PAR INDUSTRIAL DEL NORTE VEREDA CANAVITA BG 9 Y 10</v>
          </cell>
          <cell r="G327" t="str">
            <v>25</v>
          </cell>
          <cell r="H327" t="str">
            <v>817</v>
          </cell>
          <cell r="I327" t="str">
            <v>25817</v>
          </cell>
          <cell r="J327" t="str">
            <v>VENTA DE BIENES</v>
          </cell>
          <cell r="K327">
            <v>4659</v>
          </cell>
          <cell r="L327">
            <v>219</v>
          </cell>
          <cell r="M327">
            <v>4702194</v>
          </cell>
        </row>
        <row r="328">
          <cell r="A328">
            <v>860528169</v>
          </cell>
          <cell r="B328" t="str">
            <v>DIMATIC SAS</v>
          </cell>
          <cell r="C328">
            <v>3685299</v>
          </cell>
          <cell r="D328">
            <v>3685299</v>
          </cell>
          <cell r="E328" t="str">
            <v>proyectos@dimatic.com.co</v>
          </cell>
          <cell r="F328" t="str">
            <v/>
          </cell>
          <cell r="G328" t="str">
            <v>11</v>
          </cell>
          <cell r="H328" t="str">
            <v>001</v>
          </cell>
          <cell r="I328" t="str">
            <v>11001</v>
          </cell>
          <cell r="J328" t="str">
            <v>VENTA DE BIENES</v>
          </cell>
          <cell r="K328">
            <v>4659</v>
          </cell>
          <cell r="L328">
            <v>219</v>
          </cell>
          <cell r="M328">
            <v>2173342</v>
          </cell>
        </row>
        <row r="329">
          <cell r="A329">
            <v>860530547</v>
          </cell>
          <cell r="B329" t="str">
            <v>MULTIDIMENSIONALES SAS</v>
          </cell>
          <cell r="C329" t="str">
            <v>4222000</v>
          </cell>
          <cell r="E329" t="str">
            <v>MDPHOENIX_MB@MAILBOX.EDICOMNET.COM</v>
          </cell>
          <cell r="F329" t="str">
            <v>CL 17 F 126 90</v>
          </cell>
          <cell r="G329">
            <v>11</v>
          </cell>
          <cell r="H329" t="str">
            <v>001</v>
          </cell>
          <cell r="I329" t="str">
            <v>11001</v>
          </cell>
          <cell r="J329" t="str">
            <v>VENTA DE BIENES</v>
          </cell>
          <cell r="K329">
            <v>4659</v>
          </cell>
          <cell r="L329">
            <v>219</v>
          </cell>
          <cell r="M329">
            <v>19383739</v>
          </cell>
        </row>
        <row r="330">
          <cell r="A330">
            <v>860534244</v>
          </cell>
          <cell r="B330" t="str">
            <v>ATLAS COPCO COLOMBIA LTDA</v>
          </cell>
          <cell r="C330">
            <v>4199200</v>
          </cell>
          <cell r="D330">
            <v>4199200</v>
          </cell>
          <cell r="E330" t="str">
            <v>rec.facturaselectronicas@co.atlascopco.com</v>
          </cell>
          <cell r="F330" t="str">
            <v>carrera 85D 45A 65 BODEGA 17</v>
          </cell>
          <cell r="G330">
            <v>11</v>
          </cell>
          <cell r="H330" t="str">
            <v>001</v>
          </cell>
          <cell r="I330" t="str">
            <v>11001</v>
          </cell>
          <cell r="J330" t="str">
            <v>VENTA DE BIENES</v>
          </cell>
          <cell r="K330">
            <v>4659</v>
          </cell>
          <cell r="L330">
            <v>219</v>
          </cell>
          <cell r="M330">
            <v>44745717</v>
          </cell>
        </row>
        <row r="331">
          <cell r="A331">
            <v>890100251</v>
          </cell>
          <cell r="B331" t="str">
            <v>CEMENTOS ARGOS SA</v>
          </cell>
          <cell r="C331" t="str">
            <v>+570000</v>
          </cell>
          <cell r="E331" t="str">
            <v>PROVEEDORCEMENTOSARGOS@ARGOS.COM.CO</v>
          </cell>
          <cell r="F331" t="str">
            <v>KM 6 VIA SOGAMOSO CORRALES</v>
          </cell>
          <cell r="G331" t="str">
            <v>05</v>
          </cell>
          <cell r="H331" t="str">
            <v>001</v>
          </cell>
          <cell r="I331" t="str">
            <v>05001</v>
          </cell>
          <cell r="J331" t="str">
            <v>42 GRAVADOS</v>
          </cell>
          <cell r="K331">
            <v>4659</v>
          </cell>
          <cell r="L331">
            <v>219</v>
          </cell>
          <cell r="M331">
            <v>482120</v>
          </cell>
        </row>
        <row r="332">
          <cell r="A332">
            <v>890101272</v>
          </cell>
          <cell r="B332" t="str">
            <v>SEMPERTEX DE COLOMBIA SAS</v>
          </cell>
          <cell r="C332" t="str">
            <v>+570000</v>
          </cell>
          <cell r="E332" t="str">
            <v>RECEPCIONFACTURAS@SEMPERTEX.COM</v>
          </cell>
          <cell r="F332" t="str">
            <v>VIA 40 64-158 LOMA 3 ZN INDUSTRIAL</v>
          </cell>
          <cell r="G332" t="str">
            <v>08</v>
          </cell>
          <cell r="H332" t="str">
            <v>001</v>
          </cell>
          <cell r="I332" t="str">
            <v>08001</v>
          </cell>
          <cell r="J332" t="str">
            <v>42 GRAVADOS</v>
          </cell>
          <cell r="K332">
            <v>4659</v>
          </cell>
          <cell r="L332">
            <v>219</v>
          </cell>
          <cell r="M332">
            <v>7824240</v>
          </cell>
        </row>
        <row r="333">
          <cell r="A333">
            <v>890101676</v>
          </cell>
          <cell r="B333" t="str">
            <v>FABRICA DE BOLSAS DE PAPEL UNIBOL SAS</v>
          </cell>
          <cell r="C333" t="str">
            <v>+570000</v>
          </cell>
          <cell r="E333" t="str">
            <v>FACTURACIONELECTRONICA@UNIBOL.COM.CO</v>
          </cell>
          <cell r="F333" t="str">
            <v>AUT EL AEROPUERTO KM 7</v>
          </cell>
          <cell r="G333" t="str">
            <v>08</v>
          </cell>
          <cell r="H333">
            <v>758</v>
          </cell>
          <cell r="I333" t="str">
            <v>08758</v>
          </cell>
          <cell r="J333" t="str">
            <v>VENTA DE BIENES</v>
          </cell>
          <cell r="K333">
            <v>4659</v>
          </cell>
          <cell r="L333">
            <v>219</v>
          </cell>
          <cell r="M333">
            <v>175626</v>
          </cell>
        </row>
        <row r="334">
          <cell r="A334">
            <v>890101676</v>
          </cell>
          <cell r="B334" t="str">
            <v>FABRICA DE BOLSAS DE PAPEL UNIBOL SAS</v>
          </cell>
          <cell r="C334" t="str">
            <v>+570000</v>
          </cell>
          <cell r="E334" t="str">
            <v>FACTURACIONELECTRONICA@UNIBOL.COM.CO</v>
          </cell>
          <cell r="F334" t="str">
            <v>AUT EL AEROPUERTO KM 7</v>
          </cell>
          <cell r="G334" t="str">
            <v>08</v>
          </cell>
          <cell r="H334">
            <v>758</v>
          </cell>
          <cell r="I334" t="str">
            <v>08758</v>
          </cell>
          <cell r="J334" t="str">
            <v>TRANSPORTE</v>
          </cell>
          <cell r="K334">
            <v>3312</v>
          </cell>
          <cell r="L334">
            <v>334</v>
          </cell>
          <cell r="M334">
            <v>26450</v>
          </cell>
        </row>
        <row r="335">
          <cell r="A335">
            <v>890101815</v>
          </cell>
          <cell r="B335" t="str">
            <v>KENVUE COLOMBIA S.A.</v>
          </cell>
          <cell r="C335" t="str">
            <v>11</v>
          </cell>
          <cell r="E335" t="str">
            <v>RA-CRF-Colombia@kenvue.com</v>
          </cell>
          <cell r="F335" t="str">
            <v>CL 15 31 146 ZN INDUSTRIAL ACOPI</v>
          </cell>
          <cell r="G335">
            <v>76</v>
          </cell>
          <cell r="H335" t="str">
            <v>892</v>
          </cell>
          <cell r="I335" t="str">
            <v>76892</v>
          </cell>
          <cell r="J335" t="str">
            <v>SERV MTTO</v>
          </cell>
          <cell r="K335">
            <v>3312</v>
          </cell>
          <cell r="L335">
            <v>334</v>
          </cell>
          <cell r="M335">
            <v>9800000</v>
          </cell>
        </row>
        <row r="336">
          <cell r="A336">
            <v>890101815</v>
          </cell>
          <cell r="B336" t="str">
            <v>KENVUE COLOMBIA S.A.</v>
          </cell>
          <cell r="C336" t="str">
            <v>11</v>
          </cell>
          <cell r="E336" t="str">
            <v>RA-CRF-Colombia@kenvue.com</v>
          </cell>
          <cell r="F336" t="str">
            <v>CL 15 31 146 ZN INDUSTRIAL ACOPI</v>
          </cell>
          <cell r="G336">
            <v>76</v>
          </cell>
          <cell r="H336" t="str">
            <v>892</v>
          </cell>
          <cell r="I336" t="str">
            <v>76892</v>
          </cell>
          <cell r="J336" t="str">
            <v>VENTA DE BIENES</v>
          </cell>
          <cell r="K336">
            <v>4659</v>
          </cell>
          <cell r="L336">
            <v>219</v>
          </cell>
          <cell r="M336">
            <v>82228336</v>
          </cell>
        </row>
        <row r="337">
          <cell r="A337">
            <v>890105526</v>
          </cell>
          <cell r="B337" t="str">
            <v>PROMIGAS S.A. E.S.P.</v>
          </cell>
          <cell r="C337" t="str">
            <v>+570000</v>
          </cell>
          <cell r="E337" t="str">
            <v>RADICACION.TUFACTURA@COLSEIN.COM.CO</v>
          </cell>
          <cell r="F337" t="str">
            <v>CL 66 67-123</v>
          </cell>
          <cell r="G337" t="str">
            <v>08</v>
          </cell>
          <cell r="H337" t="str">
            <v>001</v>
          </cell>
          <cell r="I337" t="str">
            <v>08001</v>
          </cell>
          <cell r="J337" t="str">
            <v>VENTA DE BIENES</v>
          </cell>
          <cell r="K337">
            <v>4659</v>
          </cell>
          <cell r="L337">
            <v>219</v>
          </cell>
          <cell r="M337">
            <v>74947570</v>
          </cell>
        </row>
        <row r="338">
          <cell r="A338">
            <v>890105927</v>
          </cell>
          <cell r="B338" t="str">
            <v>C.I. FARMACAPSULA S.A.S</v>
          </cell>
          <cell r="C338" t="str">
            <v>+570000</v>
          </cell>
          <cell r="E338" t="str">
            <v>SUFACTURA@FARMACAPSULAS.COM</v>
          </cell>
          <cell r="F338" t="str">
            <v>CALLE 80 No 78C-20</v>
          </cell>
          <cell r="G338" t="str">
            <v>08</v>
          </cell>
          <cell r="H338" t="str">
            <v>001</v>
          </cell>
          <cell r="I338" t="str">
            <v>08001</v>
          </cell>
          <cell r="J338" t="str">
            <v>42 GRAVADOS</v>
          </cell>
          <cell r="K338">
            <v>4659</v>
          </cell>
          <cell r="L338">
            <v>219</v>
          </cell>
          <cell r="M338">
            <v>16762149</v>
          </cell>
        </row>
        <row r="339">
          <cell r="A339">
            <v>890200162</v>
          </cell>
          <cell r="B339" t="str">
            <v>ACUEDUCTO METROPOLITANO DE BUCARAMANGA S.A E.S.P.</v>
          </cell>
          <cell r="C339" t="str">
            <v>+570000</v>
          </cell>
          <cell r="E339" t="str">
            <v>JSOCHA@AMB.COM.CO</v>
          </cell>
          <cell r="F339" t="str">
            <v>DG  32  30A 51 VIA PAMPLONA</v>
          </cell>
          <cell r="G339">
            <v>54</v>
          </cell>
          <cell r="H339" t="str">
            <v>518</v>
          </cell>
          <cell r="I339" t="str">
            <v>54518</v>
          </cell>
          <cell r="J339" t="str">
            <v>VENTA DE BIENES</v>
          </cell>
          <cell r="K339">
            <v>4659</v>
          </cell>
          <cell r="L339">
            <v>219</v>
          </cell>
          <cell r="M339">
            <v>221096856</v>
          </cell>
        </row>
        <row r="340">
          <cell r="A340">
            <v>890201881</v>
          </cell>
          <cell r="B340" t="str">
            <v>AVSA S.A</v>
          </cell>
          <cell r="C340" t="str">
            <v>+570000</v>
          </cell>
          <cell r="E340" t="str">
            <v>recepcionfe@avidesaoriente.com</v>
          </cell>
          <cell r="F340" t="str">
            <v>CR 34 19A 69</v>
          </cell>
          <cell r="G340">
            <v>11</v>
          </cell>
          <cell r="H340" t="str">
            <v>001</v>
          </cell>
          <cell r="I340" t="str">
            <v>11001</v>
          </cell>
          <cell r="J340" t="str">
            <v>VENTA DE BIENES</v>
          </cell>
          <cell r="K340">
            <v>4659</v>
          </cell>
          <cell r="L340">
            <v>219</v>
          </cell>
          <cell r="M340">
            <v>292420770</v>
          </cell>
        </row>
        <row r="341">
          <cell r="A341">
            <v>890205091</v>
          </cell>
          <cell r="B341" t="str">
            <v>PRECOCIDOS DEL ORIENTE SAS</v>
          </cell>
          <cell r="E341" t="str">
            <v>infofacturae@precocidosdeloriente.com</v>
          </cell>
          <cell r="F341" t="str">
            <v>Cl. 18 #15-17</v>
          </cell>
          <cell r="G341" t="str">
            <v>08</v>
          </cell>
          <cell r="H341">
            <v>758</v>
          </cell>
          <cell r="I341" t="str">
            <v>08758</v>
          </cell>
          <cell r="J341" t="str">
            <v>VENTA DE BIENES</v>
          </cell>
          <cell r="K341">
            <v>4659</v>
          </cell>
          <cell r="L341">
            <v>219</v>
          </cell>
          <cell r="M341">
            <v>9747935</v>
          </cell>
        </row>
        <row r="342">
          <cell r="A342">
            <v>890205091</v>
          </cell>
          <cell r="B342" t="str">
            <v>PRECOCIDOS DEL ORIENTE SAS</v>
          </cell>
          <cell r="E342" t="str">
            <v>infofacturae@precocidosdeloriente.com</v>
          </cell>
          <cell r="F342" t="str">
            <v>Cl. 18 #15-17</v>
          </cell>
          <cell r="G342" t="str">
            <v>08</v>
          </cell>
          <cell r="H342">
            <v>758</v>
          </cell>
          <cell r="I342" t="str">
            <v>08758</v>
          </cell>
          <cell r="J342" t="str">
            <v>42 GRAVADOS</v>
          </cell>
          <cell r="K342">
            <v>4659</v>
          </cell>
          <cell r="L342">
            <v>219</v>
          </cell>
          <cell r="M342">
            <v>1156</v>
          </cell>
        </row>
        <row r="343">
          <cell r="A343">
            <v>890205142</v>
          </cell>
          <cell r="B343" t="str">
            <v>DISTRAVES S.A.S</v>
          </cell>
          <cell r="C343" t="str">
            <v>+570000</v>
          </cell>
          <cell r="E343" t="str">
            <v>PROVEEDORFACTURA-E@DISTRAVES.COM</v>
          </cell>
          <cell r="F343" t="str">
            <v>Calle 16 # 20-01 callejón palo blanco</v>
          </cell>
          <cell r="G343" t="str">
            <v>76</v>
          </cell>
          <cell r="H343" t="str">
            <v>113</v>
          </cell>
          <cell r="I343" t="str">
            <v>76113</v>
          </cell>
          <cell r="J343" t="str">
            <v>VENTA DE BIENES</v>
          </cell>
          <cell r="K343">
            <v>4659</v>
          </cell>
          <cell r="L343">
            <v>219</v>
          </cell>
          <cell r="M343">
            <v>2399026</v>
          </cell>
        </row>
        <row r="344">
          <cell r="A344">
            <v>890205225</v>
          </cell>
          <cell r="B344" t="str">
            <v>ELECTRO REY SAS</v>
          </cell>
          <cell r="C344" t="str">
            <v>+570000</v>
          </cell>
          <cell r="E344" t="str">
            <v>FACTURASPROVEEDORES@ELECTROREY.CO</v>
          </cell>
          <cell r="F344" t="str">
            <v>CL 50 27-01 BRR SOTOMAYOR</v>
          </cell>
          <cell r="G344" t="str">
            <v>68</v>
          </cell>
          <cell r="H344" t="str">
            <v>001</v>
          </cell>
          <cell r="I344" t="str">
            <v>68001</v>
          </cell>
          <cell r="J344" t="str">
            <v>VENTA DE BIENES</v>
          </cell>
          <cell r="K344">
            <v>4659</v>
          </cell>
          <cell r="L344">
            <v>219</v>
          </cell>
          <cell r="M344">
            <v>2640141</v>
          </cell>
        </row>
        <row r="345">
          <cell r="A345">
            <v>890205952</v>
          </cell>
          <cell r="B345" t="str">
            <v>GAS NATURAL DE ORIENTE S.A</v>
          </cell>
          <cell r="E345" t="str">
            <v>gasorientefacturae@grupovanti.com</v>
          </cell>
          <cell r="F345" t="str">
            <v>DG 13 60A-54</v>
          </cell>
          <cell r="G345" t="str">
            <v>68</v>
          </cell>
          <cell r="H345" t="str">
            <v>001</v>
          </cell>
          <cell r="I345" t="str">
            <v>68001</v>
          </cell>
          <cell r="J345" t="str">
            <v>VENTA DE BIENES</v>
          </cell>
          <cell r="K345">
            <v>4659</v>
          </cell>
          <cell r="L345">
            <v>219</v>
          </cell>
          <cell r="M345">
            <v>4855006</v>
          </cell>
        </row>
        <row r="346">
          <cell r="A346">
            <v>890300279</v>
          </cell>
          <cell r="B346" t="str">
            <v>BANCO DE OCCIDENTE</v>
          </cell>
          <cell r="C346" t="e">
            <v>#N/A</v>
          </cell>
          <cell r="E346" t="e">
            <v>#N/A</v>
          </cell>
          <cell r="F346" t="e">
            <v>#N/A</v>
          </cell>
          <cell r="G346">
            <v>11</v>
          </cell>
          <cell r="H346" t="str">
            <v>001</v>
          </cell>
          <cell r="I346" t="str">
            <v>11001</v>
          </cell>
          <cell r="J346" t="str">
            <v>INTERESES</v>
          </cell>
          <cell r="K346">
            <v>6619</v>
          </cell>
          <cell r="L346">
            <v>402</v>
          </cell>
          <cell r="M346">
            <v>6733236</v>
          </cell>
        </row>
        <row r="347">
          <cell r="A347">
            <v>890300292</v>
          </cell>
          <cell r="B347" t="str">
            <v>LABORATORIOS BAXTER S.A.</v>
          </cell>
          <cell r="C347" t="str">
            <v>+570000</v>
          </cell>
          <cell r="E347" t="str">
            <v>FACTURACION_ELECTRONICA@BAXTER.COM</v>
          </cell>
          <cell r="F347" t="str">
            <v>CL 36 2C-22</v>
          </cell>
          <cell r="G347">
            <v>76</v>
          </cell>
          <cell r="H347" t="str">
            <v>001</v>
          </cell>
          <cell r="I347" t="str">
            <v>76001</v>
          </cell>
          <cell r="J347" t="str">
            <v>VENTA DE BIENES</v>
          </cell>
          <cell r="K347">
            <v>4659</v>
          </cell>
          <cell r="L347">
            <v>219</v>
          </cell>
          <cell r="M347">
            <v>74918720</v>
          </cell>
        </row>
        <row r="348">
          <cell r="A348">
            <v>890300292</v>
          </cell>
          <cell r="B348" t="str">
            <v>LABORATORIOS BAXTER S.A.</v>
          </cell>
          <cell r="C348" t="str">
            <v>+570000</v>
          </cell>
          <cell r="E348" t="str">
            <v>FACTURACION_ELECTRONICA@BAXTER.COM</v>
          </cell>
          <cell r="F348" t="str">
            <v>CL 36 2C-22</v>
          </cell>
          <cell r="G348">
            <v>76</v>
          </cell>
          <cell r="H348" t="str">
            <v>001</v>
          </cell>
          <cell r="I348" t="str">
            <v>76001</v>
          </cell>
          <cell r="J348" t="str">
            <v>TRANSPORTE</v>
          </cell>
          <cell r="K348">
            <v>3312</v>
          </cell>
          <cell r="L348">
            <v>334</v>
          </cell>
          <cell r="M348">
            <v>730250</v>
          </cell>
        </row>
        <row r="349">
          <cell r="A349">
            <v>890300406</v>
          </cell>
          <cell r="B349" t="str">
            <v>CARTON DE COLOMBIA S.A.</v>
          </cell>
          <cell r="C349" t="str">
            <v>3129521</v>
          </cell>
          <cell r="D349" t="str">
            <v>3129521</v>
          </cell>
          <cell r="E349" t="str">
            <v>PROVEEDORES.CARTONCOLOMBIA@SMURFITKAPPA.COM.CO</v>
          </cell>
          <cell r="F349" t="str">
            <v>VIA 40 PLANTA MOLINO 5 Vía 40  85 695</v>
          </cell>
          <cell r="G349" t="str">
            <v>08</v>
          </cell>
          <cell r="H349" t="str">
            <v>001</v>
          </cell>
          <cell r="I349" t="str">
            <v>08001</v>
          </cell>
          <cell r="J349" t="str">
            <v>VENTA DE BIENES</v>
          </cell>
          <cell r="K349">
            <v>4659</v>
          </cell>
          <cell r="L349">
            <v>219</v>
          </cell>
          <cell r="M349">
            <v>181383390</v>
          </cell>
        </row>
        <row r="350">
          <cell r="A350">
            <v>890300406</v>
          </cell>
          <cell r="B350" t="str">
            <v>CARTON DE COLOMBIA S.A.</v>
          </cell>
          <cell r="C350" t="str">
            <v>3129521</v>
          </cell>
          <cell r="D350" t="str">
            <v>3129521</v>
          </cell>
          <cell r="E350" t="str">
            <v>PROVEEDORES.CARTONCOLOMBIA@SMURFITKAPPA.COM.CO</v>
          </cell>
          <cell r="F350" t="str">
            <v>VIA 40 PLANTA MOLINO 5 Vía 40  85 695</v>
          </cell>
          <cell r="G350" t="str">
            <v>08</v>
          </cell>
          <cell r="H350" t="str">
            <v>001</v>
          </cell>
          <cell r="I350" t="str">
            <v>08001</v>
          </cell>
          <cell r="J350" t="str">
            <v>42 GRAVADOS</v>
          </cell>
          <cell r="K350">
            <v>4659</v>
          </cell>
          <cell r="L350">
            <v>219</v>
          </cell>
          <cell r="M350">
            <v>4556</v>
          </cell>
        </row>
        <row r="351">
          <cell r="A351">
            <v>890300431</v>
          </cell>
          <cell r="B351" t="str">
            <v>CABLES DE ENERGIA Y DE TELECOMUNICACIONES S.A.S</v>
          </cell>
          <cell r="C351" t="str">
            <v>+570000</v>
          </cell>
          <cell r="E351" t="str">
            <v>RADICACION.TUFACTURA@COLSEIN.COM.CO</v>
          </cell>
          <cell r="F351" t="str">
            <v>CL 10 38-43 URB INDUSTRIAL ACOPI</v>
          </cell>
          <cell r="G351">
            <v>76</v>
          </cell>
          <cell r="H351" t="str">
            <v>892</v>
          </cell>
          <cell r="I351" t="str">
            <v>76892</v>
          </cell>
          <cell r="J351" t="str">
            <v>VENTA DE BIENES</v>
          </cell>
          <cell r="K351">
            <v>4659</v>
          </cell>
          <cell r="L351">
            <v>219</v>
          </cell>
          <cell r="M351">
            <v>29632523</v>
          </cell>
        </row>
        <row r="352">
          <cell r="A352">
            <v>890300435</v>
          </cell>
          <cell r="B352" t="str">
            <v>CELCO SAS</v>
          </cell>
          <cell r="C352" t="str">
            <v>+570000</v>
          </cell>
          <cell r="E352" t="str">
            <v>ANDRESFELIPE@CELCO.COM.CO</v>
          </cell>
          <cell r="F352" t="str">
            <v>CR 3 47A-74</v>
          </cell>
          <cell r="G352" t="str">
            <v>76</v>
          </cell>
          <cell r="H352" t="str">
            <v>001</v>
          </cell>
          <cell r="I352" t="str">
            <v>76001</v>
          </cell>
          <cell r="J352" t="str">
            <v>VENTA DE BIENES</v>
          </cell>
          <cell r="K352">
            <v>4659</v>
          </cell>
          <cell r="L352">
            <v>219</v>
          </cell>
          <cell r="M352">
            <v>903941</v>
          </cell>
        </row>
        <row r="353">
          <cell r="A353">
            <v>890300466</v>
          </cell>
          <cell r="B353" t="str">
            <v>TECNOQUIMICAS S.A</v>
          </cell>
          <cell r="C353" t="str">
            <v>+570000</v>
          </cell>
          <cell r="E353" t="str">
            <v>RECEPCIONFE@TECNOQUIMICAS.COM</v>
          </cell>
          <cell r="F353" t="str">
            <v>CL 23 7-39 311 823 89612</v>
          </cell>
          <cell r="G353" t="str">
            <v>19</v>
          </cell>
          <cell r="H353" t="str">
            <v>845</v>
          </cell>
          <cell r="I353" t="str">
            <v>19845</v>
          </cell>
          <cell r="J353" t="str">
            <v>VENTA DE BIENES</v>
          </cell>
          <cell r="K353">
            <v>4659</v>
          </cell>
          <cell r="L353">
            <v>219</v>
          </cell>
          <cell r="M353">
            <v>8196289</v>
          </cell>
        </row>
        <row r="354">
          <cell r="A354">
            <v>890300546</v>
          </cell>
          <cell r="B354" t="str">
            <v>COLGATE PALMOLIVE COMPAÑÍA</v>
          </cell>
          <cell r="C354" t="str">
            <v>+570000</v>
          </cell>
          <cell r="E354" t="str">
            <v>890300546@mailbox.edicomnet.com</v>
          </cell>
          <cell r="F354" t="str">
            <v>CR 1 40-108</v>
          </cell>
          <cell r="G354">
            <v>76</v>
          </cell>
          <cell r="H354" t="str">
            <v>001</v>
          </cell>
          <cell r="I354" t="str">
            <v>76001</v>
          </cell>
          <cell r="J354" t="str">
            <v>VENTA DE BIENES</v>
          </cell>
          <cell r="K354">
            <v>4659</v>
          </cell>
          <cell r="L354">
            <v>219</v>
          </cell>
          <cell r="M354">
            <v>202044967</v>
          </cell>
        </row>
        <row r="355">
          <cell r="A355">
            <v>890300546</v>
          </cell>
          <cell r="B355" t="str">
            <v>COLGATE PALMOLIVE COMPAÑÍA</v>
          </cell>
          <cell r="C355" t="str">
            <v>+570000</v>
          </cell>
          <cell r="E355" t="str">
            <v>890300546@mailbox.edicomnet.com</v>
          </cell>
          <cell r="F355" t="str">
            <v>CR 1 40-108</v>
          </cell>
          <cell r="G355">
            <v>76</v>
          </cell>
          <cell r="H355" t="str">
            <v>001</v>
          </cell>
          <cell r="I355" t="str">
            <v>76001</v>
          </cell>
          <cell r="J355" t="str">
            <v>42 GRAVADOS</v>
          </cell>
          <cell r="K355">
            <v>4659</v>
          </cell>
          <cell r="L355">
            <v>219</v>
          </cell>
          <cell r="M355">
            <v>15606</v>
          </cell>
        </row>
        <row r="356">
          <cell r="A356">
            <v>890300684</v>
          </cell>
          <cell r="B356" t="str">
            <v>RECKITT BENCKISER COLOMBIA S.A.</v>
          </cell>
          <cell r="C356" t="str">
            <v>+570000</v>
          </cell>
          <cell r="E356" t="str">
            <v>RADICACION.RBCOLOMBIA@RB.COM</v>
          </cell>
          <cell r="F356" t="str">
            <v>CL 46 5-76</v>
          </cell>
          <cell r="G356" t="str">
            <v>76</v>
          </cell>
          <cell r="H356" t="str">
            <v>001</v>
          </cell>
          <cell r="I356" t="str">
            <v>76001</v>
          </cell>
          <cell r="J356" t="str">
            <v>VENTA DE BIENES</v>
          </cell>
          <cell r="K356">
            <v>4659</v>
          </cell>
          <cell r="L356">
            <v>219</v>
          </cell>
          <cell r="M356">
            <v>5858840</v>
          </cell>
        </row>
        <row r="357">
          <cell r="A357">
            <v>890301054</v>
          </cell>
          <cell r="B357" t="str">
            <v>TORRECAFE AGUILA ROJA Y CIA S.A.</v>
          </cell>
          <cell r="C357" t="str">
            <v>+570000</v>
          </cell>
          <cell r="E357" t="str">
            <v>MANTENIMIENTO@AGUILAROJA.COM</v>
          </cell>
          <cell r="F357" t="str">
            <v>CR 5 21-48 SAN NICOLAS</v>
          </cell>
          <cell r="G357">
            <v>76</v>
          </cell>
          <cell r="H357" t="str">
            <v>001</v>
          </cell>
          <cell r="I357" t="str">
            <v>76001</v>
          </cell>
          <cell r="J357" t="str">
            <v>VENTA DE BIENES</v>
          </cell>
          <cell r="K357">
            <v>4659</v>
          </cell>
          <cell r="L357">
            <v>219</v>
          </cell>
          <cell r="M357">
            <v>5308078</v>
          </cell>
        </row>
        <row r="358">
          <cell r="A358">
            <v>890301602</v>
          </cell>
          <cell r="B358" t="str">
            <v>LLOREDA S.A.</v>
          </cell>
          <cell r="C358" t="str">
            <v>+570000</v>
          </cell>
          <cell r="E358" t="str">
            <v>FACTURAELECTRONICA@LLOREDA.COM.CO</v>
          </cell>
          <cell r="F358" t="str">
            <v>CR 10 32-19, PLANTA ASEO</v>
          </cell>
          <cell r="G358" t="str">
            <v>08</v>
          </cell>
          <cell r="H358" t="str">
            <v>001</v>
          </cell>
          <cell r="I358" t="str">
            <v>08001</v>
          </cell>
          <cell r="J358" t="str">
            <v>VENTA DE BIENES</v>
          </cell>
          <cell r="K358">
            <v>4659</v>
          </cell>
          <cell r="L358">
            <v>219</v>
          </cell>
          <cell r="M358">
            <v>1313280</v>
          </cell>
        </row>
        <row r="359">
          <cell r="A359">
            <v>890301690</v>
          </cell>
          <cell r="B359" t="str">
            <v>INGREDION COLOMBIA S.A.</v>
          </cell>
          <cell r="C359" t="str">
            <v>+570000</v>
          </cell>
          <cell r="E359" t="str">
            <v>COL_INTERCAMBIO@EINVOICING.SIGNATURE-CLOUD.COM</v>
          </cell>
          <cell r="F359" t="str">
            <v>CL 10B 1F-225 PUERTO MARITIMO</v>
          </cell>
          <cell r="G359" t="str">
            <v>08</v>
          </cell>
          <cell r="H359" t="str">
            <v>001</v>
          </cell>
          <cell r="I359" t="str">
            <v>08001</v>
          </cell>
          <cell r="J359" t="str">
            <v>VENTA DE BIENES</v>
          </cell>
          <cell r="K359">
            <v>4659</v>
          </cell>
          <cell r="L359">
            <v>219</v>
          </cell>
          <cell r="M359">
            <v>18838552</v>
          </cell>
        </row>
        <row r="360">
          <cell r="A360">
            <v>890301884</v>
          </cell>
          <cell r="B360" t="str">
            <v>COLOMBINA S.A.</v>
          </cell>
          <cell r="C360">
            <v>6043312</v>
          </cell>
          <cell r="D360">
            <v>6043312</v>
          </cell>
          <cell r="E360" t="str">
            <v>RECEPCION-FE@COLOMBINA.COM</v>
          </cell>
          <cell r="F360" t="str">
            <v>CL 72 42-77</v>
          </cell>
          <cell r="G360" t="str">
            <v>05</v>
          </cell>
          <cell r="H360" t="str">
            <v>360</v>
          </cell>
          <cell r="I360" t="str">
            <v>05360</v>
          </cell>
          <cell r="J360" t="str">
            <v>VENTA DE BIENES</v>
          </cell>
          <cell r="K360">
            <v>4659</v>
          </cell>
          <cell r="L360">
            <v>219</v>
          </cell>
          <cell r="M360">
            <v>34193261</v>
          </cell>
        </row>
        <row r="361">
          <cell r="A361">
            <v>890301960</v>
          </cell>
          <cell r="B361" t="str">
            <v>CARVAJAL PULPA Y PAPEL S.A.</v>
          </cell>
          <cell r="C361" t="str">
            <v>+570000</v>
          </cell>
          <cell r="E361" t="str">
            <v>RECEPCION.FACTURASCPP@CARVAJAL.COM</v>
          </cell>
          <cell r="F361" t="str">
            <v>KM  3 VIA AL INGENIO LA CABAÑA</v>
          </cell>
          <cell r="G361" t="str">
            <v>19</v>
          </cell>
          <cell r="H361" t="str">
            <v>142</v>
          </cell>
          <cell r="I361" t="str">
            <v>19142</v>
          </cell>
          <cell r="J361" t="str">
            <v>VENTA DE BIENES</v>
          </cell>
          <cell r="K361">
            <v>4659</v>
          </cell>
          <cell r="L361">
            <v>219</v>
          </cell>
          <cell r="M361">
            <v>1949120</v>
          </cell>
        </row>
        <row r="362">
          <cell r="A362">
            <v>890302594</v>
          </cell>
          <cell r="B362" t="str">
            <v>MAYAGUEZ S.A</v>
          </cell>
          <cell r="C362" t="str">
            <v>+570000</v>
          </cell>
          <cell r="E362" t="str">
            <v>FACTURARECEPCION@INGENIOMAYAGUEZ.COM</v>
          </cell>
          <cell r="F362" t="str">
            <v>CL 22N 6AN 24 OF 701</v>
          </cell>
          <cell r="G362" t="str">
            <v>76</v>
          </cell>
          <cell r="H362" t="str">
            <v>001</v>
          </cell>
          <cell r="I362" t="str">
            <v>76001</v>
          </cell>
          <cell r="J362" t="str">
            <v>VENTA DE BIENES</v>
          </cell>
          <cell r="K362">
            <v>4659</v>
          </cell>
          <cell r="L362">
            <v>219</v>
          </cell>
          <cell r="M362">
            <v>1191200</v>
          </cell>
        </row>
        <row r="363">
          <cell r="A363">
            <v>890304130</v>
          </cell>
          <cell r="B363" t="str">
            <v>ALIMENTOS CARNICOS S.A.S.</v>
          </cell>
          <cell r="C363" t="str">
            <v>4311050</v>
          </cell>
          <cell r="D363" t="str">
            <v>4311050</v>
          </cell>
          <cell r="E363" t="str">
            <v>RECEPCION_FE@ALIMENTOSCARNICOS.COM.CO</v>
          </cell>
          <cell r="F363" t="str">
            <v>CL 31 2-80</v>
          </cell>
          <cell r="G363">
            <v>19</v>
          </cell>
          <cell r="H363" t="str">
            <v>142</v>
          </cell>
          <cell r="I363" t="str">
            <v>19142</v>
          </cell>
          <cell r="J363" t="str">
            <v>VENTA DE BIENES</v>
          </cell>
          <cell r="K363">
            <v>4659</v>
          </cell>
          <cell r="L363">
            <v>219</v>
          </cell>
          <cell r="M363">
            <v>61710850</v>
          </cell>
        </row>
        <row r="364">
          <cell r="A364">
            <v>890304130</v>
          </cell>
          <cell r="B364" t="str">
            <v>ALIMENTOS CARNICOS S.A.S.</v>
          </cell>
          <cell r="C364" t="str">
            <v>4311050</v>
          </cell>
          <cell r="D364" t="str">
            <v>4311050</v>
          </cell>
          <cell r="E364" t="str">
            <v>RECEPCION_FE@ALIMENTOSCARNICOS.COM.CO</v>
          </cell>
          <cell r="F364" t="str">
            <v>CL 31 2-80</v>
          </cell>
          <cell r="G364">
            <v>19</v>
          </cell>
          <cell r="H364" t="str">
            <v>142</v>
          </cell>
          <cell r="I364" t="str">
            <v>19142</v>
          </cell>
          <cell r="J364" t="str">
            <v>TRANSPORTE</v>
          </cell>
          <cell r="K364">
            <v>3312</v>
          </cell>
          <cell r="L364">
            <v>334</v>
          </cell>
          <cell r="M364">
            <v>11000</v>
          </cell>
        </row>
        <row r="365">
          <cell r="A365">
            <v>890304345</v>
          </cell>
          <cell r="B365" t="str">
            <v>ELECTRICOS DEL VALLE SAS</v>
          </cell>
          <cell r="C365" t="str">
            <v>+570000</v>
          </cell>
          <cell r="E365" t="str">
            <v>EFACTURA@ELECTROVALLE.COM</v>
          </cell>
          <cell r="F365" t="str">
            <v>CR 4 16-09</v>
          </cell>
          <cell r="G365">
            <v>66</v>
          </cell>
          <cell r="H365" t="str">
            <v>001</v>
          </cell>
          <cell r="I365" t="str">
            <v>66001</v>
          </cell>
          <cell r="J365" t="str">
            <v>VENTA DE BIENES</v>
          </cell>
          <cell r="K365">
            <v>4659</v>
          </cell>
          <cell r="L365">
            <v>219</v>
          </cell>
          <cell r="M365">
            <v>25201346</v>
          </cell>
        </row>
        <row r="366">
          <cell r="A366">
            <v>890307682</v>
          </cell>
          <cell r="B366" t="str">
            <v>PLASTICOS FENIX S.A.S.</v>
          </cell>
          <cell r="C366" t="str">
            <v>+570000</v>
          </cell>
          <cell r="E366" t="str">
            <v>COMPRAS@PLASTIFENIX.COM</v>
          </cell>
          <cell r="F366" t="str">
            <v>KM 10 VIA A LA TEBAIDA</v>
          </cell>
          <cell r="G366" t="str">
            <v>63</v>
          </cell>
          <cell r="H366" t="str">
            <v>401</v>
          </cell>
          <cell r="I366" t="str">
            <v>63401</v>
          </cell>
          <cell r="J366" t="str">
            <v>VENTA DE BIENES</v>
          </cell>
          <cell r="K366">
            <v>4659</v>
          </cell>
          <cell r="L366">
            <v>219</v>
          </cell>
          <cell r="M366">
            <v>9700000</v>
          </cell>
        </row>
        <row r="367">
          <cell r="A367">
            <v>890311875</v>
          </cell>
          <cell r="B367" t="str">
            <v>SCHNEIDER ELECTRIC DE COLOMBIA S.A.S.</v>
          </cell>
          <cell r="C367" t="str">
            <v>+570000</v>
          </cell>
          <cell r="E367" t="str">
            <v>SCHNEIDER.COLOMBIA@INVOWAY.COM</v>
          </cell>
          <cell r="F367" t="str">
            <v>Calle 19 70 - 41</v>
          </cell>
          <cell r="G367">
            <v>25</v>
          </cell>
          <cell r="H367" t="str">
            <v>286</v>
          </cell>
          <cell r="I367" t="str">
            <v>25286</v>
          </cell>
          <cell r="J367" t="str">
            <v>NO GRAVADOS</v>
          </cell>
          <cell r="K367">
            <v>4659</v>
          </cell>
          <cell r="L367">
            <v>219</v>
          </cell>
          <cell r="M367">
            <v>6227815</v>
          </cell>
        </row>
        <row r="368">
          <cell r="A368">
            <v>890311875</v>
          </cell>
          <cell r="B368" t="str">
            <v>SCHNEIDER ELECTRIC DE COLOMBIA S.A.S.</v>
          </cell>
          <cell r="C368" t="str">
            <v>+570000</v>
          </cell>
          <cell r="E368" t="str">
            <v>SCHNEIDER.COLOMBIA@INVOWAY.COM</v>
          </cell>
          <cell r="F368" t="str">
            <v>Calle 19 70 - 41</v>
          </cell>
          <cell r="G368">
            <v>25</v>
          </cell>
          <cell r="H368" t="str">
            <v>286</v>
          </cell>
          <cell r="I368" t="str">
            <v>25286</v>
          </cell>
          <cell r="J368" t="str">
            <v>VENTA DE BIENES</v>
          </cell>
          <cell r="K368">
            <v>4659</v>
          </cell>
          <cell r="L368">
            <v>219</v>
          </cell>
          <cell r="M368">
            <v>1339295779</v>
          </cell>
        </row>
        <row r="369">
          <cell r="A369">
            <v>890312765</v>
          </cell>
          <cell r="B369" t="str">
            <v>MORELCO S.A.S.</v>
          </cell>
          <cell r="C369" t="str">
            <v>+570000</v>
          </cell>
          <cell r="E369" t="str">
            <v>FACTURAPROVEEDOR@MORELCO.COM.CO</v>
          </cell>
          <cell r="F369" t="str">
            <v>CL 67 18C-50 TO FLOTANTES LC 106</v>
          </cell>
          <cell r="G369">
            <v>76</v>
          </cell>
          <cell r="H369" t="str">
            <v>001</v>
          </cell>
          <cell r="I369" t="str">
            <v>76001</v>
          </cell>
          <cell r="J369" t="str">
            <v>VENTA DE BIENES</v>
          </cell>
          <cell r="K369">
            <v>4659</v>
          </cell>
          <cell r="L369">
            <v>219</v>
          </cell>
          <cell r="M369">
            <v>5218848</v>
          </cell>
        </row>
        <row r="370">
          <cell r="A370">
            <v>890315291</v>
          </cell>
          <cell r="B370" t="str">
            <v>MASTER ELECTRICO DEL VALLE S.A.</v>
          </cell>
          <cell r="C370" t="str">
            <v>+570000</v>
          </cell>
          <cell r="E370" t="str">
            <v>PROVEEDORES@MASTERELECTRICO.COM</v>
          </cell>
          <cell r="F370" t="str">
            <v>CR 6 18 18</v>
          </cell>
          <cell r="G370">
            <v>76</v>
          </cell>
          <cell r="H370" t="str">
            <v>001</v>
          </cell>
          <cell r="I370" t="str">
            <v>76001</v>
          </cell>
          <cell r="J370" t="str">
            <v>VENTA DE BIENES</v>
          </cell>
          <cell r="K370">
            <v>4659</v>
          </cell>
          <cell r="L370">
            <v>219</v>
          </cell>
          <cell r="M370">
            <v>6490295</v>
          </cell>
        </row>
        <row r="371">
          <cell r="A371">
            <v>890316586</v>
          </cell>
          <cell r="B371" t="str">
            <v>ELECTRONICA INDUSTRIAL COLOMBIANA GROUP S.A.S</v>
          </cell>
          <cell r="C371" t="str">
            <v>4447441</v>
          </cell>
          <cell r="D371" t="str">
            <v>4447441</v>
          </cell>
          <cell r="E371" t="str">
            <v>AUXILIARCONTABLE@ELICOGRP.COM</v>
          </cell>
          <cell r="F371" t="str">
            <v>CR48 C 100 SUR 72 BG 15</v>
          </cell>
          <cell r="G371" t="str">
            <v>05</v>
          </cell>
          <cell r="H371" t="str">
            <v>380</v>
          </cell>
          <cell r="I371" t="str">
            <v>05380</v>
          </cell>
          <cell r="J371" t="str">
            <v>VENTA DE BIENES</v>
          </cell>
          <cell r="K371">
            <v>4659</v>
          </cell>
          <cell r="L371">
            <v>219</v>
          </cell>
          <cell r="M371">
            <v>11170443</v>
          </cell>
        </row>
        <row r="372">
          <cell r="A372">
            <v>890317504</v>
          </cell>
          <cell r="B372" t="str">
            <v>ALMACEN SURTITODO LTDA</v>
          </cell>
          <cell r="C372" t="str">
            <v>+570000</v>
          </cell>
          <cell r="E372" t="str">
            <v>facturacion@almacensurtitodo.com.co</v>
          </cell>
          <cell r="F372" t="str">
            <v>CR 7 17-21</v>
          </cell>
          <cell r="G372" t="str">
            <v>76</v>
          </cell>
          <cell r="H372" t="str">
            <v>001</v>
          </cell>
          <cell r="I372" t="str">
            <v>76001</v>
          </cell>
          <cell r="J372" t="str">
            <v>VENTA DE BIENES</v>
          </cell>
          <cell r="K372">
            <v>4659</v>
          </cell>
          <cell r="L372">
            <v>219</v>
          </cell>
          <cell r="M372">
            <v>4978431</v>
          </cell>
        </row>
        <row r="373">
          <cell r="A373">
            <v>890319047</v>
          </cell>
          <cell r="B373" t="str">
            <v>CARVAJAL EMPAQUES S.A.</v>
          </cell>
          <cell r="C373" t="str">
            <v>+570000</v>
          </cell>
          <cell r="E373" t="str">
            <v>RECEPCION.FACTURASEMPAQUES@CARVAJAL.COM</v>
          </cell>
          <cell r="F373" t="str">
            <v>PAR INDUSTRIAL GRAN SABANA LOTE 68A</v>
          </cell>
          <cell r="G373">
            <v>76</v>
          </cell>
          <cell r="H373" t="str">
            <v>001</v>
          </cell>
          <cell r="I373" t="str">
            <v>76001</v>
          </cell>
          <cell r="J373" t="str">
            <v>VENTA DE BIENES</v>
          </cell>
          <cell r="K373">
            <v>4659</v>
          </cell>
          <cell r="L373">
            <v>219</v>
          </cell>
          <cell r="M373">
            <v>107055061</v>
          </cell>
        </row>
        <row r="374">
          <cell r="A374">
            <v>890320250</v>
          </cell>
          <cell r="B374" t="str">
            <v>COLOMBIANA DE MOLDEADOS SAS</v>
          </cell>
          <cell r="C374" t="str">
            <v>+570000</v>
          </cell>
          <cell r="E374" t="str">
            <v>E-FACTURACION.CM@MOLPACK.NET</v>
          </cell>
          <cell r="F374" t="str">
            <v>KM 1.5 VIA BUGA BUENAVENTURA</v>
          </cell>
          <cell r="G374" t="str">
            <v>76</v>
          </cell>
          <cell r="H374" t="str">
            <v>113</v>
          </cell>
          <cell r="I374" t="str">
            <v>76113</v>
          </cell>
          <cell r="J374" t="str">
            <v>VENTA DE BIENES</v>
          </cell>
          <cell r="K374">
            <v>4659</v>
          </cell>
          <cell r="L374">
            <v>219</v>
          </cell>
          <cell r="M374">
            <v>1324868</v>
          </cell>
        </row>
        <row r="375">
          <cell r="A375">
            <v>890321256</v>
          </cell>
          <cell r="B375" t="str">
            <v>SISTEMAS ELECTRONICOS S.A.S</v>
          </cell>
          <cell r="C375">
            <v>5566000</v>
          </cell>
          <cell r="D375">
            <v>5566000</v>
          </cell>
          <cell r="E375" t="str">
            <v>FACTURACION_ELECTRONICA@SISTRONIC.COM.CO</v>
          </cell>
          <cell r="F375" t="str">
            <v>CL 4B 27-85</v>
          </cell>
          <cell r="G375" t="str">
            <v>76</v>
          </cell>
          <cell r="H375" t="str">
            <v>001</v>
          </cell>
          <cell r="I375" t="str">
            <v>76001</v>
          </cell>
          <cell r="J375" t="str">
            <v>VENTA DE BIENES</v>
          </cell>
          <cell r="K375">
            <v>4659</v>
          </cell>
          <cell r="L375">
            <v>219</v>
          </cell>
          <cell r="M375">
            <v>10266962</v>
          </cell>
        </row>
        <row r="376">
          <cell r="A376">
            <v>890322007</v>
          </cell>
          <cell r="B376" t="str">
            <v>QUIMPAC DE COLOMBIA S.A.</v>
          </cell>
          <cell r="C376" t="str">
            <v>+570000</v>
          </cell>
          <cell r="E376" t="str">
            <v>FACTURACIONQP@QUIMPAC.COM.CO</v>
          </cell>
          <cell r="F376" t="str">
            <v>KM 13 AUT YUMBO - AEROPUERTO CORR PALMA SECA</v>
          </cell>
          <cell r="G376">
            <v>76</v>
          </cell>
          <cell r="H376" t="str">
            <v>520</v>
          </cell>
          <cell r="I376" t="str">
            <v>76520</v>
          </cell>
          <cell r="J376" t="str">
            <v>VENTA DE BIENES</v>
          </cell>
          <cell r="K376">
            <v>4659</v>
          </cell>
          <cell r="L376">
            <v>219</v>
          </cell>
          <cell r="M376">
            <v>1900000</v>
          </cell>
        </row>
        <row r="377">
          <cell r="A377">
            <v>890323114</v>
          </cell>
          <cell r="B377" t="str">
            <v>FUNDIMETAL DE COLOMBIA S. A. S.</v>
          </cell>
          <cell r="C377" t="str">
            <v>+570000</v>
          </cell>
          <cell r="E377" t="str">
            <v>FACTURACION@FUNDIMETAL.COM</v>
          </cell>
          <cell r="F377" t="str">
            <v>CL 2 TV 0 154 CORR PARCELACION INDUSTRIAL LA DOLORES</v>
          </cell>
          <cell r="G377" t="str">
            <v>76</v>
          </cell>
          <cell r="H377" t="str">
            <v>520</v>
          </cell>
          <cell r="I377" t="str">
            <v>76520</v>
          </cell>
          <cell r="J377" t="str">
            <v>VENTA DE BIENES</v>
          </cell>
          <cell r="K377">
            <v>4659</v>
          </cell>
          <cell r="L377">
            <v>219</v>
          </cell>
          <cell r="M377">
            <v>7066426</v>
          </cell>
        </row>
        <row r="378">
          <cell r="A378">
            <v>890329438</v>
          </cell>
          <cell r="B378" t="str">
            <v>CLOROX DE COLOMBIA SA</v>
          </cell>
          <cell r="C378" t="str">
            <v>+570000</v>
          </cell>
          <cell r="E378" t="str">
            <v>FEPROVEEDORESCO@CLOROX.COM</v>
          </cell>
          <cell r="F378" t="str">
            <v>CR 68B 12A-20</v>
          </cell>
          <cell r="G378" t="str">
            <v>11</v>
          </cell>
          <cell r="H378" t="str">
            <v>001</v>
          </cell>
          <cell r="I378" t="str">
            <v>11001</v>
          </cell>
          <cell r="J378" t="str">
            <v>VENTA DE BIENES</v>
          </cell>
          <cell r="K378">
            <v>4659</v>
          </cell>
          <cell r="L378">
            <v>219</v>
          </cell>
          <cell r="M378">
            <v>37571360</v>
          </cell>
        </row>
        <row r="379">
          <cell r="A379">
            <v>890333023</v>
          </cell>
          <cell r="B379" t="str">
            <v>SIDERURGICA DEL OCCIDENTE S.A.S.</v>
          </cell>
          <cell r="C379" t="str">
            <v>+570000</v>
          </cell>
          <cell r="E379" t="str">
            <v>RFE@SIDOCSAS.COM</v>
          </cell>
          <cell r="F379" t="str">
            <v>CR 37 12 A 63</v>
          </cell>
          <cell r="G379" t="str">
            <v>76</v>
          </cell>
          <cell r="H379" t="str">
            <v>892</v>
          </cell>
          <cell r="I379" t="str">
            <v>76892</v>
          </cell>
          <cell r="J379" t="str">
            <v>VENTA DE BIENES</v>
          </cell>
          <cell r="K379">
            <v>4659</v>
          </cell>
          <cell r="L379">
            <v>219</v>
          </cell>
          <cell r="M379">
            <v>2660400</v>
          </cell>
        </row>
        <row r="380">
          <cell r="A380">
            <v>890400372</v>
          </cell>
          <cell r="B380" t="str">
            <v>RAFAEL DEL CASTILLO &amp; CIA. S.A.</v>
          </cell>
          <cell r="C380">
            <v>6625027</v>
          </cell>
          <cell r="D380">
            <v>6625027</v>
          </cell>
          <cell r="E380" t="str">
            <v>890400372@factureinbox.co</v>
          </cell>
          <cell r="F380" t="str">
            <v>Cra. 43 No. 6 - 89</v>
          </cell>
          <cell r="G380" t="str">
            <v>08</v>
          </cell>
          <cell r="H380" t="str">
            <v>001</v>
          </cell>
          <cell r="I380" t="str">
            <v>08001</v>
          </cell>
          <cell r="J380" t="str">
            <v>VENTA DE BIENES</v>
          </cell>
          <cell r="K380">
            <v>4659</v>
          </cell>
          <cell r="L380">
            <v>219</v>
          </cell>
          <cell r="M380">
            <v>8756360</v>
          </cell>
        </row>
        <row r="381">
          <cell r="A381">
            <v>890800413</v>
          </cell>
          <cell r="B381" t="str">
            <v>HERRAMIENTAS AGRICOLAS S A</v>
          </cell>
          <cell r="E381" t="str">
            <v>notificaciones@herragro.com</v>
          </cell>
          <cell r="F381" t="str">
            <v>KM 9 VIA AL MAGDALENA BRR MALTERIA</v>
          </cell>
          <cell r="G381" t="str">
            <v>17</v>
          </cell>
          <cell r="H381" t="str">
            <v>001</v>
          </cell>
          <cell r="I381" t="str">
            <v>17001</v>
          </cell>
          <cell r="J381" t="str">
            <v>VENTA DE BIENES</v>
          </cell>
          <cell r="K381">
            <v>4659</v>
          </cell>
          <cell r="L381">
            <v>219</v>
          </cell>
          <cell r="M381">
            <v>8001851</v>
          </cell>
        </row>
        <row r="382">
          <cell r="A382">
            <v>890800718</v>
          </cell>
          <cell r="B382" t="str">
            <v>CASA LUKER SA</v>
          </cell>
          <cell r="C382" t="str">
            <v>+570000</v>
          </cell>
          <cell r="E382" t="str">
            <v>dblanco@lukerchocolate.com</v>
          </cell>
          <cell r="F382" t="str">
            <v>CL 13 68-98</v>
          </cell>
          <cell r="G382" t="str">
            <v>11</v>
          </cell>
          <cell r="H382" t="str">
            <v>001</v>
          </cell>
          <cell r="I382" t="str">
            <v>11001</v>
          </cell>
          <cell r="J382" t="str">
            <v>VENTA DE BIENES</v>
          </cell>
          <cell r="K382">
            <v>4659</v>
          </cell>
          <cell r="L382">
            <v>219</v>
          </cell>
          <cell r="M382">
            <v>6283960</v>
          </cell>
        </row>
        <row r="383">
          <cell r="A383">
            <v>890800788</v>
          </cell>
          <cell r="B383" t="str">
            <v>SUMATEC S. A. S BIC</v>
          </cell>
          <cell r="E383" t="str">
            <v>notificaciones@sumatec.co</v>
          </cell>
          <cell r="F383" t="str">
            <v>CR 23 64 B 33 TO A P 8 ED CENTRO DE NEGOCIOS SIGLO XXI PH</v>
          </cell>
          <cell r="G383" t="str">
            <v>17</v>
          </cell>
          <cell r="H383" t="str">
            <v>001</v>
          </cell>
          <cell r="I383" t="str">
            <v>17001</v>
          </cell>
          <cell r="J383" t="str">
            <v>VENTA DE BIENES</v>
          </cell>
          <cell r="K383">
            <v>4659</v>
          </cell>
          <cell r="L383">
            <v>219</v>
          </cell>
          <cell r="M383">
            <v>2704474</v>
          </cell>
        </row>
        <row r="384">
          <cell r="A384">
            <v>890801451</v>
          </cell>
          <cell r="B384" t="str">
            <v>RIDUCO S.A.</v>
          </cell>
          <cell r="C384" t="str">
            <v>+570000</v>
          </cell>
          <cell r="E384" t="str">
            <v>COMPRAS@RIDUCO.COM.CO</v>
          </cell>
          <cell r="F384" t="str">
            <v>CR 32 107-17 LA ENEA</v>
          </cell>
          <cell r="G384" t="str">
            <v>17</v>
          </cell>
          <cell r="H384" t="str">
            <v>001</v>
          </cell>
          <cell r="I384" t="str">
            <v>17001</v>
          </cell>
          <cell r="J384" t="str">
            <v>VENTA DE BIENES</v>
          </cell>
          <cell r="K384">
            <v>4659</v>
          </cell>
          <cell r="L384">
            <v>219</v>
          </cell>
          <cell r="M384">
            <v>1643842</v>
          </cell>
        </row>
        <row r="385">
          <cell r="A385">
            <v>890801748</v>
          </cell>
          <cell r="B385" t="str">
            <v>MABE COLOMBIA S.A.S</v>
          </cell>
          <cell r="C385" t="str">
            <v>+570000</v>
          </cell>
          <cell r="E385" t="str">
            <v>recepcion.fe@mabe.com.co</v>
          </cell>
          <cell r="F385" t="str">
            <v>Carrera 21 # 74 – 100</v>
          </cell>
          <cell r="G385">
            <v>17</v>
          </cell>
          <cell r="H385" t="str">
            <v>001</v>
          </cell>
          <cell r="I385" t="str">
            <v>17001</v>
          </cell>
          <cell r="J385" t="str">
            <v>VENTA DE BIENES</v>
          </cell>
          <cell r="K385">
            <v>4659</v>
          </cell>
          <cell r="L385">
            <v>219</v>
          </cell>
          <cell r="M385">
            <v>426618782</v>
          </cell>
        </row>
        <row r="386">
          <cell r="A386">
            <v>890805053</v>
          </cell>
          <cell r="B386" t="str">
            <v>JORGE E. JARAMILLO V Y CIA S.A.S</v>
          </cell>
          <cell r="C386" t="str">
            <v>+570000</v>
          </cell>
          <cell r="E386" t="str">
            <v>FACTURACION@JJYCIA.COM</v>
          </cell>
          <cell r="F386" t="str">
            <v>CL 104 A 30A-10 BRR LA ENEA</v>
          </cell>
          <cell r="G386" t="str">
            <v>17</v>
          </cell>
          <cell r="H386" t="str">
            <v>001</v>
          </cell>
          <cell r="I386" t="str">
            <v>17001</v>
          </cell>
          <cell r="J386" t="str">
            <v>VENTA DE BIENES</v>
          </cell>
          <cell r="K386">
            <v>4659</v>
          </cell>
          <cell r="L386">
            <v>219</v>
          </cell>
          <cell r="M386">
            <v>16099427</v>
          </cell>
        </row>
        <row r="387">
          <cell r="A387">
            <v>890805267</v>
          </cell>
          <cell r="B387" t="str">
            <v>SUPER DE ALIMENTOS S.A.S.</v>
          </cell>
          <cell r="C387" t="str">
            <v>+570000</v>
          </cell>
          <cell r="E387" t="str">
            <v>FACTURACION@SUPER.COM.CO</v>
          </cell>
          <cell r="F387" t="str">
            <v>KM 10 VIA AL MAGDALENA</v>
          </cell>
          <cell r="G387">
            <v>17</v>
          </cell>
          <cell r="H387" t="str">
            <v>001</v>
          </cell>
          <cell r="I387" t="str">
            <v>17001</v>
          </cell>
          <cell r="J387" t="str">
            <v>VENTA DE BIENES</v>
          </cell>
          <cell r="K387">
            <v>4659</v>
          </cell>
          <cell r="L387">
            <v>219</v>
          </cell>
          <cell r="M387">
            <v>21806200</v>
          </cell>
        </row>
        <row r="388">
          <cell r="A388">
            <v>890805453</v>
          </cell>
          <cell r="B388" t="str">
            <v>TECNOLOGIA EN CUBRIMIENTO S.A.</v>
          </cell>
          <cell r="C388" t="str">
            <v>+570000</v>
          </cell>
          <cell r="E388" t="str">
            <v>facturacionelectronica@toptec.com.co</v>
          </cell>
          <cell r="F388" t="str">
            <v>KM 9 VIA AL MAGDALENA ZN INDUSTRIAL</v>
          </cell>
          <cell r="G388" t="str">
            <v>17</v>
          </cell>
          <cell r="H388" t="str">
            <v>001</v>
          </cell>
          <cell r="I388" t="str">
            <v>17001</v>
          </cell>
          <cell r="J388" t="str">
            <v>VENTA DE BIENES</v>
          </cell>
          <cell r="K388">
            <v>4659</v>
          </cell>
          <cell r="L388">
            <v>219</v>
          </cell>
          <cell r="M388">
            <v>36213765</v>
          </cell>
        </row>
        <row r="389">
          <cell r="A389">
            <v>890805453</v>
          </cell>
          <cell r="B389" t="str">
            <v>TECNOLOGIA EN CUBRIMIENTO S.A.</v>
          </cell>
          <cell r="C389" t="str">
            <v>+570000</v>
          </cell>
          <cell r="E389" t="str">
            <v>facturacionelectronica@toptec.com.co</v>
          </cell>
          <cell r="F389" t="str">
            <v>KM 9 VIA AL MAGDALENA ZN INDUSTRIAL</v>
          </cell>
          <cell r="G389" t="str">
            <v>17</v>
          </cell>
          <cell r="H389" t="str">
            <v>001</v>
          </cell>
          <cell r="I389" t="str">
            <v>17001</v>
          </cell>
          <cell r="J389" t="str">
            <v>TRANSPORTE</v>
          </cell>
          <cell r="K389">
            <v>3312</v>
          </cell>
          <cell r="L389">
            <v>334</v>
          </cell>
          <cell r="M389">
            <v>35000</v>
          </cell>
        </row>
        <row r="390">
          <cell r="A390">
            <v>890805825</v>
          </cell>
          <cell r="B390" t="str">
            <v>PUNTO ELECTRICO S.A.S.</v>
          </cell>
          <cell r="C390" t="str">
            <v>+570000</v>
          </cell>
          <cell r="E390" t="str">
            <v>CONTABILIDAD2@PUNTOELECTRICO.COM.CO</v>
          </cell>
          <cell r="F390" t="str">
            <v>KM 10 VIA AL MAGDALENA-ZONA INDUSTRIAL VDA LA ENEA</v>
          </cell>
          <cell r="G390" t="str">
            <v>17</v>
          </cell>
          <cell r="H390" t="str">
            <v>001</v>
          </cell>
          <cell r="I390" t="str">
            <v>17001</v>
          </cell>
          <cell r="J390" t="str">
            <v>VENTA DE BIENES</v>
          </cell>
          <cell r="K390">
            <v>4659</v>
          </cell>
          <cell r="L390">
            <v>219</v>
          </cell>
          <cell r="M390">
            <v>14489800</v>
          </cell>
        </row>
        <row r="391">
          <cell r="A391">
            <v>890807529</v>
          </cell>
          <cell r="B391" t="str">
            <v>INDUSTRIAS NORMANDY S.A.</v>
          </cell>
          <cell r="C391" t="str">
            <v>+570000</v>
          </cell>
          <cell r="E391" t="str">
            <v>ASISTENTE.COMPRAS@NORMANDY.COM.CO</v>
          </cell>
          <cell r="F391" t="str">
            <v>KM 10 VIA AL MAGDALENA ENTRADA AL SENA</v>
          </cell>
          <cell r="G391" t="str">
            <v>17</v>
          </cell>
          <cell r="H391" t="str">
            <v>001</v>
          </cell>
          <cell r="I391" t="str">
            <v>17001</v>
          </cell>
          <cell r="J391" t="str">
            <v>VENTA DE BIENES</v>
          </cell>
          <cell r="K391">
            <v>4659</v>
          </cell>
          <cell r="L391">
            <v>219</v>
          </cell>
          <cell r="M391">
            <v>835200</v>
          </cell>
        </row>
        <row r="392">
          <cell r="A392">
            <v>890900118</v>
          </cell>
          <cell r="B392" t="str">
            <v>CRISTALERIA PELDAR S.A</v>
          </cell>
          <cell r="C392" t="str">
            <v>+570000</v>
          </cell>
          <cell r="E392" t="str">
            <v>RECEPCIONFACTURAS.CO@O-I.COM</v>
          </cell>
          <cell r="F392" t="str">
            <v>KM 7 ESTACION EL MORTIÑO</v>
          </cell>
          <cell r="G392">
            <v>25</v>
          </cell>
          <cell r="H392" t="str">
            <v>899</v>
          </cell>
          <cell r="I392" t="str">
            <v>25899</v>
          </cell>
          <cell r="J392" t="str">
            <v>SERV MTTO</v>
          </cell>
          <cell r="K392">
            <v>3312</v>
          </cell>
          <cell r="L392">
            <v>334</v>
          </cell>
          <cell r="M392">
            <v>25263125</v>
          </cell>
        </row>
        <row r="393">
          <cell r="A393">
            <v>890900118</v>
          </cell>
          <cell r="B393" t="str">
            <v>CRISTALERIA PELDAR S.A</v>
          </cell>
          <cell r="C393" t="str">
            <v>+570000</v>
          </cell>
          <cell r="E393" t="str">
            <v>RECEPCIONFACTURAS.CO@O-I.COM</v>
          </cell>
          <cell r="F393" t="str">
            <v>KM 7 ESTACION EL MORTIÑO</v>
          </cell>
          <cell r="G393">
            <v>25</v>
          </cell>
          <cell r="H393" t="str">
            <v>899</v>
          </cell>
          <cell r="I393" t="str">
            <v>25899</v>
          </cell>
          <cell r="J393" t="str">
            <v>VENTA DE BIENES</v>
          </cell>
          <cell r="K393">
            <v>4659</v>
          </cell>
          <cell r="L393">
            <v>219</v>
          </cell>
          <cell r="M393">
            <v>916374237</v>
          </cell>
        </row>
        <row r="394">
          <cell r="A394">
            <v>890900148</v>
          </cell>
          <cell r="B394" t="str">
            <v>COMPAÑIA GLOBAL DE PINTURAS S.A.S</v>
          </cell>
          <cell r="C394" t="str">
            <v>3848484</v>
          </cell>
          <cell r="E394" t="str">
            <v>FacturaElectronica.890900148@akzonobel.com</v>
          </cell>
          <cell r="F394" t="str">
            <v>CL 19 A 43 B 41</v>
          </cell>
          <cell r="G394" t="str">
            <v>05</v>
          </cell>
          <cell r="H394" t="str">
            <v>001</v>
          </cell>
          <cell r="I394" t="str">
            <v>05001</v>
          </cell>
          <cell r="J394" t="str">
            <v>VENTA DE BIENES</v>
          </cell>
          <cell r="K394">
            <v>4659</v>
          </cell>
          <cell r="L394">
            <v>219</v>
          </cell>
          <cell r="M394">
            <v>30690858</v>
          </cell>
        </row>
        <row r="395">
          <cell r="A395">
            <v>890900161</v>
          </cell>
          <cell r="B395" t="str">
            <v>PRODUCTOS FAMILIA S.A.</v>
          </cell>
          <cell r="C395" t="str">
            <v>+570000</v>
          </cell>
          <cell r="E395" t="str">
            <v>FACTURAFAMILIACOL.GF@ESSITY.COM</v>
          </cell>
          <cell r="F395" t="str">
            <v>CR 50 8 SUR 117</v>
          </cell>
          <cell r="G395">
            <v>25</v>
          </cell>
          <cell r="H395" t="str">
            <v>126</v>
          </cell>
          <cell r="I395" t="str">
            <v>25126</v>
          </cell>
          <cell r="J395" t="str">
            <v>VENTA DE BIENES</v>
          </cell>
          <cell r="K395">
            <v>4659</v>
          </cell>
          <cell r="L395">
            <v>219</v>
          </cell>
          <cell r="M395">
            <v>284367598</v>
          </cell>
        </row>
        <row r="396">
          <cell r="A396">
            <v>890900168</v>
          </cell>
          <cell r="B396" t="str">
            <v>CERVECERIA UNION S.A.</v>
          </cell>
          <cell r="C396" t="str">
            <v>+570000</v>
          </cell>
          <cell r="E396" t="str">
            <v>UNION.FE@AB-INBEV.COM</v>
          </cell>
          <cell r="F396" t="str">
            <v>CR 50 A 38 39</v>
          </cell>
          <cell r="G396" t="str">
            <v>05</v>
          </cell>
          <cell r="H396" t="str">
            <v>360</v>
          </cell>
          <cell r="I396" t="str">
            <v>05360</v>
          </cell>
          <cell r="J396" t="str">
            <v>VENTA DE BIENES</v>
          </cell>
          <cell r="K396">
            <v>4659</v>
          </cell>
          <cell r="L396">
            <v>219</v>
          </cell>
          <cell r="M396">
            <v>552195321</v>
          </cell>
        </row>
        <row r="397">
          <cell r="A397">
            <v>890900281</v>
          </cell>
          <cell r="B397" t="str">
            <v>INDUSTRIAS HACEB S.A.</v>
          </cell>
          <cell r="C397" t="str">
            <v>+570000</v>
          </cell>
          <cell r="E397" t="str">
            <v>FECO.RECIBO@HACEB.COM</v>
          </cell>
          <cell r="F397" t="str">
            <v>CL 59 CR 55 80  AUT NORTE KM 13</v>
          </cell>
          <cell r="G397" t="str">
            <v>05</v>
          </cell>
          <cell r="H397" t="str">
            <v>212</v>
          </cell>
          <cell r="I397" t="str">
            <v>05212</v>
          </cell>
          <cell r="J397" t="str">
            <v>VENTA DE BIENES</v>
          </cell>
          <cell r="K397">
            <v>4659</v>
          </cell>
          <cell r="L397">
            <v>219</v>
          </cell>
          <cell r="M397">
            <v>32290881</v>
          </cell>
        </row>
        <row r="398">
          <cell r="A398">
            <v>890900285</v>
          </cell>
          <cell r="B398" t="str">
            <v>COMPAÑIA DE EMPAQUES S.A</v>
          </cell>
          <cell r="C398" t="str">
            <v>+570000</v>
          </cell>
          <cell r="E398" t="str">
            <v>EMPAQUES@CIAEMPAQUES.COM.CO</v>
          </cell>
          <cell r="F398" t="str">
            <v>CR 42 86-25</v>
          </cell>
          <cell r="G398" t="str">
            <v>05</v>
          </cell>
          <cell r="H398" t="str">
            <v>360</v>
          </cell>
          <cell r="I398" t="str">
            <v>05360</v>
          </cell>
          <cell r="J398" t="str">
            <v>VENTA DE BIENES</v>
          </cell>
          <cell r="K398">
            <v>4659</v>
          </cell>
          <cell r="L398">
            <v>219</v>
          </cell>
          <cell r="M398">
            <v>12288200</v>
          </cell>
        </row>
        <row r="399">
          <cell r="A399">
            <v>890900291</v>
          </cell>
          <cell r="B399" t="str">
            <v>SOLLA S.A.</v>
          </cell>
          <cell r="C399" t="str">
            <v>+570000</v>
          </cell>
          <cell r="E399" t="str">
            <v>PROVEEDORFACTURA-E@SOLLA.COM</v>
          </cell>
          <cell r="F399" t="str">
            <v>CR 49A 24A-34</v>
          </cell>
          <cell r="G399" t="str">
            <v>05</v>
          </cell>
          <cell r="H399" t="str">
            <v>088</v>
          </cell>
          <cell r="I399" t="str">
            <v>05088</v>
          </cell>
          <cell r="J399" t="str">
            <v>VENTA DE BIENES</v>
          </cell>
          <cell r="K399">
            <v>4659</v>
          </cell>
          <cell r="L399">
            <v>219</v>
          </cell>
          <cell r="M399">
            <v>45158261</v>
          </cell>
        </row>
        <row r="400">
          <cell r="A400">
            <v>890900535</v>
          </cell>
          <cell r="B400" t="str">
            <v>KELLOGG DE COLOMBIA S.A.</v>
          </cell>
          <cell r="C400" t="str">
            <v>+570000</v>
          </cell>
          <cell r="E400" t="str">
            <v>COL_INTERCAMBIO@EINVOICING.SIGNATURE-CLOUD.COM</v>
          </cell>
          <cell r="F400" t="str">
            <v>CL 17 68A-75</v>
          </cell>
          <cell r="G400">
            <v>11</v>
          </cell>
          <cell r="H400" t="str">
            <v>001</v>
          </cell>
          <cell r="I400" t="str">
            <v>11001</v>
          </cell>
          <cell r="J400" t="str">
            <v>VENTA DE BIENES</v>
          </cell>
          <cell r="K400">
            <v>4659</v>
          </cell>
          <cell r="L400">
            <v>219</v>
          </cell>
          <cell r="M400">
            <v>4914006</v>
          </cell>
        </row>
        <row r="401">
          <cell r="A401">
            <v>890900769</v>
          </cell>
          <cell r="B401" t="str">
            <v>AUTOMATIZACION SA</v>
          </cell>
          <cell r="C401" t="str">
            <v>+570000</v>
          </cell>
          <cell r="E401" t="str">
            <v>RECEPCIONFACTURAS@AUTOMATIZACION.COM.CO</v>
          </cell>
          <cell r="F401" t="str">
            <v>CR 44 57 SUR 67</v>
          </cell>
          <cell r="G401" t="str">
            <v>11</v>
          </cell>
          <cell r="H401" t="str">
            <v>001</v>
          </cell>
          <cell r="I401" t="str">
            <v>11001</v>
          </cell>
          <cell r="J401" t="str">
            <v>VENTA DE BIENES</v>
          </cell>
          <cell r="K401">
            <v>4659</v>
          </cell>
          <cell r="L401">
            <v>219</v>
          </cell>
          <cell r="M401">
            <v>30850464</v>
          </cell>
        </row>
        <row r="402">
          <cell r="A402">
            <v>890901335</v>
          </cell>
          <cell r="B402" t="str">
            <v>ELECTROCONTROL S.A.S.</v>
          </cell>
          <cell r="C402" t="str">
            <v>317 3049281</v>
          </cell>
          <cell r="D402">
            <v>3173049281</v>
          </cell>
          <cell r="E402" t="str">
            <v>srodriguez@electrocontrol.com.co</v>
          </cell>
          <cell r="F402" t="str">
            <v>Calle 59 No. 59-194</v>
          </cell>
          <cell r="G402" t="str">
            <v>05</v>
          </cell>
          <cell r="H402" t="str">
            <v>212</v>
          </cell>
          <cell r="I402" t="str">
            <v>05212</v>
          </cell>
          <cell r="J402" t="str">
            <v>VENTA DE BIENES</v>
          </cell>
          <cell r="K402">
            <v>4659</v>
          </cell>
          <cell r="L402">
            <v>219</v>
          </cell>
          <cell r="M402">
            <v>1983004</v>
          </cell>
        </row>
        <row r="403">
          <cell r="A403">
            <v>890901389</v>
          </cell>
          <cell r="B403" t="str">
            <v>UNIVERSIDAD - EAFIT</v>
          </cell>
          <cell r="C403" t="str">
            <v>+570000</v>
          </cell>
          <cell r="E403" t="str">
            <v>RECEPCIONFACTURAS@EAFIT.EDU.CO</v>
          </cell>
          <cell r="F403" t="str">
            <v>CR 49 7SUR-50</v>
          </cell>
          <cell r="G403" t="str">
            <v>05</v>
          </cell>
          <cell r="H403" t="str">
            <v>001</v>
          </cell>
          <cell r="I403" t="str">
            <v>05001</v>
          </cell>
          <cell r="J403" t="str">
            <v>VENTA DE BIENES</v>
          </cell>
          <cell r="K403">
            <v>4659</v>
          </cell>
          <cell r="L403">
            <v>219</v>
          </cell>
          <cell r="M403">
            <v>24663000</v>
          </cell>
        </row>
        <row r="404">
          <cell r="A404">
            <v>890901672</v>
          </cell>
          <cell r="B404" t="str">
            <v>CRYSTAL SAS</v>
          </cell>
          <cell r="C404" t="str">
            <v>+570000</v>
          </cell>
          <cell r="E404" t="str">
            <v>RECEPCIONFACTURAS@CRYSTAL.COM.CO</v>
          </cell>
          <cell r="F404" t="str">
            <v>CR 48 52 SUR-81 AV LAS VEGAS</v>
          </cell>
          <cell r="G404" t="str">
            <v>05</v>
          </cell>
          <cell r="H404" t="str">
            <v>631</v>
          </cell>
          <cell r="I404" t="str">
            <v>05631</v>
          </cell>
          <cell r="J404" t="str">
            <v>VENTA DE BIENES</v>
          </cell>
          <cell r="K404">
            <v>4659</v>
          </cell>
          <cell r="L404">
            <v>219</v>
          </cell>
          <cell r="M404">
            <v>641444</v>
          </cell>
        </row>
        <row r="405">
          <cell r="A405">
            <v>890902168</v>
          </cell>
          <cell r="B405" t="str">
            <v>LABORATORIOS ECAR SA</v>
          </cell>
          <cell r="C405">
            <v>4483227</v>
          </cell>
          <cell r="D405">
            <v>4483227</v>
          </cell>
          <cell r="E405" t="str">
            <v>analistamantenimiento@ecar.com.co</v>
          </cell>
          <cell r="F405" t="str">
            <v>Carrera 44 No. 27 - 50 - Barrio Colombia.</v>
          </cell>
          <cell r="G405" t="str">
            <v>05</v>
          </cell>
          <cell r="H405" t="str">
            <v>001</v>
          </cell>
          <cell r="I405" t="str">
            <v>05001</v>
          </cell>
          <cell r="J405" t="str">
            <v>VENTA DE BIENES</v>
          </cell>
          <cell r="K405">
            <v>4659</v>
          </cell>
          <cell r="L405">
            <v>219</v>
          </cell>
          <cell r="M405">
            <v>5573990</v>
          </cell>
        </row>
        <row r="406">
          <cell r="A406">
            <v>890903295</v>
          </cell>
          <cell r="B406" t="str">
            <v>SUPPLA S.A.</v>
          </cell>
          <cell r="C406" t="str">
            <v>+570000</v>
          </cell>
          <cell r="E406" t="str">
            <v>RECIBOFAC.ELECTRONICA@DHL.COM</v>
          </cell>
          <cell r="F406" t="str">
            <v>KM 13 VIA CENCAR-AEROPUERTO</v>
          </cell>
          <cell r="G406" t="str">
            <v>11</v>
          </cell>
          <cell r="H406" t="str">
            <v>001</v>
          </cell>
          <cell r="I406" t="str">
            <v>11001</v>
          </cell>
          <cell r="J406" t="str">
            <v>VENTA DE BIENES</v>
          </cell>
          <cell r="K406">
            <v>4659</v>
          </cell>
          <cell r="L406">
            <v>219</v>
          </cell>
          <cell r="M406">
            <v>1290400</v>
          </cell>
        </row>
        <row r="407">
          <cell r="A407">
            <v>890903532</v>
          </cell>
          <cell r="B407" t="str">
            <v>INDUSTRIA COLOMBIANA DE CAFE S.A.S.</v>
          </cell>
          <cell r="C407" t="str">
            <v>+570000</v>
          </cell>
          <cell r="E407" t="str">
            <v>RECEPCION_FE@COLCAFE.COM.CO</v>
          </cell>
          <cell r="F407" t="str">
            <v>CL 8 SUR 50-19</v>
          </cell>
          <cell r="G407" t="str">
            <v>05</v>
          </cell>
          <cell r="H407" t="str">
            <v>001</v>
          </cell>
          <cell r="I407" t="str">
            <v>05001</v>
          </cell>
          <cell r="J407" t="str">
            <v>VENTA DE BIENES</v>
          </cell>
          <cell r="K407">
            <v>4659</v>
          </cell>
          <cell r="L407">
            <v>219</v>
          </cell>
          <cell r="M407">
            <v>2832618</v>
          </cell>
        </row>
        <row r="408">
          <cell r="A408">
            <v>890903858</v>
          </cell>
          <cell r="B408" t="str">
            <v>INDUSTRIA NACIONAL DE GASEOSAS SAS</v>
          </cell>
          <cell r="C408" t="str">
            <v>+570000</v>
          </cell>
          <cell r="E408" t="str">
            <v>FERECEPCION.FEMSACOL@KOF.COM</v>
          </cell>
          <cell r="F408" t="str">
            <v>CR 96 24 C 94</v>
          </cell>
          <cell r="G408">
            <v>11</v>
          </cell>
          <cell r="H408" t="str">
            <v>001</v>
          </cell>
          <cell r="I408" t="str">
            <v>11001</v>
          </cell>
          <cell r="J408" t="str">
            <v>VENTA DE BIENES</v>
          </cell>
          <cell r="K408">
            <v>4659</v>
          </cell>
          <cell r="L408">
            <v>219</v>
          </cell>
          <cell r="M408">
            <v>216328725</v>
          </cell>
        </row>
        <row r="409">
          <cell r="A409">
            <v>890903939</v>
          </cell>
          <cell r="B409" t="str">
            <v>POSTOBON S.A.</v>
          </cell>
          <cell r="C409" t="str">
            <v>+570000</v>
          </cell>
          <cell r="E409" t="str">
            <v>recepcionfe@postobon.com.co</v>
          </cell>
          <cell r="F409" t="str">
            <v>CALLE 40  50 212  BELLO</v>
          </cell>
          <cell r="G409" t="str">
            <v>05</v>
          </cell>
          <cell r="H409" t="str">
            <v>001</v>
          </cell>
          <cell r="I409" t="str">
            <v>05001</v>
          </cell>
          <cell r="J409" t="str">
            <v>VENTA DE BIENES</v>
          </cell>
          <cell r="K409">
            <v>4659</v>
          </cell>
          <cell r="L409">
            <v>219</v>
          </cell>
          <cell r="M409">
            <v>64581444</v>
          </cell>
        </row>
        <row r="410">
          <cell r="A410">
            <v>890904478</v>
          </cell>
          <cell r="B410" t="str">
            <v>COOPERATIVA COLANTA</v>
          </cell>
          <cell r="C410" t="str">
            <v>+570000</v>
          </cell>
          <cell r="E410" t="str">
            <v>RECEPCIONFE@COLANTA.COM.CO</v>
          </cell>
          <cell r="F410" t="str">
            <v>CR 25 16-06</v>
          </cell>
          <cell r="G410" t="str">
            <v>05</v>
          </cell>
          <cell r="H410" t="str">
            <v>686</v>
          </cell>
          <cell r="I410" t="str">
            <v>05686</v>
          </cell>
          <cell r="J410" t="str">
            <v>VENTA DE BIENES</v>
          </cell>
          <cell r="K410">
            <v>4659</v>
          </cell>
          <cell r="L410">
            <v>219</v>
          </cell>
          <cell r="M410">
            <v>139533803</v>
          </cell>
        </row>
        <row r="411">
          <cell r="A411">
            <v>890904996</v>
          </cell>
          <cell r="B411" t="str">
            <v>EMPRESAS PUBLICAS DE MEDELLIN E.S.P.</v>
          </cell>
          <cell r="C411" t="str">
            <v>+570000</v>
          </cell>
          <cell r="E411" t="str">
            <v>facturaelectronicaEPM@grupo-epm.com</v>
          </cell>
          <cell r="F411" t="str">
            <v>CR 58 42 125</v>
          </cell>
          <cell r="G411" t="str">
            <v>05</v>
          </cell>
          <cell r="H411" t="str">
            <v>001</v>
          </cell>
          <cell r="I411" t="str">
            <v>05001</v>
          </cell>
          <cell r="J411" t="str">
            <v>VENTA DE BIENES</v>
          </cell>
          <cell r="K411">
            <v>4659</v>
          </cell>
          <cell r="L411">
            <v>219</v>
          </cell>
          <cell r="M411">
            <v>214595383</v>
          </cell>
        </row>
        <row r="412">
          <cell r="A412">
            <v>890907163</v>
          </cell>
          <cell r="B412" t="str">
            <v>COMPAÑIA INDUSTRIAL DE PRODUCTOS AGROPECUARIOS SA</v>
          </cell>
          <cell r="C412" t="str">
            <v>5200950</v>
          </cell>
          <cell r="E412" t="str">
            <v>fabio.alferez@cipa.com.co</v>
          </cell>
          <cell r="F412" t="str">
            <v>CR 49 A 23 45</v>
          </cell>
          <cell r="G412">
            <v>11</v>
          </cell>
          <cell r="H412" t="str">
            <v>001</v>
          </cell>
          <cell r="I412" t="str">
            <v>11001</v>
          </cell>
          <cell r="J412" t="str">
            <v>VENTA DE BIENES</v>
          </cell>
          <cell r="K412">
            <v>4659</v>
          </cell>
          <cell r="L412">
            <v>219</v>
          </cell>
          <cell r="M412">
            <v>35420126</v>
          </cell>
        </row>
        <row r="413">
          <cell r="A413">
            <v>890917465</v>
          </cell>
          <cell r="B413" t="str">
            <v>GRIFFITH FOODS S.A.S.</v>
          </cell>
          <cell r="C413" t="str">
            <v>+570000</v>
          </cell>
          <cell r="E413" t="str">
            <v>COM-RECEPCIONFACTURAS@GRIFFITHFOODS.COM</v>
          </cell>
          <cell r="F413" t="str">
            <v>AUT MEDELLIN BOGOTA KM 39</v>
          </cell>
          <cell r="G413">
            <v>25</v>
          </cell>
          <cell r="H413" t="str">
            <v>214</v>
          </cell>
          <cell r="I413" t="str">
            <v>25214</v>
          </cell>
          <cell r="J413" t="str">
            <v>VENTA DE BIENES</v>
          </cell>
          <cell r="K413">
            <v>4659</v>
          </cell>
          <cell r="L413">
            <v>219</v>
          </cell>
          <cell r="M413">
            <v>3559680</v>
          </cell>
        </row>
        <row r="414">
          <cell r="A414">
            <v>890919437</v>
          </cell>
          <cell r="B414" t="str">
            <v>RYMEL INGENIERIA ELECTRICA SAS</v>
          </cell>
          <cell r="C414">
            <v>4440430</v>
          </cell>
          <cell r="D414">
            <v>4440430</v>
          </cell>
          <cell r="E414" t="str">
            <v>rymel@rymel.com.co</v>
          </cell>
          <cell r="F414" t="str">
            <v>AUTOPISTA NORTE,  PARAJE EL NORAL, DGNAL A LA BOMBA TOLÚ</v>
          </cell>
          <cell r="G414" t="str">
            <v>05</v>
          </cell>
          <cell r="H414" t="str">
            <v>212</v>
          </cell>
          <cell r="I414" t="str">
            <v>05212</v>
          </cell>
          <cell r="J414" t="str">
            <v>VENTA DE BIENES</v>
          </cell>
          <cell r="K414">
            <v>4659</v>
          </cell>
          <cell r="L414">
            <v>219</v>
          </cell>
          <cell r="M414">
            <v>46083332</v>
          </cell>
        </row>
        <row r="415">
          <cell r="A415">
            <v>890920025</v>
          </cell>
          <cell r="B415" t="str">
            <v>REPRESENTACIONES OSCAR JARAMILLO PLASTICOS OJARA S.A.</v>
          </cell>
          <cell r="C415" t="str">
            <v>+570000</v>
          </cell>
          <cell r="E415" t="str">
            <v>FACTURAE@OJARA.COM</v>
          </cell>
          <cell r="F415" t="str">
            <v>CR 42    54 A   155 IN 1050</v>
          </cell>
          <cell r="G415" t="str">
            <v>05</v>
          </cell>
          <cell r="H415" t="str">
            <v>360</v>
          </cell>
          <cell r="I415" t="str">
            <v>05360</v>
          </cell>
          <cell r="J415" t="str">
            <v>VENTA DE BIENES</v>
          </cell>
          <cell r="K415">
            <v>4659</v>
          </cell>
          <cell r="L415">
            <v>219</v>
          </cell>
          <cell r="M415">
            <v>1843760</v>
          </cell>
        </row>
        <row r="416">
          <cell r="A416">
            <v>890920304</v>
          </cell>
          <cell r="B416" t="str">
            <v>PEPSICO ALIMENTOS COLOMBIA LTDA</v>
          </cell>
          <cell r="C416" t="str">
            <v>+570000</v>
          </cell>
          <cell r="E416" t="str">
            <v>FACTURACIONELECTRONICA@EDXSOLUTIONS.COM</v>
          </cell>
          <cell r="F416" t="str">
            <v>CL 110 9 25 P 4</v>
          </cell>
          <cell r="G416" t="str">
            <v>11</v>
          </cell>
          <cell r="H416" t="str">
            <v>001</v>
          </cell>
          <cell r="I416" t="str">
            <v>11001</v>
          </cell>
          <cell r="J416" t="str">
            <v>VENTA DE BIENES</v>
          </cell>
          <cell r="K416">
            <v>4659</v>
          </cell>
          <cell r="L416">
            <v>219</v>
          </cell>
          <cell r="M416">
            <v>867970</v>
          </cell>
        </row>
        <row r="417">
          <cell r="A417">
            <v>890925108</v>
          </cell>
          <cell r="B417" t="str">
            <v>PAPELES Y CARTONES S.A.</v>
          </cell>
          <cell r="C417" t="str">
            <v>+570000</v>
          </cell>
          <cell r="E417" t="str">
            <v>PROVEEDORES@PAPELSA.COM</v>
          </cell>
          <cell r="F417" t="str">
            <v>TRONCAL DEL NORDESTE 999-18 ZN URBANA</v>
          </cell>
          <cell r="G417" t="str">
            <v>05</v>
          </cell>
          <cell r="H417" t="str">
            <v>079</v>
          </cell>
          <cell r="I417" t="str">
            <v>05079</v>
          </cell>
          <cell r="J417" t="str">
            <v>VENTA DE BIENES</v>
          </cell>
          <cell r="K417">
            <v>4659</v>
          </cell>
          <cell r="L417">
            <v>219</v>
          </cell>
          <cell r="M417">
            <v>6820495</v>
          </cell>
        </row>
        <row r="418">
          <cell r="A418">
            <v>890928257</v>
          </cell>
          <cell r="B418" t="str">
            <v>ALICO S.A.S. BIC</v>
          </cell>
          <cell r="C418" t="str">
            <v>+570000</v>
          </cell>
          <cell r="E418" t="str">
            <v>GESTIONDOCUMENTAL@ALICO-SA.COM</v>
          </cell>
          <cell r="F418" t="str">
            <v>C L 10 SUR 50 F F 127</v>
          </cell>
          <cell r="G418" t="str">
            <v>05</v>
          </cell>
          <cell r="H418" t="str">
            <v>001</v>
          </cell>
          <cell r="I418" t="str">
            <v>05001</v>
          </cell>
          <cell r="J418" t="str">
            <v>VENTA DE BIENES</v>
          </cell>
          <cell r="K418">
            <v>4659</v>
          </cell>
          <cell r="L418">
            <v>219</v>
          </cell>
          <cell r="M418">
            <v>3706734</v>
          </cell>
        </row>
        <row r="419">
          <cell r="A419">
            <v>890929497</v>
          </cell>
          <cell r="B419" t="str">
            <v xml:space="preserve">	MAPER S.A.S.</v>
          </cell>
          <cell r="C419" t="str">
            <v>+570000</v>
          </cell>
          <cell r="E419" t="str">
            <v>890929497@siesa.com</v>
          </cell>
          <cell r="F419" t="str">
            <v>CR 48 C 100 SUR 72</v>
          </cell>
          <cell r="G419" t="str">
            <v>05</v>
          </cell>
          <cell r="H419" t="str">
            <v>380</v>
          </cell>
          <cell r="I419" t="str">
            <v>05380</v>
          </cell>
          <cell r="J419" t="str">
            <v>VENTA DE BIENES</v>
          </cell>
          <cell r="K419">
            <v>4659</v>
          </cell>
          <cell r="L419">
            <v>219</v>
          </cell>
          <cell r="M419">
            <v>56368604</v>
          </cell>
        </row>
        <row r="420">
          <cell r="A420">
            <v>890932389</v>
          </cell>
          <cell r="B420" t="str">
            <v>TERNIUM COLOMBIA SAS</v>
          </cell>
          <cell r="C420" t="str">
            <v>+570000</v>
          </cell>
          <cell r="E420" t="str">
            <v>CUPA_COLOMBIA@TERNIUM.COM.CO</v>
          </cell>
          <cell r="F420" t="str">
            <v>CR 42 26-18</v>
          </cell>
          <cell r="G420" t="str">
            <v>05</v>
          </cell>
          <cell r="H420" t="str">
            <v>001</v>
          </cell>
          <cell r="I420" t="str">
            <v>05001</v>
          </cell>
          <cell r="J420" t="str">
            <v>VENTA DE BIENES</v>
          </cell>
          <cell r="K420">
            <v>4659</v>
          </cell>
          <cell r="L420">
            <v>219</v>
          </cell>
          <cell r="M420">
            <v>37084742</v>
          </cell>
        </row>
        <row r="421">
          <cell r="A421">
            <v>890932704</v>
          </cell>
          <cell r="B421" t="str">
            <v>CODISTRIBELT S.A.S.</v>
          </cell>
          <cell r="C421" t="str">
            <v>318 2801716</v>
          </cell>
          <cell r="D421">
            <v>3182801716</v>
          </cell>
          <cell r="E421" t="str">
            <v>gerencia@codistribelt.com</v>
          </cell>
          <cell r="F421" t="str">
            <v>Carrera 51 #35-06</v>
          </cell>
          <cell r="G421" t="str">
            <v>05</v>
          </cell>
          <cell r="H421" t="str">
            <v>001</v>
          </cell>
          <cell r="I421" t="str">
            <v>05001</v>
          </cell>
          <cell r="J421" t="str">
            <v>VENTA DE BIENES</v>
          </cell>
          <cell r="K421">
            <v>4659</v>
          </cell>
          <cell r="L421">
            <v>219</v>
          </cell>
          <cell r="M421">
            <v>6069360</v>
          </cell>
        </row>
        <row r="422">
          <cell r="A422">
            <v>890943055</v>
          </cell>
          <cell r="B422" t="str">
            <v>SUMINISTROS Y CONTROLES ELECTRONICOS S.A.</v>
          </cell>
          <cell r="C422" t="str">
            <v>+570000</v>
          </cell>
          <cell r="E422" t="str">
            <v>ASESORCALI@SUCONEL.COM</v>
          </cell>
          <cell r="F422" t="str">
            <v>CR 53 50-51 OF 506 CC LA CASCADA</v>
          </cell>
          <cell r="G422" t="str">
            <v>05</v>
          </cell>
          <cell r="H422" t="str">
            <v>001</v>
          </cell>
          <cell r="I422" t="str">
            <v>05001</v>
          </cell>
          <cell r="J422" t="str">
            <v>VENTA DE BIENES</v>
          </cell>
          <cell r="K422">
            <v>4659</v>
          </cell>
          <cell r="L422">
            <v>219</v>
          </cell>
          <cell r="M422">
            <v>6428960</v>
          </cell>
        </row>
        <row r="423">
          <cell r="A423">
            <v>891300237</v>
          </cell>
          <cell r="B423" t="str">
            <v>INGENIO DEL CAUCA S.A.S.</v>
          </cell>
          <cell r="C423" t="str">
            <v>+570000</v>
          </cell>
          <cell r="E423" t="str">
            <v>FACTURAELECTRONICA@INCAUCA.COM</v>
          </cell>
          <cell r="F423" t="str">
            <v>CR 9 28-103</v>
          </cell>
          <cell r="G423">
            <v>76</v>
          </cell>
          <cell r="H423" t="str">
            <v>001</v>
          </cell>
          <cell r="I423" t="str">
            <v>76001</v>
          </cell>
          <cell r="J423" t="str">
            <v>VENTA DE BIENES</v>
          </cell>
          <cell r="K423">
            <v>4659</v>
          </cell>
          <cell r="L423">
            <v>219</v>
          </cell>
          <cell r="M423">
            <v>41425291</v>
          </cell>
        </row>
        <row r="424">
          <cell r="A424">
            <v>891300238</v>
          </cell>
          <cell r="B424" t="str">
            <v>INGENIO PROVIDENCIA S.A.</v>
          </cell>
          <cell r="C424" t="str">
            <v>+570000</v>
          </cell>
          <cell r="E424" t="str">
            <v>FACTURAELECTRONICA@PROVIDENCIACO.COM</v>
          </cell>
          <cell r="F424" t="str">
            <v>CR 28 28 66 OF 307</v>
          </cell>
          <cell r="G424">
            <v>76</v>
          </cell>
          <cell r="H424" t="str">
            <v>520</v>
          </cell>
          <cell r="I424" t="str">
            <v>76520</v>
          </cell>
          <cell r="J424" t="str">
            <v>VENTA DE BIENES</v>
          </cell>
          <cell r="K424">
            <v>4659</v>
          </cell>
          <cell r="L424">
            <v>219</v>
          </cell>
          <cell r="M424">
            <v>60079532</v>
          </cell>
        </row>
        <row r="425">
          <cell r="A425">
            <v>891300241</v>
          </cell>
          <cell r="B425" t="str">
            <v>MANUELITA S.A.</v>
          </cell>
          <cell r="C425" t="str">
            <v>+570000</v>
          </cell>
          <cell r="E425" t="str">
            <v>FACTURAEAZUMANUELITA@FACTURAENLINEA.CO</v>
          </cell>
          <cell r="F425" t="str">
            <v>KM 7 VIA PALMIRA CERRITO</v>
          </cell>
          <cell r="G425">
            <v>76</v>
          </cell>
          <cell r="H425" t="str">
            <v>520</v>
          </cell>
          <cell r="I425" t="str">
            <v>76520</v>
          </cell>
          <cell r="J425" t="str">
            <v>VENTA DE BIENES</v>
          </cell>
          <cell r="K425">
            <v>4659</v>
          </cell>
          <cell r="L425">
            <v>219</v>
          </cell>
          <cell r="M425">
            <v>20565749</v>
          </cell>
        </row>
        <row r="426">
          <cell r="A426">
            <v>891300382</v>
          </cell>
          <cell r="B426" t="str">
            <v>HARINERA DEL VALLE S.A</v>
          </cell>
          <cell r="C426" t="str">
            <v>+570000</v>
          </cell>
          <cell r="E426" t="str">
            <v>RECEPCIONFACTURA@HV.COM.CO</v>
          </cell>
          <cell r="F426" t="str">
            <v>CR 1 A   47 - 20 BARRIO SALOMIA</v>
          </cell>
          <cell r="G426" t="str">
            <v>19</v>
          </cell>
          <cell r="H426" t="str">
            <v>845</v>
          </cell>
          <cell r="I426" t="str">
            <v>19845</v>
          </cell>
          <cell r="J426" t="str">
            <v>VENTA DE BIENES</v>
          </cell>
          <cell r="K426">
            <v>4659</v>
          </cell>
          <cell r="L426">
            <v>219</v>
          </cell>
          <cell r="M426">
            <v>29662510</v>
          </cell>
        </row>
        <row r="427">
          <cell r="A427">
            <v>891300529</v>
          </cell>
          <cell r="B427" t="str">
            <v>GRASAS S.A</v>
          </cell>
          <cell r="C427" t="str">
            <v>+570000</v>
          </cell>
          <cell r="E427" t="str">
            <v>FACTURAELECTRONICAGRASAS@TEAM.CO</v>
          </cell>
          <cell r="F427" t="str">
            <v>CL 11 18-113</v>
          </cell>
          <cell r="G427">
            <v>76</v>
          </cell>
          <cell r="H427" t="str">
            <v>111</v>
          </cell>
          <cell r="I427" t="str">
            <v>76111</v>
          </cell>
          <cell r="J427" t="str">
            <v>VENTA DE BIENES</v>
          </cell>
          <cell r="K427">
            <v>4659</v>
          </cell>
          <cell r="L427">
            <v>219</v>
          </cell>
          <cell r="M427">
            <v>4820800</v>
          </cell>
        </row>
        <row r="428">
          <cell r="A428">
            <v>891400378</v>
          </cell>
          <cell r="B428" t="str">
            <v>PAPELES NACIONALES S.A.S.</v>
          </cell>
          <cell r="C428" t="str">
            <v>+570000</v>
          </cell>
          <cell r="E428" t="str">
            <v>GESTION.FACTURAS@PAPELESNACIONALES.COM</v>
          </cell>
          <cell r="F428" t="str">
            <v>VIA PEREIRA CARTAGO PARAJE LA MARINA</v>
          </cell>
          <cell r="G428" t="str">
            <v>66</v>
          </cell>
          <cell r="H428" t="str">
            <v>001</v>
          </cell>
          <cell r="I428" t="str">
            <v>66001</v>
          </cell>
          <cell r="J428" t="str">
            <v>VENTA DE BIENES</v>
          </cell>
          <cell r="K428">
            <v>4659</v>
          </cell>
          <cell r="L428">
            <v>219</v>
          </cell>
          <cell r="M428">
            <v>91223654</v>
          </cell>
        </row>
        <row r="429">
          <cell r="A429">
            <v>891401705</v>
          </cell>
          <cell r="B429" t="str">
            <v>INGENIO RISARALDA S.A</v>
          </cell>
          <cell r="C429" t="str">
            <v>+570000</v>
          </cell>
          <cell r="E429" t="str">
            <v>FACTURACIONELECTRONICA@INGENIORISARALDA.COM</v>
          </cell>
          <cell r="F429" t="str">
            <v>KM 2 VIA VIRGINIA-BALBOA</v>
          </cell>
          <cell r="G429" t="str">
            <v>66</v>
          </cell>
          <cell r="H429" t="str">
            <v>001</v>
          </cell>
          <cell r="I429" t="str">
            <v>66001</v>
          </cell>
          <cell r="J429" t="str">
            <v>VENTA DE BIENES</v>
          </cell>
          <cell r="K429">
            <v>4659</v>
          </cell>
          <cell r="L429">
            <v>219</v>
          </cell>
          <cell r="M429">
            <v>7733100</v>
          </cell>
        </row>
        <row r="430">
          <cell r="A430">
            <v>891409156</v>
          </cell>
          <cell r="B430" t="str">
            <v>TECNODIESEL S.A.S</v>
          </cell>
          <cell r="E430" t="str">
            <v>facturacion.electronica@tecnodiesel.com.co</v>
          </cell>
          <cell r="F430" t="str">
            <v>CR 38 15 80</v>
          </cell>
          <cell r="G430" t="str">
            <v>76</v>
          </cell>
          <cell r="H430" t="str">
            <v>892</v>
          </cell>
          <cell r="I430" t="str">
            <v>76892</v>
          </cell>
          <cell r="J430" t="str">
            <v>42 GRAVADOS</v>
          </cell>
          <cell r="K430">
            <v>4659</v>
          </cell>
          <cell r="L430">
            <v>219</v>
          </cell>
          <cell r="M430">
            <v>3171249</v>
          </cell>
        </row>
        <row r="431">
          <cell r="A431">
            <v>891410137</v>
          </cell>
          <cell r="B431" t="str">
            <v>SUZUKI MOTOR DE COLOMBIA S.A</v>
          </cell>
          <cell r="C431" t="str">
            <v>3139638</v>
          </cell>
          <cell r="D431" t="str">
            <v>3139638</v>
          </cell>
          <cell r="E431" t="str">
            <v>RECEPCIONFACTURACIONELECTRONICA@SUZUKI.COM.CO</v>
          </cell>
          <cell r="F431" t="str">
            <v>KM 14 VIA PEREIRA- CERRITOS</v>
          </cell>
          <cell r="G431" t="str">
            <v>66</v>
          </cell>
          <cell r="H431" t="str">
            <v>001</v>
          </cell>
          <cell r="I431" t="str">
            <v>66001</v>
          </cell>
          <cell r="J431" t="str">
            <v>VENTA DE BIENES</v>
          </cell>
          <cell r="K431">
            <v>4659</v>
          </cell>
          <cell r="L431">
            <v>219</v>
          </cell>
          <cell r="M431">
            <v>1905445</v>
          </cell>
        </row>
        <row r="432">
          <cell r="A432">
            <v>891412809</v>
          </cell>
          <cell r="B432" t="str">
            <v>SUMINISTROS ELECTRICOS E INDUSTRIALES SUMILEC S.A</v>
          </cell>
          <cell r="C432" t="str">
            <v>+570000</v>
          </cell>
          <cell r="E432" t="str">
            <v>AUXILIARCOMPRAS@SUMILEC.COM</v>
          </cell>
          <cell r="F432" t="str">
            <v>AV 30 DE AGOSTO CL94 14 73 BG 8 SEC MULTICENTRO EMPRESAERIAL</v>
          </cell>
          <cell r="G432" t="str">
            <v>66</v>
          </cell>
          <cell r="H432" t="str">
            <v>001</v>
          </cell>
          <cell r="I432" t="str">
            <v>66001</v>
          </cell>
          <cell r="J432" t="str">
            <v>VENTA DE BIENES</v>
          </cell>
          <cell r="K432">
            <v>4659</v>
          </cell>
          <cell r="L432">
            <v>219</v>
          </cell>
          <cell r="M432">
            <v>28066540</v>
          </cell>
        </row>
        <row r="433">
          <cell r="A433">
            <v>891412809</v>
          </cell>
          <cell r="B433" t="str">
            <v>SUMINISTROS ELECTRICOS E INDUSTRIALES SUMILEC S.A</v>
          </cell>
          <cell r="C433" t="str">
            <v>+570000</v>
          </cell>
          <cell r="E433" t="str">
            <v>AUXILIARCOMPRAS@SUMILEC.COM</v>
          </cell>
          <cell r="F433" t="str">
            <v>AV 30 DE AGOSTO CL94 14 73 BG 8 SEC MULTICENTRO EMPRESAERIAL</v>
          </cell>
          <cell r="G433" t="str">
            <v>66</v>
          </cell>
          <cell r="H433" t="str">
            <v>001</v>
          </cell>
          <cell r="I433" t="str">
            <v>66001</v>
          </cell>
          <cell r="J433" t="str">
            <v>TRANSPORTE</v>
          </cell>
          <cell r="K433">
            <v>3312</v>
          </cell>
          <cell r="L433">
            <v>334</v>
          </cell>
          <cell r="M433">
            <v>34162</v>
          </cell>
        </row>
        <row r="434">
          <cell r="A434">
            <v>891800111</v>
          </cell>
          <cell r="B434" t="str">
            <v>DIACO S.A.</v>
          </cell>
          <cell r="C434" t="str">
            <v>+570000</v>
          </cell>
          <cell r="E434" t="str">
            <v>COL_INTERCAMBIO@EINVOICING.SIGNATURE-CLOUD.COM</v>
          </cell>
          <cell r="F434" t="str">
            <v>CARR CENTRAL DEL NORTE KM 27 VIA TUNJA-PAIPA</v>
          </cell>
          <cell r="G434" t="str">
            <v>11</v>
          </cell>
          <cell r="H434" t="str">
            <v>001</v>
          </cell>
          <cell r="I434" t="str">
            <v>11001</v>
          </cell>
          <cell r="J434" t="str">
            <v>VENTA DE BIENES</v>
          </cell>
          <cell r="K434">
            <v>4659</v>
          </cell>
          <cell r="L434">
            <v>219</v>
          </cell>
          <cell r="M434">
            <v>28269450</v>
          </cell>
        </row>
        <row r="435">
          <cell r="A435">
            <v>891855573</v>
          </cell>
          <cell r="B435" t="str">
            <v>EMPRESA DE FOSFATOS DE BOYACA S. A.</v>
          </cell>
          <cell r="C435">
            <v>7784002</v>
          </cell>
          <cell r="D435">
            <v>7784002</v>
          </cell>
          <cell r="E435" t="str">
            <v>info@fosfatosdeboyaca.com</v>
          </cell>
          <cell r="F435" t="str">
            <v>KM 2 VIA PESCA A SOGAMOSO</v>
          </cell>
          <cell r="G435" t="str">
            <v>15</v>
          </cell>
          <cell r="H435" t="str">
            <v>542</v>
          </cell>
          <cell r="I435" t="str">
            <v>15542</v>
          </cell>
          <cell r="J435" t="str">
            <v>VENTA DE BIENES</v>
          </cell>
          <cell r="K435">
            <v>4659</v>
          </cell>
          <cell r="L435">
            <v>219</v>
          </cell>
          <cell r="M435">
            <v>843200</v>
          </cell>
        </row>
        <row r="436">
          <cell r="A436">
            <v>891900129</v>
          </cell>
          <cell r="B436" t="str">
            <v>CARLOS SARMIENTO L Y CIA INGENIO SAN CARLOS S.A.</v>
          </cell>
          <cell r="C436" t="str">
            <v>+570000</v>
          </cell>
          <cell r="E436" t="str">
            <v>FACTURARECEPCION@INGENIOSANCARLOS.COM.CO</v>
          </cell>
          <cell r="F436" t="str">
            <v>CL 64N 5BN-146 LC 26 C</v>
          </cell>
          <cell r="G436" t="str">
            <v>76</v>
          </cell>
          <cell r="H436" t="str">
            <v>834</v>
          </cell>
          <cell r="I436" t="str">
            <v>76834</v>
          </cell>
          <cell r="J436" t="str">
            <v>VENTA DE BIENES</v>
          </cell>
          <cell r="K436">
            <v>4659</v>
          </cell>
          <cell r="L436">
            <v>219</v>
          </cell>
          <cell r="M436">
            <v>3950424</v>
          </cell>
        </row>
        <row r="437">
          <cell r="A437">
            <v>899999061</v>
          </cell>
          <cell r="B437" t="str">
            <v>BOGOTA DISTRITO CAPITAL</v>
          </cell>
          <cell r="C437" t="str">
            <v>3385418</v>
          </cell>
          <cell r="D437" t="str">
            <v>3385418</v>
          </cell>
          <cell r="E437" t="str">
            <v>radicacionfacturas_bogota@shd.gov.co</v>
          </cell>
          <cell r="F437" t="str">
            <v>CR 30 24  90</v>
          </cell>
          <cell r="G437" t="str">
            <v>11</v>
          </cell>
          <cell r="H437" t="str">
            <v>001</v>
          </cell>
          <cell r="I437" t="str">
            <v>11001</v>
          </cell>
          <cell r="J437" t="str">
            <v>42 GRAVADOS</v>
          </cell>
          <cell r="K437">
            <v>4659</v>
          </cell>
          <cell r="L437">
            <v>219</v>
          </cell>
          <cell r="M437">
            <v>42000</v>
          </cell>
        </row>
        <row r="438">
          <cell r="A438">
            <v>899999068</v>
          </cell>
          <cell r="B438" t="str">
            <v>ECOPETROL S.A.</v>
          </cell>
          <cell r="C438" t="str">
            <v>+570000</v>
          </cell>
          <cell r="E438" t="str">
            <v>RADICACION.TUFACTURA@COLSEIN.COM.CO</v>
          </cell>
          <cell r="F438" t="str">
            <v>GERENCIA COMPLEJO BARRANCABERMEJA-GCB</v>
          </cell>
          <cell r="G438">
            <v>68</v>
          </cell>
          <cell r="H438" t="str">
            <v>081</v>
          </cell>
          <cell r="I438" t="str">
            <v>68081</v>
          </cell>
          <cell r="J438" t="str">
            <v>VENTA DE BIENES</v>
          </cell>
          <cell r="K438">
            <v>4659</v>
          </cell>
          <cell r="L438">
            <v>219</v>
          </cell>
          <cell r="M438">
            <v>143176860</v>
          </cell>
        </row>
        <row r="439">
          <cell r="A439">
            <v>899999068</v>
          </cell>
          <cell r="B439" t="str">
            <v>ECOPETROL S.A.</v>
          </cell>
          <cell r="C439" t="str">
            <v>+570000</v>
          </cell>
          <cell r="E439" t="str">
            <v>RADICACION.TUFACTURA@COLSEIN.COM.CO</v>
          </cell>
          <cell r="F439" t="str">
            <v>GERENCIA COMPLEJO BARRANCABERMEJA-GCB</v>
          </cell>
          <cell r="G439">
            <v>68</v>
          </cell>
          <cell r="H439" t="str">
            <v>081</v>
          </cell>
          <cell r="I439" t="str">
            <v>68081</v>
          </cell>
          <cell r="J439" t="str">
            <v>NO GRAVADOS</v>
          </cell>
          <cell r="K439">
            <v>4659</v>
          </cell>
          <cell r="L439">
            <v>219</v>
          </cell>
          <cell r="M439">
            <v>4403050</v>
          </cell>
        </row>
        <row r="440">
          <cell r="A440">
            <v>900006679</v>
          </cell>
          <cell r="B440" t="str">
            <v>COMERCIALIZADORA INDUSTRIAL Y TECNICA S.A.S.</v>
          </cell>
          <cell r="C440" t="str">
            <v>+570000</v>
          </cell>
          <cell r="E440" t="str">
            <v>CONTABILIDAD@COINDTEC.COM</v>
          </cell>
          <cell r="F440" t="str">
            <v>CL 21 1 39 BRR SAN NICOLAS</v>
          </cell>
          <cell r="G440" t="str">
            <v>76</v>
          </cell>
          <cell r="H440" t="str">
            <v>001</v>
          </cell>
          <cell r="I440" t="str">
            <v>76001</v>
          </cell>
          <cell r="J440" t="str">
            <v>VENTA DE BIENES</v>
          </cell>
          <cell r="K440">
            <v>4659</v>
          </cell>
          <cell r="L440">
            <v>219</v>
          </cell>
          <cell r="M440">
            <v>14099200</v>
          </cell>
        </row>
        <row r="441">
          <cell r="A441">
            <v>900012691</v>
          </cell>
          <cell r="B441" t="str">
            <v>CALDERAS HB SAS</v>
          </cell>
          <cell r="C441" t="str">
            <v>+570000</v>
          </cell>
          <cell r="E441" t="str">
            <v>FACTURACION@CALDERASHB.COM</v>
          </cell>
          <cell r="F441" t="str">
            <v>CALLE 32 No. 1A-37 BARRIO SANTANDER- CALI</v>
          </cell>
          <cell r="G441" t="str">
            <v>76</v>
          </cell>
          <cell r="H441" t="str">
            <v>001</v>
          </cell>
          <cell r="I441" t="str">
            <v>76001</v>
          </cell>
          <cell r="J441" t="str">
            <v>VENTA DE BIENES</v>
          </cell>
          <cell r="K441">
            <v>4659</v>
          </cell>
          <cell r="L441">
            <v>219</v>
          </cell>
          <cell r="M441">
            <v>13836698</v>
          </cell>
        </row>
        <row r="442">
          <cell r="A442">
            <v>900012691</v>
          </cell>
          <cell r="B442" t="str">
            <v>CALDERAS HB SAS</v>
          </cell>
          <cell r="C442" t="str">
            <v>+570000</v>
          </cell>
          <cell r="E442" t="str">
            <v>FACTURACION@CALDERASHB.COM</v>
          </cell>
          <cell r="F442" t="str">
            <v>CALLE 32 No. 1A-37 BARRIO SANTANDER- CALI</v>
          </cell>
          <cell r="G442" t="str">
            <v>76</v>
          </cell>
          <cell r="H442" t="str">
            <v>001</v>
          </cell>
          <cell r="I442" t="str">
            <v>76001</v>
          </cell>
          <cell r="J442" t="str">
            <v>TRANSPORTE</v>
          </cell>
          <cell r="K442">
            <v>3312</v>
          </cell>
          <cell r="L442">
            <v>334</v>
          </cell>
          <cell r="M442">
            <v>46000</v>
          </cell>
        </row>
        <row r="443">
          <cell r="A443">
            <v>900014539</v>
          </cell>
          <cell r="B443" t="str">
            <v>CONTROL Y SENSORES SAS</v>
          </cell>
          <cell r="C443" t="str">
            <v>314 3955852</v>
          </cell>
          <cell r="D443">
            <v>3143955852</v>
          </cell>
          <cell r="E443" t="str">
            <v>RECEPCION@MISFACTURAS.COM.CO</v>
          </cell>
          <cell r="F443" t="str">
            <v/>
          </cell>
          <cell r="G443">
            <v>11</v>
          </cell>
          <cell r="H443" t="str">
            <v>001</v>
          </cell>
          <cell r="I443" t="str">
            <v>11001</v>
          </cell>
          <cell r="J443" t="str">
            <v>VENTA DE BIENES</v>
          </cell>
          <cell r="K443">
            <v>4659</v>
          </cell>
          <cell r="L443">
            <v>219</v>
          </cell>
          <cell r="M443">
            <v>21084118</v>
          </cell>
        </row>
        <row r="444">
          <cell r="A444">
            <v>900015051</v>
          </cell>
          <cell r="B444" t="str">
            <v>ACEITES MANUELITA S.A.</v>
          </cell>
          <cell r="C444" t="str">
            <v>+570000</v>
          </cell>
          <cell r="E444" t="str">
            <v>FACTURAEACEMANUELITA@FACTURAENLINEA.CO</v>
          </cell>
          <cell r="F444" t="str">
            <v>CC VILLA CEN LC 5 Y 6</v>
          </cell>
          <cell r="G444">
            <v>50</v>
          </cell>
          <cell r="H444" t="str">
            <v>001</v>
          </cell>
          <cell r="I444" t="str">
            <v>50001</v>
          </cell>
          <cell r="J444" t="str">
            <v>VENTA DE BIENES</v>
          </cell>
          <cell r="K444">
            <v>4659</v>
          </cell>
          <cell r="L444">
            <v>219</v>
          </cell>
          <cell r="M444">
            <v>13762560</v>
          </cell>
        </row>
        <row r="445">
          <cell r="A445">
            <v>900015051</v>
          </cell>
          <cell r="B445" t="str">
            <v>ACEITES MANUELITA S.A.</v>
          </cell>
          <cell r="C445" t="str">
            <v>+570000</v>
          </cell>
          <cell r="E445" t="str">
            <v>FACTURAEACEMANUELITA@FACTURAENLINEA.CO</v>
          </cell>
          <cell r="F445" t="str">
            <v>CC VILLA CEN LC 5 Y 6</v>
          </cell>
          <cell r="G445">
            <v>50</v>
          </cell>
          <cell r="H445" t="str">
            <v>001</v>
          </cell>
          <cell r="I445" t="str">
            <v>50001</v>
          </cell>
          <cell r="J445" t="str">
            <v>SERV MTTO</v>
          </cell>
          <cell r="K445">
            <v>3312</v>
          </cell>
          <cell r="L445">
            <v>334</v>
          </cell>
          <cell r="M445">
            <v>10250000</v>
          </cell>
        </row>
        <row r="446">
          <cell r="A446">
            <v>900026620</v>
          </cell>
          <cell r="B446" t="str">
            <v>PREVITEC LTDA</v>
          </cell>
          <cell r="C446" t="str">
            <v>313 2924028</v>
          </cell>
          <cell r="E446" t="str">
            <v>miguel.romero@previtec.com.co</v>
          </cell>
          <cell r="F446" t="str">
            <v>CR 51 A 3 40</v>
          </cell>
          <cell r="G446" t="str">
            <v>11</v>
          </cell>
          <cell r="H446" t="str">
            <v>001</v>
          </cell>
          <cell r="I446" t="str">
            <v>11001</v>
          </cell>
          <cell r="J446" t="str">
            <v>VENTA DE BIENES</v>
          </cell>
          <cell r="K446">
            <v>4659</v>
          </cell>
          <cell r="L446">
            <v>219</v>
          </cell>
          <cell r="M446">
            <v>1477440</v>
          </cell>
        </row>
        <row r="447">
          <cell r="A447">
            <v>900028111</v>
          </cell>
          <cell r="B447" t="str">
            <v>TURGAS SA ESP</v>
          </cell>
          <cell r="E447" t="str">
            <v>facturae@turgas.com</v>
          </cell>
          <cell r="F447" t="str">
            <v>CL 100 8 A 55 OF 501 TO C</v>
          </cell>
          <cell r="G447" t="str">
            <v>11</v>
          </cell>
          <cell r="H447" t="str">
            <v>001</v>
          </cell>
          <cell r="I447" t="str">
            <v>11001</v>
          </cell>
          <cell r="J447" t="str">
            <v>42 GRAVADOS</v>
          </cell>
          <cell r="K447">
            <v>4659</v>
          </cell>
          <cell r="L447">
            <v>219</v>
          </cell>
          <cell r="M447">
            <v>624074</v>
          </cell>
        </row>
        <row r="448">
          <cell r="A448">
            <v>900031833</v>
          </cell>
          <cell r="B448" t="str">
            <v>ALIMENTOS PIPPO SA</v>
          </cell>
          <cell r="C448" t="str">
            <v>+570000</v>
          </cell>
          <cell r="E448" t="str">
            <v>MANTENIMIENTOPIPPO@HOTMAIL.COM</v>
          </cell>
          <cell r="F448" t="str">
            <v>CL 125 15 A-22</v>
          </cell>
          <cell r="G448" t="str">
            <v>11</v>
          </cell>
          <cell r="H448" t="str">
            <v>001</v>
          </cell>
          <cell r="I448" t="str">
            <v>11001</v>
          </cell>
          <cell r="J448" t="str">
            <v>VENTA DE BIENES</v>
          </cell>
          <cell r="K448">
            <v>4659</v>
          </cell>
          <cell r="L448">
            <v>219</v>
          </cell>
          <cell r="M448">
            <v>11525380</v>
          </cell>
        </row>
        <row r="449">
          <cell r="A449">
            <v>900072631</v>
          </cell>
          <cell r="B449" t="str">
            <v>ASISTENCIA TECNICA COLOMBIA CIA LTDA</v>
          </cell>
          <cell r="C449" t="str">
            <v>+570000</v>
          </cell>
          <cell r="E449" t="str">
            <v>COMPRAS@ASSISTECH.COM.CO</v>
          </cell>
          <cell r="F449" t="str">
            <v>CL 55 35A-60</v>
          </cell>
          <cell r="G449" t="str">
            <v>11</v>
          </cell>
          <cell r="H449" t="str">
            <v>001</v>
          </cell>
          <cell r="I449" t="str">
            <v>11001</v>
          </cell>
          <cell r="J449" t="str">
            <v>VENTA DE BIENES</v>
          </cell>
          <cell r="K449">
            <v>4659</v>
          </cell>
          <cell r="L449">
            <v>219</v>
          </cell>
          <cell r="M449">
            <v>8928480</v>
          </cell>
        </row>
        <row r="450">
          <cell r="A450">
            <v>900079775</v>
          </cell>
          <cell r="B450" t="str">
            <v>GOLOSINAS TRULULU S.A</v>
          </cell>
          <cell r="C450" t="str">
            <v>+570000</v>
          </cell>
          <cell r="E450" t="str">
            <v>FACTURACION@GOLOSINASTRULULU.COM</v>
          </cell>
          <cell r="F450" t="str">
            <v>KM 14 VIA AL MAGDALENA</v>
          </cell>
          <cell r="G450">
            <v>17</v>
          </cell>
          <cell r="H450" t="str">
            <v>001</v>
          </cell>
          <cell r="I450" t="str">
            <v>17001</v>
          </cell>
          <cell r="J450" t="str">
            <v>VENTA DE BIENES</v>
          </cell>
          <cell r="K450">
            <v>4659</v>
          </cell>
          <cell r="L450">
            <v>219</v>
          </cell>
          <cell r="M450">
            <v>50874640</v>
          </cell>
        </row>
        <row r="451">
          <cell r="A451">
            <v>900080956</v>
          </cell>
          <cell r="B451" t="str">
            <v>AGUAS KAPITAL CUCUTA SA E.S.P.</v>
          </cell>
          <cell r="E451" t="str">
            <v>yasmin.mora@akc.co</v>
          </cell>
          <cell r="F451" t="str">
            <v>AV 6 CL 11 P 2 ED SAN JOSE</v>
          </cell>
          <cell r="G451" t="str">
            <v>54</v>
          </cell>
          <cell r="H451" t="str">
            <v>001</v>
          </cell>
          <cell r="I451" t="str">
            <v>54001</v>
          </cell>
          <cell r="J451" t="str">
            <v>42 GRAVADOS</v>
          </cell>
          <cell r="K451">
            <v>4659</v>
          </cell>
          <cell r="L451">
            <v>219</v>
          </cell>
          <cell r="M451">
            <v>3922716</v>
          </cell>
        </row>
        <row r="452">
          <cell r="A452">
            <v>900082143</v>
          </cell>
          <cell r="B452" t="str">
            <v>GENERADORA Y COMERCIALIZADORA DE ENERGIA DEL CARIBE S.A. E.S.P.</v>
          </cell>
          <cell r="C452">
            <v>3303083</v>
          </cell>
          <cell r="D452">
            <v>3303083</v>
          </cell>
          <cell r="E452" t="str">
            <v>dmedinaa@gecelca.com.co</v>
          </cell>
          <cell r="F452" t="str">
            <v>Cl. 30 #7-1165 627</v>
          </cell>
          <cell r="G452" t="str">
            <v>08</v>
          </cell>
          <cell r="H452">
            <v>758</v>
          </cell>
          <cell r="I452" t="str">
            <v>08758</v>
          </cell>
          <cell r="J452" t="str">
            <v>VENTA DE BIENES</v>
          </cell>
          <cell r="K452">
            <v>4659</v>
          </cell>
          <cell r="L452">
            <v>219</v>
          </cell>
          <cell r="M452">
            <v>1113270</v>
          </cell>
        </row>
        <row r="453">
          <cell r="A453">
            <v>900083863</v>
          </cell>
          <cell r="B453" t="str">
            <v>CELEMA S.A.</v>
          </cell>
          <cell r="C453">
            <v>9892322</v>
          </cell>
          <cell r="D453">
            <v>9892322</v>
          </cell>
          <cell r="E453" t="str">
            <v>900083863@FACTUREINBOX.CO</v>
          </cell>
          <cell r="F453" t="str">
            <v>CR 22 71 79</v>
          </cell>
          <cell r="G453" t="str">
            <v>17</v>
          </cell>
          <cell r="H453" t="str">
            <v>001</v>
          </cell>
          <cell r="I453" t="str">
            <v>17001</v>
          </cell>
          <cell r="J453" t="str">
            <v>VENTA DE BIENES</v>
          </cell>
          <cell r="K453">
            <v>4659</v>
          </cell>
          <cell r="L453">
            <v>219</v>
          </cell>
          <cell r="M453">
            <v>13880400</v>
          </cell>
        </row>
        <row r="454">
          <cell r="A454">
            <v>900087414</v>
          </cell>
          <cell r="B454" t="str">
            <v>RIOPAILA CASTILLA S.A.</v>
          </cell>
          <cell r="C454" t="str">
            <v>+570000</v>
          </cell>
          <cell r="E454" t="str">
            <v>FACTURACION@RIOPAILA-CASTILLA.COM</v>
          </cell>
          <cell r="F454" t="str">
            <v>PLANTA CASTILLA KM 30 VIA FLORIDA-CALI</v>
          </cell>
          <cell r="G454">
            <v>76</v>
          </cell>
          <cell r="H454" t="str">
            <v>895</v>
          </cell>
          <cell r="I454" t="str">
            <v>76895</v>
          </cell>
          <cell r="J454" t="str">
            <v>VENTA DE BIENES</v>
          </cell>
          <cell r="K454">
            <v>4659</v>
          </cell>
          <cell r="L454">
            <v>219</v>
          </cell>
          <cell r="M454">
            <v>129467470</v>
          </cell>
        </row>
        <row r="455">
          <cell r="A455">
            <v>900104517</v>
          </cell>
          <cell r="B455" t="str">
            <v>BIO D SA ZF</v>
          </cell>
          <cell r="C455" t="str">
            <v>+570000</v>
          </cell>
          <cell r="E455" t="str">
            <v>900104517@SIESA.COM</v>
          </cell>
          <cell r="F455" t="str">
            <v>TERMINAL DE COMBUSTIBLES DE LA SABANA-MANILLA</v>
          </cell>
          <cell r="G455" t="str">
            <v>25</v>
          </cell>
          <cell r="H455" t="str">
            <v>269</v>
          </cell>
          <cell r="I455" t="str">
            <v>25269</v>
          </cell>
          <cell r="J455" t="str">
            <v>VENTA DE BIENES</v>
          </cell>
          <cell r="K455">
            <v>4659</v>
          </cell>
          <cell r="L455">
            <v>219</v>
          </cell>
          <cell r="M455">
            <v>2530952</v>
          </cell>
        </row>
        <row r="456">
          <cell r="A456">
            <v>900113435</v>
          </cell>
          <cell r="B456" t="str">
            <v>SUMMUM PROJECTS S.A.S</v>
          </cell>
          <cell r="C456" t="str">
            <v>6671414</v>
          </cell>
          <cell r="D456" t="str">
            <v>6671414</v>
          </cell>
          <cell r="E456" t="str">
            <v>lcabrera@summumcorp.com</v>
          </cell>
          <cell r="F456" t="str">
            <v>CR 19 166 53 P 1</v>
          </cell>
          <cell r="G456" t="str">
            <v>11</v>
          </cell>
          <cell r="H456" t="str">
            <v>001</v>
          </cell>
          <cell r="I456" t="str">
            <v>11001</v>
          </cell>
          <cell r="J456" t="str">
            <v>VENTA DE BIENES</v>
          </cell>
          <cell r="K456">
            <v>4659</v>
          </cell>
          <cell r="L456">
            <v>219</v>
          </cell>
          <cell r="M456">
            <v>108903328</v>
          </cell>
        </row>
        <row r="457">
          <cell r="A457">
            <v>900121912</v>
          </cell>
          <cell r="B457" t="str">
            <v>SOFTWARE &amp;SOLUCION INDUSTRIAL LTDA</v>
          </cell>
          <cell r="C457" t="str">
            <v>+570000</v>
          </cell>
          <cell r="E457" t="str">
            <v>AHENAO@SOLUCIONINDUSTRIAL.COM</v>
          </cell>
          <cell r="F457" t="str">
            <v>CR 30 39-53 SUR P 1</v>
          </cell>
          <cell r="G457">
            <v>11</v>
          </cell>
          <cell r="H457" t="str">
            <v>001</v>
          </cell>
          <cell r="I457" t="str">
            <v>11001</v>
          </cell>
          <cell r="J457" t="str">
            <v>VENTA DE BIENES</v>
          </cell>
          <cell r="K457">
            <v>4659</v>
          </cell>
          <cell r="L457">
            <v>219</v>
          </cell>
          <cell r="M457">
            <v>31180280</v>
          </cell>
        </row>
        <row r="458">
          <cell r="A458">
            <v>900127290</v>
          </cell>
          <cell r="B458" t="str">
            <v>SAMCO INGENIERIA SAS</v>
          </cell>
          <cell r="C458" t="str">
            <v>4440772</v>
          </cell>
          <cell r="D458" t="str">
            <v>4440772</v>
          </cell>
          <cell r="E458" t="str">
            <v>COMPRAS@SAMCOINGENIERIA.COM</v>
          </cell>
          <cell r="F458" t="str">
            <v>CR 69 32 B 39 BRR BELEN MALIBU</v>
          </cell>
          <cell r="G458" t="str">
            <v>05</v>
          </cell>
          <cell r="H458" t="str">
            <v>001</v>
          </cell>
          <cell r="I458" t="str">
            <v>05001</v>
          </cell>
          <cell r="J458" t="str">
            <v>VENTA DE BIENES</v>
          </cell>
          <cell r="K458">
            <v>4659</v>
          </cell>
          <cell r="L458">
            <v>219</v>
          </cell>
          <cell r="M458">
            <v>7133997</v>
          </cell>
        </row>
        <row r="459">
          <cell r="A459">
            <v>900134459</v>
          </cell>
          <cell r="B459" t="str">
            <v>TRANSPORTADORA DE GAS INTERNACIONAL S.A. ESP</v>
          </cell>
          <cell r="C459" t="str">
            <v>+570000</v>
          </cell>
          <cell r="E459" t="str">
            <v>SERGIO.HERNANDEZ@TGI.COM.CO</v>
          </cell>
          <cell r="F459" t="str">
            <v>Cra. 9 # 73-44 Piso 6</v>
          </cell>
          <cell r="G459">
            <v>11</v>
          </cell>
          <cell r="H459" t="str">
            <v>001</v>
          </cell>
          <cell r="I459" t="str">
            <v>11001</v>
          </cell>
          <cell r="J459" t="str">
            <v>VENTA DE BIENES</v>
          </cell>
          <cell r="K459">
            <v>4659</v>
          </cell>
          <cell r="L459">
            <v>219</v>
          </cell>
          <cell r="M459">
            <v>17236561</v>
          </cell>
        </row>
        <row r="460">
          <cell r="A460">
            <v>900136638</v>
          </cell>
          <cell r="B460" t="str">
            <v>CERVECERIA DEL VALLE SAS</v>
          </cell>
          <cell r="C460" t="str">
            <v>6919400</v>
          </cell>
          <cell r="D460" t="str">
            <v>6919400</v>
          </cell>
          <cell r="E460" t="str">
            <v>VALLE.FE@AB-INBEV.COM</v>
          </cell>
          <cell r="F460" t="str">
            <v>CL 94 7A-47</v>
          </cell>
          <cell r="G460">
            <v>76</v>
          </cell>
          <cell r="H460" t="str">
            <v>892</v>
          </cell>
          <cell r="I460" t="str">
            <v>76892</v>
          </cell>
          <cell r="J460" t="str">
            <v>VENTA DE BIENES</v>
          </cell>
          <cell r="K460">
            <v>4659</v>
          </cell>
          <cell r="L460">
            <v>219</v>
          </cell>
          <cell r="M460">
            <v>136180712</v>
          </cell>
        </row>
        <row r="461">
          <cell r="A461">
            <v>900146957</v>
          </cell>
          <cell r="B461" t="str">
            <v>SERVICIOS E INGENIERIA SEI SAS</v>
          </cell>
          <cell r="C461" t="str">
            <v>312 6852397</v>
          </cell>
          <cell r="D461">
            <v>3126852397</v>
          </cell>
          <cell r="E461" t="str">
            <v>servicios.sei@hotmail.com</v>
          </cell>
          <cell r="F461" t="str">
            <v>CL 22 11 08 BRR LA JULIA</v>
          </cell>
          <cell r="G461" t="str">
            <v>23</v>
          </cell>
          <cell r="H461" t="str">
            <v>001</v>
          </cell>
          <cell r="I461" t="str">
            <v>23001</v>
          </cell>
          <cell r="J461" t="str">
            <v>VENTA DE BIENES</v>
          </cell>
          <cell r="K461">
            <v>4659</v>
          </cell>
          <cell r="L461">
            <v>219</v>
          </cell>
          <cell r="M461">
            <v>1234159</v>
          </cell>
        </row>
        <row r="462">
          <cell r="A462">
            <v>900149177</v>
          </cell>
          <cell r="B462" t="str">
            <v>INDUTECMI S.A.S.</v>
          </cell>
          <cell r="C462">
            <v>6376398</v>
          </cell>
          <cell r="D462">
            <v>6376398</v>
          </cell>
          <cell r="E462" t="str">
            <v>contabilidadindutecmi@gmail.com</v>
          </cell>
          <cell r="F462" t="str">
            <v>CALLE 105 22-126 APTO 303 PROVENZA</v>
          </cell>
          <cell r="G462" t="str">
            <v>68</v>
          </cell>
          <cell r="H462" t="str">
            <v>001</v>
          </cell>
          <cell r="I462" t="str">
            <v>68001</v>
          </cell>
          <cell r="J462" t="str">
            <v>VENTA DE BIENES</v>
          </cell>
          <cell r="K462">
            <v>4659</v>
          </cell>
          <cell r="L462">
            <v>219</v>
          </cell>
          <cell r="M462">
            <v>597885</v>
          </cell>
        </row>
        <row r="463">
          <cell r="A463">
            <v>900149460</v>
          </cell>
          <cell r="B463" t="str">
            <v>GYPLAC S.A</v>
          </cell>
          <cell r="C463" t="str">
            <v>+570000</v>
          </cell>
          <cell r="E463" t="str">
            <v>INVOICES.GYPLAC.CO@ETEXGROUP.COM</v>
          </cell>
          <cell r="F463" t="str">
            <v>KM 1 VIA MAMONAL GAMBOTE</v>
          </cell>
          <cell r="G463">
            <v>13</v>
          </cell>
          <cell r="H463" t="str">
            <v>001</v>
          </cell>
          <cell r="I463" t="str">
            <v>13001</v>
          </cell>
          <cell r="J463" t="str">
            <v>VENTA DE BIENES</v>
          </cell>
          <cell r="K463">
            <v>4659</v>
          </cell>
          <cell r="L463">
            <v>219</v>
          </cell>
          <cell r="M463">
            <v>76579891</v>
          </cell>
        </row>
        <row r="464">
          <cell r="A464">
            <v>900156264</v>
          </cell>
          <cell r="B464" t="str">
            <v>NUEVA EMPRESA PROMOTORA DE SALUD S.A.</v>
          </cell>
          <cell r="C464" t="str">
            <v>3077022</v>
          </cell>
          <cell r="D464" t="str">
            <v>3077022</v>
          </cell>
          <cell r="E464" t="str">
            <v>recepcioncuentasmedicas@nuevaeps.com.co</v>
          </cell>
          <cell r="F464" t="str">
            <v>CR 48 30 19</v>
          </cell>
          <cell r="G464" t="str">
            <v>11</v>
          </cell>
          <cell r="H464" t="str">
            <v>001</v>
          </cell>
          <cell r="I464" t="str">
            <v>11001</v>
          </cell>
          <cell r="J464" t="str">
            <v>42 GRAVADOS</v>
          </cell>
          <cell r="K464">
            <v>4659</v>
          </cell>
          <cell r="L464">
            <v>219</v>
          </cell>
          <cell r="M464">
            <v>760334</v>
          </cell>
        </row>
        <row r="465">
          <cell r="A465">
            <v>900158025</v>
          </cell>
          <cell r="B465" t="str">
            <v>GEA ANDINA S.A.S</v>
          </cell>
          <cell r="C465" t="str">
            <v>+570000</v>
          </cell>
          <cell r="E465" t="str">
            <v>GEACOLFACELECTRONIC@GEA.COM</v>
          </cell>
          <cell r="F465" t="str">
            <v>Calle 93 12 14</v>
          </cell>
          <cell r="G465" t="str">
            <v>11</v>
          </cell>
          <cell r="H465" t="str">
            <v>001</v>
          </cell>
          <cell r="I465" t="str">
            <v>11001</v>
          </cell>
          <cell r="J465" t="str">
            <v>VENTA DE BIENES</v>
          </cell>
          <cell r="K465">
            <v>4659</v>
          </cell>
          <cell r="L465">
            <v>219</v>
          </cell>
          <cell r="M465">
            <v>9959172</v>
          </cell>
        </row>
        <row r="466">
          <cell r="A466">
            <v>900159278</v>
          </cell>
          <cell r="B466" t="str">
            <v>PROCTEK S.A.S</v>
          </cell>
          <cell r="C466" t="str">
            <v>+570000</v>
          </cell>
          <cell r="E466" t="str">
            <v>900159278@FACTUREINBOX.CO</v>
          </cell>
          <cell r="F466" t="str">
            <v>CARRERA 50 No. 134 - 66</v>
          </cell>
          <cell r="G466" t="str">
            <v>11</v>
          </cell>
          <cell r="H466" t="str">
            <v>001</v>
          </cell>
          <cell r="I466" t="str">
            <v>11001</v>
          </cell>
          <cell r="J466" t="str">
            <v>VENTA DE BIENES</v>
          </cell>
          <cell r="K466">
            <v>4659</v>
          </cell>
          <cell r="L466">
            <v>219</v>
          </cell>
          <cell r="M466">
            <v>17168778</v>
          </cell>
        </row>
        <row r="467">
          <cell r="A467">
            <v>900163354</v>
          </cell>
          <cell r="B467" t="str">
            <v>ARROCERA FORMOSA SAS</v>
          </cell>
          <cell r="C467" t="str">
            <v>321 7997242</v>
          </cell>
          <cell r="D467">
            <v>3217997242</v>
          </cell>
          <cell r="E467" t="str">
            <v>faristizabalh@gmail.com</v>
          </cell>
          <cell r="F467" t="str">
            <v>Dg 17 18 10</v>
          </cell>
          <cell r="G467">
            <v>70</v>
          </cell>
          <cell r="H467" t="str">
            <v>708</v>
          </cell>
          <cell r="I467" t="str">
            <v>70708</v>
          </cell>
          <cell r="J467" t="str">
            <v>VENTA DE BIENES</v>
          </cell>
          <cell r="K467">
            <v>4659</v>
          </cell>
          <cell r="L467">
            <v>219</v>
          </cell>
          <cell r="M467">
            <v>3937914</v>
          </cell>
        </row>
        <row r="468">
          <cell r="A468">
            <v>900164755</v>
          </cell>
          <cell r="B468" t="str">
            <v>ZONA FRANCA ARGOS S.A.S</v>
          </cell>
          <cell r="C468" t="str">
            <v>3619254</v>
          </cell>
          <cell r="D468" t="str">
            <v>3619254</v>
          </cell>
          <cell r="E468" t="str">
            <v>PROVEEDORZONAFRANCAARGOS@ARGOS.COM.CO</v>
          </cell>
          <cell r="F468" t="str">
            <v>ZN  INDUSTRAL MAMONAL KM 7</v>
          </cell>
          <cell r="G468" t="str">
            <v>13</v>
          </cell>
          <cell r="H468" t="str">
            <v>001</v>
          </cell>
          <cell r="I468" t="str">
            <v>13001</v>
          </cell>
          <cell r="J468" t="str">
            <v>VENTA DE BIENES</v>
          </cell>
          <cell r="K468">
            <v>4659</v>
          </cell>
          <cell r="L468">
            <v>219</v>
          </cell>
          <cell r="M468">
            <v>49722284</v>
          </cell>
        </row>
        <row r="469">
          <cell r="A469">
            <v>900178832</v>
          </cell>
          <cell r="B469" t="str">
            <v>SMA INGENIERIA SAS</v>
          </cell>
          <cell r="C469" t="str">
            <v>+570000</v>
          </cell>
          <cell r="E469" t="str">
            <v>FINANCIERA@SMAINGENIERIA.COM.CO</v>
          </cell>
          <cell r="F469" t="str">
            <v>CALLE 64 NUMERO 104 56 INTERIOR  2</v>
          </cell>
          <cell r="G469" t="str">
            <v>11</v>
          </cell>
          <cell r="H469" t="str">
            <v>001</v>
          </cell>
          <cell r="I469" t="str">
            <v>11001</v>
          </cell>
          <cell r="J469" t="str">
            <v>VENTA DE BIENES</v>
          </cell>
          <cell r="K469">
            <v>4659</v>
          </cell>
          <cell r="L469">
            <v>219</v>
          </cell>
          <cell r="M469">
            <v>1026416</v>
          </cell>
        </row>
        <row r="470">
          <cell r="A470">
            <v>900182014</v>
          </cell>
          <cell r="B470" t="str">
            <v>VESTA INGENIERIA SAS</v>
          </cell>
          <cell r="C470" t="str">
            <v>+570000</v>
          </cell>
          <cell r="E470" t="str">
            <v>GERENCIA@VESTACOLOMBIA.CO</v>
          </cell>
          <cell r="F470" t="str">
            <v>CR 34 36 31 OF 1001 BRR EL PRADO</v>
          </cell>
          <cell r="G470" t="str">
            <v>68</v>
          </cell>
          <cell r="H470" t="str">
            <v>001</v>
          </cell>
          <cell r="I470" t="str">
            <v>68001</v>
          </cell>
          <cell r="J470" t="str">
            <v>VENTA DE BIENES</v>
          </cell>
          <cell r="K470">
            <v>4659</v>
          </cell>
          <cell r="L470">
            <v>219</v>
          </cell>
          <cell r="M470">
            <v>14410747</v>
          </cell>
        </row>
        <row r="471">
          <cell r="A471">
            <v>900182154</v>
          </cell>
          <cell r="B471" t="str">
            <v>BALANCEADOS SA</v>
          </cell>
          <cell r="C471" t="str">
            <v>315 3252804</v>
          </cell>
          <cell r="D471">
            <v>3153252804</v>
          </cell>
          <cell r="E471" t="str">
            <v>mtosupe@balanceados.com.co</v>
          </cell>
          <cell r="F471" t="str">
            <v/>
          </cell>
          <cell r="G471" t="str">
            <v>76</v>
          </cell>
          <cell r="H471" t="str">
            <v>111</v>
          </cell>
          <cell r="I471" t="str">
            <v>76111</v>
          </cell>
          <cell r="J471" t="str">
            <v>VENTA DE BIENES</v>
          </cell>
          <cell r="K471">
            <v>4659</v>
          </cell>
          <cell r="L471">
            <v>219</v>
          </cell>
          <cell r="M471">
            <v>3067200</v>
          </cell>
        </row>
        <row r="472">
          <cell r="A472">
            <v>900189181</v>
          </cell>
          <cell r="B472" t="str">
            <v>PEPSICO ALIMENTOS Z.F LTDA</v>
          </cell>
          <cell r="C472" t="str">
            <v>+570000</v>
          </cell>
          <cell r="E472" t="str">
            <v>FACTURACIONELECTRONICA@EDXSOLUTIONS.COM</v>
          </cell>
          <cell r="F472" t="str">
            <v>VDA LA FLORIDA CORREDOR INDUSTRIAL KM 3 VIA FUNZA-SIBERIA</v>
          </cell>
          <cell r="G472" t="str">
            <v>05</v>
          </cell>
          <cell r="H472" t="str">
            <v>318</v>
          </cell>
          <cell r="I472" t="str">
            <v>05318</v>
          </cell>
          <cell r="J472" t="str">
            <v>VENTA DE BIENES</v>
          </cell>
          <cell r="K472">
            <v>4659</v>
          </cell>
          <cell r="L472">
            <v>219</v>
          </cell>
          <cell r="M472">
            <v>305098262</v>
          </cell>
        </row>
        <row r="473">
          <cell r="A473">
            <v>900198610</v>
          </cell>
          <cell r="B473" t="str">
            <v>EI&amp;T INGENIERIA SAS</v>
          </cell>
          <cell r="C473">
            <v>8698789</v>
          </cell>
          <cell r="D473">
            <v>8698789</v>
          </cell>
          <cell r="E473" t="str">
            <v>CLENIS@EITINGENIERIA.COM</v>
          </cell>
          <cell r="F473" t="str">
            <v/>
          </cell>
          <cell r="G473">
            <v>76</v>
          </cell>
          <cell r="H473" t="str">
            <v>001</v>
          </cell>
          <cell r="I473" t="str">
            <v>76001</v>
          </cell>
          <cell r="J473" t="str">
            <v>VENTA DE BIENES</v>
          </cell>
          <cell r="K473">
            <v>4659</v>
          </cell>
          <cell r="L473">
            <v>219</v>
          </cell>
          <cell r="M473">
            <v>5991081</v>
          </cell>
        </row>
        <row r="474">
          <cell r="A474">
            <v>900199343</v>
          </cell>
          <cell r="B474" t="str">
            <v>AMERICAS STYRENICS DE COLOMBIA LTDA</v>
          </cell>
          <cell r="C474" t="str">
            <v>56700538</v>
          </cell>
          <cell r="E474" t="str">
            <v>TAX@AMSTY.COM</v>
          </cell>
          <cell r="F474" t="str">
            <v>ZN  INDUSTRIAL MAMONAL KM 14</v>
          </cell>
          <cell r="G474" t="str">
            <v>13</v>
          </cell>
          <cell r="H474" t="str">
            <v>001</v>
          </cell>
          <cell r="I474" t="str">
            <v>13001</v>
          </cell>
          <cell r="J474" t="str">
            <v>VENTA DE BIENES</v>
          </cell>
          <cell r="K474">
            <v>4659</v>
          </cell>
          <cell r="L474">
            <v>219</v>
          </cell>
          <cell r="M474">
            <v>6037725</v>
          </cell>
        </row>
        <row r="475">
          <cell r="A475">
            <v>900200526</v>
          </cell>
          <cell r="B475" t="str">
            <v>R&amp;M SOLUCIONES INTEGRALES SAS</v>
          </cell>
          <cell r="C475" t="str">
            <v>318 8030648</v>
          </cell>
          <cell r="D475">
            <v>3188030648</v>
          </cell>
          <cell r="E475" t="str">
            <v>compras@rymsoluciones.net</v>
          </cell>
          <cell r="F475" t="str">
            <v/>
          </cell>
          <cell r="G475" t="str">
            <v>11</v>
          </cell>
          <cell r="H475" t="str">
            <v>001</v>
          </cell>
          <cell r="I475" t="str">
            <v>11001</v>
          </cell>
          <cell r="J475" t="str">
            <v>VENTA DE BIENES</v>
          </cell>
          <cell r="K475">
            <v>4659</v>
          </cell>
          <cell r="L475">
            <v>219</v>
          </cell>
          <cell r="M475">
            <v>3128951</v>
          </cell>
        </row>
        <row r="476">
          <cell r="A476">
            <v>900205548</v>
          </cell>
          <cell r="B476" t="str">
            <v>S&amp;S REDEL SAS SERVICIOS Y SUMINISTROS REDEL SAS</v>
          </cell>
          <cell r="E476" t="str">
            <v>ssredel@hotmail.com</v>
          </cell>
          <cell r="F476" t="str">
            <v>CL 54 24-02 BRR GALAN</v>
          </cell>
          <cell r="G476" t="str">
            <v>68</v>
          </cell>
          <cell r="H476" t="str">
            <v>081</v>
          </cell>
          <cell r="I476" t="str">
            <v>68081</v>
          </cell>
          <cell r="J476" t="str">
            <v>VENTA DE BIENES</v>
          </cell>
          <cell r="K476">
            <v>4659</v>
          </cell>
          <cell r="L476">
            <v>219</v>
          </cell>
          <cell r="M476">
            <v>6290843</v>
          </cell>
        </row>
        <row r="477">
          <cell r="A477">
            <v>900208445</v>
          </cell>
          <cell r="B477" t="str">
            <v>CERAMICA SAN LORENZO INDUSTRIAL DE COLOMBIA SAS</v>
          </cell>
          <cell r="C477" t="str">
            <v>3182302</v>
          </cell>
          <cell r="D477" t="str">
            <v>3182302</v>
          </cell>
          <cell r="E477" t="str">
            <v>RECEPCIONFACTURAS@SANLORENZO.COM.CO</v>
          </cell>
          <cell r="F477" t="str">
            <v>CR 14 98-34</v>
          </cell>
          <cell r="G477" t="str">
            <v>25</v>
          </cell>
          <cell r="H477" t="str">
            <v>758</v>
          </cell>
          <cell r="I477" t="str">
            <v>25758</v>
          </cell>
          <cell r="J477" t="str">
            <v>VENTA DE BIENES</v>
          </cell>
          <cell r="K477">
            <v>4659</v>
          </cell>
          <cell r="L477">
            <v>219</v>
          </cell>
          <cell r="M477">
            <v>3235597</v>
          </cell>
        </row>
        <row r="478">
          <cell r="A478">
            <v>900211167</v>
          </cell>
          <cell r="B478" t="str">
            <v>SANTA ANITA NAPOLES S.A.S.</v>
          </cell>
          <cell r="C478" t="str">
            <v>+570000</v>
          </cell>
          <cell r="E478" t="str">
            <v>FERECEPCION@SANTAANITANAPOLES.COM</v>
          </cell>
          <cell r="F478" t="str">
            <v>CL 70 NORTE 3C-275 BG 2 BRR LA FLORA</v>
          </cell>
          <cell r="G478" t="str">
            <v>76</v>
          </cell>
          <cell r="H478" t="str">
            <v>001</v>
          </cell>
          <cell r="I478" t="str">
            <v>76001</v>
          </cell>
          <cell r="J478" t="str">
            <v>VENTA DE BIENES</v>
          </cell>
          <cell r="K478">
            <v>4659</v>
          </cell>
          <cell r="L478">
            <v>219</v>
          </cell>
          <cell r="M478">
            <v>27558002</v>
          </cell>
        </row>
        <row r="479">
          <cell r="A479">
            <v>900213644</v>
          </cell>
          <cell r="B479" t="str">
            <v>CNC SERVICIO SAS</v>
          </cell>
          <cell r="C479" t="str">
            <v>320 8486346</v>
          </cell>
          <cell r="D479">
            <v>3208486346</v>
          </cell>
          <cell r="E479" t="str">
            <v>contabilidadcncservicio2023@gmail.com</v>
          </cell>
          <cell r="F479" t="str">
            <v>CL 68 A # 94-37</v>
          </cell>
          <cell r="G479" t="str">
            <v>11</v>
          </cell>
          <cell r="H479" t="str">
            <v>001</v>
          </cell>
          <cell r="I479" t="str">
            <v>11001</v>
          </cell>
          <cell r="J479" t="str">
            <v>VENTA DE BIENES</v>
          </cell>
          <cell r="K479">
            <v>4659</v>
          </cell>
          <cell r="L479">
            <v>219</v>
          </cell>
          <cell r="M479">
            <v>512800</v>
          </cell>
        </row>
        <row r="480">
          <cell r="A480">
            <v>900215682</v>
          </cell>
          <cell r="B480" t="str">
            <v>SFC CONVEYOR SAS</v>
          </cell>
          <cell r="C480" t="str">
            <v>312 5296559</v>
          </cell>
          <cell r="D480">
            <v>3125296559</v>
          </cell>
          <cell r="E480" t="str">
            <v>ingenieriaydesarrollo@sfcconveyors.com</v>
          </cell>
          <cell r="F480" t="str">
            <v/>
          </cell>
          <cell r="G480" t="str">
            <v>25</v>
          </cell>
          <cell r="H480" t="str">
            <v>214</v>
          </cell>
          <cell r="I480" t="str">
            <v>25214</v>
          </cell>
          <cell r="J480" t="str">
            <v>VENTA DE BIENES</v>
          </cell>
          <cell r="K480">
            <v>4659</v>
          </cell>
          <cell r="L480">
            <v>219</v>
          </cell>
          <cell r="M480">
            <v>3233040</v>
          </cell>
        </row>
        <row r="481">
          <cell r="A481">
            <v>900219834</v>
          </cell>
          <cell r="B481" t="str">
            <v>F2X S.A.S.</v>
          </cell>
          <cell r="C481" t="str">
            <v>+570000</v>
          </cell>
          <cell r="E481" t="str">
            <v>FACTURACIONF2X@F2X.COM.CO</v>
          </cell>
          <cell r="F481" t="str">
            <v>CRA 18C 121-40 Oficina 404</v>
          </cell>
          <cell r="G481" t="str">
            <v>11</v>
          </cell>
          <cell r="H481" t="str">
            <v>001</v>
          </cell>
          <cell r="I481" t="str">
            <v>11001</v>
          </cell>
          <cell r="J481" t="str">
            <v>42 GRAVADOS</v>
          </cell>
          <cell r="K481">
            <v>4659</v>
          </cell>
          <cell r="L481">
            <v>219</v>
          </cell>
          <cell r="M481">
            <v>26900</v>
          </cell>
        </row>
        <row r="482">
          <cell r="A482">
            <v>900221155</v>
          </cell>
          <cell r="B482" t="str">
            <v>EMPRENDER SOLUCIONES LTDA</v>
          </cell>
          <cell r="C482" t="str">
            <v>+570000</v>
          </cell>
          <cell r="E482" t="str">
            <v>YAZMINVERA@EMPRENDER-SOLUCIONES.COM</v>
          </cell>
          <cell r="F482" t="str">
            <v/>
          </cell>
          <cell r="G482">
            <v>68</v>
          </cell>
          <cell r="H482" t="str">
            <v>001</v>
          </cell>
          <cell r="I482" t="str">
            <v>68001</v>
          </cell>
          <cell r="J482" t="str">
            <v>VENTA DE BIENES</v>
          </cell>
          <cell r="K482">
            <v>4659</v>
          </cell>
          <cell r="L482">
            <v>219</v>
          </cell>
          <cell r="M482">
            <v>26730382</v>
          </cell>
        </row>
        <row r="483">
          <cell r="A483">
            <v>900223161</v>
          </cell>
          <cell r="B483" t="str">
            <v>WPD INGENIERIA LIMITADA</v>
          </cell>
          <cell r="C483" t="str">
            <v>314 5535843</v>
          </cell>
          <cell r="D483">
            <v>3145535843</v>
          </cell>
          <cell r="E483" t="str">
            <v>info@wpdingenieria.com</v>
          </cell>
          <cell r="F483" t="str">
            <v>TV 51 29 E 72 BRR NUEVO BOSQUE</v>
          </cell>
          <cell r="G483" t="str">
            <v>13</v>
          </cell>
          <cell r="H483" t="str">
            <v>001</v>
          </cell>
          <cell r="I483" t="str">
            <v>13001</v>
          </cell>
          <cell r="J483" t="str">
            <v>VENTA DE BIENES</v>
          </cell>
          <cell r="K483">
            <v>4659</v>
          </cell>
          <cell r="L483">
            <v>219</v>
          </cell>
          <cell r="M483">
            <v>96696</v>
          </cell>
        </row>
        <row r="484">
          <cell r="A484">
            <v>900223161</v>
          </cell>
          <cell r="B484" t="str">
            <v>WPD INGENIERIA LIMITADA</v>
          </cell>
          <cell r="C484" t="str">
            <v>314 5535843</v>
          </cell>
          <cell r="D484">
            <v>3145535843</v>
          </cell>
          <cell r="E484" t="str">
            <v>info@wpdingenieria.com</v>
          </cell>
          <cell r="F484" t="str">
            <v>TV 51 29 E 72 BRR NUEVO BOSQUE</v>
          </cell>
          <cell r="G484" t="str">
            <v>13</v>
          </cell>
          <cell r="H484" t="str">
            <v>001</v>
          </cell>
          <cell r="I484" t="str">
            <v>13001</v>
          </cell>
          <cell r="J484" t="str">
            <v>TRANSPORTE</v>
          </cell>
          <cell r="K484">
            <v>3312</v>
          </cell>
          <cell r="L484">
            <v>334</v>
          </cell>
          <cell r="M484">
            <v>15000</v>
          </cell>
        </row>
        <row r="485">
          <cell r="A485">
            <v>900226838</v>
          </cell>
          <cell r="B485" t="str">
            <v>NOUVELLE DE COLOMBIA EU</v>
          </cell>
          <cell r="C485" t="str">
            <v>+570000</v>
          </cell>
          <cell r="E485" t="str">
            <v>facturacion.electronica@nouvelleltd.com</v>
          </cell>
          <cell r="F485" t="str">
            <v>KM 11 VIA MAMONAL PAR INDUSTRIAL</v>
          </cell>
          <cell r="G485">
            <v>13</v>
          </cell>
          <cell r="H485" t="str">
            <v>001</v>
          </cell>
          <cell r="I485" t="str">
            <v>13001</v>
          </cell>
          <cell r="J485" t="str">
            <v>VENTA DE BIENES</v>
          </cell>
          <cell r="K485">
            <v>4659</v>
          </cell>
          <cell r="L485">
            <v>219</v>
          </cell>
          <cell r="M485">
            <v>20834953</v>
          </cell>
        </row>
        <row r="486">
          <cell r="A486">
            <v>900228409</v>
          </cell>
          <cell r="B486" t="str">
            <v>PCA INGENIERIA COLOMBIA SAS</v>
          </cell>
          <cell r="C486" t="str">
            <v>+570000</v>
          </cell>
          <cell r="E486" t="str">
            <v>ADMON@PCAINGENIERIA.COM</v>
          </cell>
          <cell r="F486" t="str">
            <v>CL 30 32 60 OF 403</v>
          </cell>
          <cell r="G486" t="str">
            <v>76</v>
          </cell>
          <cell r="H486" t="str">
            <v>520</v>
          </cell>
          <cell r="I486" t="str">
            <v>76520</v>
          </cell>
          <cell r="J486" t="str">
            <v>VENTA DE BIENES</v>
          </cell>
          <cell r="K486">
            <v>4659</v>
          </cell>
          <cell r="L486">
            <v>219</v>
          </cell>
          <cell r="M486">
            <v>38993400</v>
          </cell>
        </row>
        <row r="487">
          <cell r="A487">
            <v>900233101</v>
          </cell>
          <cell r="B487" t="str">
            <v>CEMENTOS SAN MARCOS S.A.S.</v>
          </cell>
          <cell r="C487" t="str">
            <v>+570000</v>
          </cell>
          <cell r="E487" t="str">
            <v>SZULETA@CSMSA.CO</v>
          </cell>
          <cell r="F487" t="str">
            <v>KM 24 MARGEN IZQUIERDA CRT PANORAMA VIAL VIAL</v>
          </cell>
          <cell r="G487" t="str">
            <v>76</v>
          </cell>
          <cell r="H487" t="str">
            <v>892</v>
          </cell>
          <cell r="I487" t="str">
            <v>76892</v>
          </cell>
          <cell r="J487" t="str">
            <v>VENTA DE BIENES</v>
          </cell>
          <cell r="K487">
            <v>4659</v>
          </cell>
          <cell r="L487">
            <v>219</v>
          </cell>
          <cell r="M487">
            <v>8669016</v>
          </cell>
        </row>
        <row r="488">
          <cell r="A488">
            <v>900235088</v>
          </cell>
          <cell r="B488" t="str">
            <v>TECPETROL COLOMBIA SAS</v>
          </cell>
          <cell r="C488">
            <v>3570000</v>
          </cell>
          <cell r="D488">
            <v>3570000</v>
          </cell>
          <cell r="E488" t="str">
            <v>proveedores.tecpetrol@tecpetrol.com</v>
          </cell>
          <cell r="F488" t="str">
            <v>CL 113 7 80 ED TORRE AR OF 603</v>
          </cell>
          <cell r="G488" t="str">
            <v>11</v>
          </cell>
          <cell r="H488" t="str">
            <v>001</v>
          </cell>
          <cell r="I488" t="str">
            <v>11001</v>
          </cell>
          <cell r="J488" t="str">
            <v>VENTA DE BIENES</v>
          </cell>
          <cell r="K488">
            <v>4659</v>
          </cell>
          <cell r="L488">
            <v>219</v>
          </cell>
          <cell r="M488">
            <v>12591976</v>
          </cell>
        </row>
        <row r="489">
          <cell r="A489">
            <v>900239001</v>
          </cell>
          <cell r="B489" t="str">
            <v>PRODUCTOS FAMILIA CAJICA SAS</v>
          </cell>
          <cell r="C489" t="str">
            <v>+570000</v>
          </cell>
          <cell r="E489" t="str">
            <v>FACTURAFAMILIACOL.GF@ESSITY.COM</v>
          </cell>
          <cell r="F489" t="str">
            <v>PLANTA CAJICA KM 7.5 ZIPAQUIRA</v>
          </cell>
          <cell r="G489" t="str">
            <v>25</v>
          </cell>
          <cell r="H489" t="str">
            <v>126</v>
          </cell>
          <cell r="I489" t="str">
            <v>25126</v>
          </cell>
          <cell r="J489" t="str">
            <v>VENTA DE BIENES</v>
          </cell>
          <cell r="K489">
            <v>4659</v>
          </cell>
          <cell r="L489">
            <v>219</v>
          </cell>
          <cell r="M489">
            <v>87139910</v>
          </cell>
        </row>
        <row r="490">
          <cell r="A490">
            <v>900244129</v>
          </cell>
          <cell r="B490" t="str">
            <v>SELLING S A S</v>
          </cell>
          <cell r="C490" t="str">
            <v>311 2802178</v>
          </cell>
          <cell r="D490">
            <v>3112802178</v>
          </cell>
          <cell r="E490" t="str">
            <v>comercial10@sellingcolombia.com</v>
          </cell>
          <cell r="F490" t="str">
            <v>CRR 46 152-46 OF 213</v>
          </cell>
          <cell r="G490" t="str">
            <v>11</v>
          </cell>
          <cell r="H490" t="str">
            <v>001</v>
          </cell>
          <cell r="I490" t="str">
            <v>11001</v>
          </cell>
          <cell r="J490" t="str">
            <v>VENTA DE BIENES</v>
          </cell>
          <cell r="K490">
            <v>4659</v>
          </cell>
          <cell r="L490">
            <v>219</v>
          </cell>
          <cell r="M490">
            <v>1680985</v>
          </cell>
        </row>
        <row r="491">
          <cell r="A491">
            <v>900247988</v>
          </cell>
          <cell r="B491" t="str">
            <v>LABORATORIO METROLOGICO DE ANTIOQUIA SAS</v>
          </cell>
          <cell r="C491" t="str">
            <v>310 3712864</v>
          </cell>
          <cell r="D491">
            <v>3103712864</v>
          </cell>
          <cell r="E491" t="str">
            <v>info@laboratoriometrologico.com</v>
          </cell>
          <cell r="F491" t="str">
            <v>CL 19 59 30</v>
          </cell>
          <cell r="G491" t="str">
            <v>05</v>
          </cell>
          <cell r="H491" t="str">
            <v>001</v>
          </cell>
          <cell r="I491" t="str">
            <v>05001</v>
          </cell>
          <cell r="J491" t="str">
            <v>VENTA DE BIENES</v>
          </cell>
          <cell r="K491">
            <v>4659</v>
          </cell>
          <cell r="L491">
            <v>219</v>
          </cell>
          <cell r="M491">
            <v>8110080</v>
          </cell>
        </row>
        <row r="492">
          <cell r="A492">
            <v>900251415</v>
          </cell>
          <cell r="B492" t="str">
            <v>SOFTYS GACHANCIPÁ S.A</v>
          </cell>
          <cell r="C492" t="str">
            <v>+570000</v>
          </cell>
          <cell r="E492" t="str">
            <v>DTE_9002514154@DTE.PAPERLESS.COM.CO</v>
          </cell>
          <cell r="F492" t="str">
            <v>CL 113 7-45 ED TELEPORT OF 1009</v>
          </cell>
          <cell r="G492" t="str">
            <v>25</v>
          </cell>
          <cell r="H492" t="str">
            <v>295</v>
          </cell>
          <cell r="I492" t="str">
            <v>25295</v>
          </cell>
          <cell r="J492" t="str">
            <v>VENTA DE BIENES</v>
          </cell>
          <cell r="K492">
            <v>4659</v>
          </cell>
          <cell r="L492">
            <v>219</v>
          </cell>
          <cell r="M492">
            <v>6668366</v>
          </cell>
        </row>
        <row r="493">
          <cell r="A493">
            <v>900255884</v>
          </cell>
          <cell r="B493" t="str">
            <v>SCHNEIDER ELECTRIC SYSTEMS COLOMBIA LTDA</v>
          </cell>
          <cell r="C493" t="str">
            <v>+570000</v>
          </cell>
          <cell r="E493" t="str">
            <v>cxp.colombia@schneider-electric.com</v>
          </cell>
          <cell r="F493" t="str">
            <v/>
          </cell>
          <cell r="G493" t="str">
            <v>11</v>
          </cell>
          <cell r="H493" t="str">
            <v>001</v>
          </cell>
          <cell r="I493" t="str">
            <v>11001</v>
          </cell>
          <cell r="J493" t="str">
            <v>VENTA DE BIENES</v>
          </cell>
          <cell r="K493">
            <v>4659</v>
          </cell>
          <cell r="L493">
            <v>219</v>
          </cell>
          <cell r="M493">
            <v>234491365</v>
          </cell>
        </row>
        <row r="494">
          <cell r="A494">
            <v>900255884</v>
          </cell>
          <cell r="B494" t="str">
            <v>SCHNEIDER ELECTRIC SYSTEMS COLOMBIA LTDA</v>
          </cell>
          <cell r="C494" t="str">
            <v>+570000</v>
          </cell>
          <cell r="E494" t="str">
            <v>cxp.colombia@schneider-electric.com</v>
          </cell>
          <cell r="F494" t="str">
            <v/>
          </cell>
          <cell r="G494" t="str">
            <v>11</v>
          </cell>
          <cell r="H494" t="str">
            <v>001</v>
          </cell>
          <cell r="I494" t="str">
            <v>11001</v>
          </cell>
          <cell r="J494" t="str">
            <v>42 GRAVADOS</v>
          </cell>
          <cell r="K494">
            <v>4659</v>
          </cell>
          <cell r="L494">
            <v>219</v>
          </cell>
          <cell r="M494">
            <v>23037</v>
          </cell>
        </row>
        <row r="495">
          <cell r="A495">
            <v>900259539</v>
          </cell>
          <cell r="B495" t="str">
            <v>INSTRUEQUIPOS INGENIERIA S.A.S</v>
          </cell>
          <cell r="C495" t="str">
            <v>+570000</v>
          </cell>
          <cell r="E495" t="str">
            <v>LOGISTICA@INSTRUEQUIPOS.CO</v>
          </cell>
          <cell r="F495" t="str">
            <v>CR 48 75 86</v>
          </cell>
          <cell r="G495" t="str">
            <v>05</v>
          </cell>
          <cell r="H495" t="str">
            <v>360</v>
          </cell>
          <cell r="I495" t="str">
            <v>05360</v>
          </cell>
          <cell r="J495" t="str">
            <v>VENTA DE BIENES</v>
          </cell>
          <cell r="K495">
            <v>4659</v>
          </cell>
          <cell r="L495">
            <v>219</v>
          </cell>
          <cell r="M495">
            <v>11965440</v>
          </cell>
        </row>
        <row r="496">
          <cell r="A496">
            <v>900262214</v>
          </cell>
          <cell r="B496" t="str">
            <v>CENELEC CENTRAL DE ELECTRICOS LTDA</v>
          </cell>
          <cell r="C496" t="str">
            <v>+570000</v>
          </cell>
          <cell r="E496" t="str">
            <v>CONTABILIDAD@CENELEC.COM.CO</v>
          </cell>
          <cell r="F496" t="str">
            <v/>
          </cell>
          <cell r="G496" t="str">
            <v>11</v>
          </cell>
          <cell r="H496" t="str">
            <v>001</v>
          </cell>
          <cell r="I496" t="str">
            <v>11001</v>
          </cell>
          <cell r="J496" t="str">
            <v>VENTA DE BIENES</v>
          </cell>
          <cell r="K496">
            <v>4659</v>
          </cell>
          <cell r="L496">
            <v>219</v>
          </cell>
          <cell r="M496">
            <v>6982400</v>
          </cell>
        </row>
        <row r="497">
          <cell r="A497">
            <v>900262908</v>
          </cell>
          <cell r="B497" t="str">
            <v>DEMCA SAS</v>
          </cell>
          <cell r="C497" t="str">
            <v>315 7366586</v>
          </cell>
          <cell r="D497">
            <v>3157366586</v>
          </cell>
          <cell r="E497" t="str">
            <v>contabilidad@demca.co</v>
          </cell>
          <cell r="F497" t="str">
            <v>AV CRISANTO LUQUE DG 22 44 36 BRR BOSQUE</v>
          </cell>
          <cell r="G497" t="str">
            <v>13</v>
          </cell>
          <cell r="H497" t="str">
            <v>001</v>
          </cell>
          <cell r="I497" t="str">
            <v>13001</v>
          </cell>
          <cell r="J497" t="str">
            <v>VENTA DE BIENES</v>
          </cell>
          <cell r="K497">
            <v>4659</v>
          </cell>
          <cell r="L497">
            <v>219</v>
          </cell>
          <cell r="M497">
            <v>24712935</v>
          </cell>
        </row>
        <row r="498">
          <cell r="A498">
            <v>900268747</v>
          </cell>
          <cell r="B498" t="str">
            <v>PAREX RESOURCES COLOMBIA LTDA</v>
          </cell>
          <cell r="C498" t="str">
            <v>+570000</v>
          </cell>
          <cell r="E498" t="str">
            <v>FACTURACIONELECTRONICA@PAREXRESOURCES.COM</v>
          </cell>
          <cell r="F498" t="str">
            <v>CL 113  7-21 OF 706 TELEPORT STA ANA</v>
          </cell>
          <cell r="G498">
            <v>11</v>
          </cell>
          <cell r="H498" t="str">
            <v>001</v>
          </cell>
          <cell r="I498" t="str">
            <v>11001</v>
          </cell>
          <cell r="J498" t="str">
            <v>SERV MTTO</v>
          </cell>
          <cell r="K498">
            <v>3312</v>
          </cell>
          <cell r="L498">
            <v>334</v>
          </cell>
          <cell r="M498">
            <v>15825892</v>
          </cell>
        </row>
        <row r="499">
          <cell r="A499">
            <v>900268940</v>
          </cell>
          <cell r="B499" t="str">
            <v>DOLPHIN INGENIERIA S.A.S</v>
          </cell>
          <cell r="E499" t="str">
            <v>INFO@DOLPHINING.COM</v>
          </cell>
          <cell r="F499" t="str">
            <v>CR 71 A 48 A 75</v>
          </cell>
          <cell r="G499">
            <v>11</v>
          </cell>
          <cell r="H499" t="str">
            <v>001</v>
          </cell>
          <cell r="I499" t="str">
            <v>11001</v>
          </cell>
          <cell r="J499" t="str">
            <v>42 GRAVADOS</v>
          </cell>
          <cell r="K499">
            <v>4659</v>
          </cell>
          <cell r="L499">
            <v>219</v>
          </cell>
          <cell r="M499">
            <v>60574403</v>
          </cell>
        </row>
        <row r="500">
          <cell r="A500">
            <v>900268940</v>
          </cell>
          <cell r="B500" t="str">
            <v>DOLPHIN INGENIERIA S.A.S</v>
          </cell>
          <cell r="E500" t="str">
            <v>INFO@DOLPHINING.COM</v>
          </cell>
          <cell r="F500" t="str">
            <v>CR 71 A 48 A 75</v>
          </cell>
          <cell r="G500">
            <v>11</v>
          </cell>
          <cell r="H500" t="str">
            <v>001</v>
          </cell>
          <cell r="I500" t="str">
            <v>11001</v>
          </cell>
          <cell r="J500" t="str">
            <v>SERV ADMON</v>
          </cell>
          <cell r="K500">
            <v>3312</v>
          </cell>
          <cell r="L500">
            <v>334</v>
          </cell>
          <cell r="M500">
            <v>5939056</v>
          </cell>
        </row>
        <row r="501">
          <cell r="A501">
            <v>900268940</v>
          </cell>
          <cell r="B501" t="str">
            <v>DOLPHIN INGENIERIA S.A.S</v>
          </cell>
          <cell r="E501" t="str">
            <v>INFO@DOLPHINING.COM</v>
          </cell>
          <cell r="F501" t="str">
            <v>CR 71 A 48 A 75</v>
          </cell>
          <cell r="G501">
            <v>11</v>
          </cell>
          <cell r="H501" t="str">
            <v>001</v>
          </cell>
          <cell r="I501" t="str">
            <v>11001</v>
          </cell>
          <cell r="J501" t="str">
            <v>VENTA DE BIENES</v>
          </cell>
          <cell r="K501">
            <v>4659</v>
          </cell>
          <cell r="L501">
            <v>219</v>
          </cell>
          <cell r="M501">
            <v>1364535370</v>
          </cell>
        </row>
        <row r="502">
          <cell r="A502">
            <v>900279088</v>
          </cell>
          <cell r="B502" t="str">
            <v>TDMEK SAS</v>
          </cell>
          <cell r="C502" t="str">
            <v>+570000</v>
          </cell>
          <cell r="E502" t="str">
            <v>COMPRAS@TDMEK.COM</v>
          </cell>
          <cell r="F502" t="str">
            <v/>
          </cell>
          <cell r="G502" t="str">
            <v>66</v>
          </cell>
          <cell r="H502" t="str">
            <v>170</v>
          </cell>
          <cell r="I502" t="str">
            <v>66170</v>
          </cell>
          <cell r="J502" t="str">
            <v>VENTA DE BIENES</v>
          </cell>
          <cell r="K502">
            <v>4659</v>
          </cell>
          <cell r="L502">
            <v>219</v>
          </cell>
          <cell r="M502">
            <v>10920000</v>
          </cell>
        </row>
        <row r="503">
          <cell r="A503">
            <v>900280754</v>
          </cell>
          <cell r="B503" t="str">
            <v>SEITA S.A.S</v>
          </cell>
          <cell r="C503" t="str">
            <v>+570000</v>
          </cell>
          <cell r="E503" t="str">
            <v>FACTURACION@SEITA.COM.CO</v>
          </cell>
          <cell r="F503" t="str">
            <v>CL 4 25- 47 OF 602</v>
          </cell>
          <cell r="G503" t="str">
            <v>76</v>
          </cell>
          <cell r="H503" t="str">
            <v>001</v>
          </cell>
          <cell r="I503" t="str">
            <v>76001</v>
          </cell>
          <cell r="J503" t="str">
            <v>VENTA DE BIENES</v>
          </cell>
          <cell r="K503">
            <v>4659</v>
          </cell>
          <cell r="L503">
            <v>219</v>
          </cell>
          <cell r="M503">
            <v>7312086</v>
          </cell>
        </row>
        <row r="504">
          <cell r="A504">
            <v>900294335</v>
          </cell>
          <cell r="B504" t="str">
            <v>SENTRONIC SAS</v>
          </cell>
          <cell r="C504" t="str">
            <v>313 4622219</v>
          </cell>
          <cell r="D504">
            <v>3134622219</v>
          </cell>
          <cell r="E504" t="str">
            <v>angelica.sanchez@sentronic.com.co</v>
          </cell>
          <cell r="F504" t="str">
            <v>CR 62 103 44 OF 605 ED TORRE DEL RELOJ</v>
          </cell>
          <cell r="G504" t="str">
            <v>11</v>
          </cell>
          <cell r="H504" t="str">
            <v>001</v>
          </cell>
          <cell r="I504" t="str">
            <v>11001</v>
          </cell>
          <cell r="J504" t="str">
            <v>VENTA DE BIENES</v>
          </cell>
          <cell r="K504">
            <v>4659</v>
          </cell>
          <cell r="L504">
            <v>219</v>
          </cell>
          <cell r="M504">
            <v>248000</v>
          </cell>
        </row>
        <row r="505">
          <cell r="A505">
            <v>900297009</v>
          </cell>
          <cell r="B505" t="str">
            <v>FRESENIUS MEDICAL CARE ANDINA S.A.S</v>
          </cell>
          <cell r="C505" t="str">
            <v>+570000</v>
          </cell>
          <cell r="E505" t="str">
            <v>FACT.ELECTRONICA.FMEANDINA@FRESENIUSMEDICALCARE.COM</v>
          </cell>
          <cell r="F505" t="str">
            <v>KM 1 VIA SIBERIA - FUNZA ZF INTEXZN  LT 85</v>
          </cell>
          <cell r="G505">
            <v>11</v>
          </cell>
          <cell r="H505" t="str">
            <v>001</v>
          </cell>
          <cell r="I505" t="str">
            <v>11001</v>
          </cell>
          <cell r="J505" t="str">
            <v>VENTA DE BIENES</v>
          </cell>
          <cell r="K505">
            <v>4659</v>
          </cell>
          <cell r="L505">
            <v>219</v>
          </cell>
          <cell r="M505">
            <v>39704775</v>
          </cell>
        </row>
        <row r="506">
          <cell r="A506">
            <v>900298181</v>
          </cell>
          <cell r="B506" t="str">
            <v>SERVICIO MECATRONICO DE COLOMBIA LTDA</v>
          </cell>
          <cell r="C506" t="str">
            <v>+570000</v>
          </cell>
          <cell r="E506" t="str">
            <v>CONTABILIDAD@SERMECOL.COM</v>
          </cell>
          <cell r="F506" t="str">
            <v>CRA 21 159 48</v>
          </cell>
          <cell r="G506" t="str">
            <v>11</v>
          </cell>
          <cell r="H506" t="str">
            <v>001</v>
          </cell>
          <cell r="I506" t="str">
            <v>11001</v>
          </cell>
          <cell r="J506" t="str">
            <v>VENTA DE BIENES</v>
          </cell>
          <cell r="K506">
            <v>4659</v>
          </cell>
          <cell r="L506">
            <v>219</v>
          </cell>
          <cell r="M506">
            <v>30076506</v>
          </cell>
        </row>
        <row r="507">
          <cell r="A507">
            <v>900300096</v>
          </cell>
          <cell r="B507" t="str">
            <v>CONSULTORIA E INGENIERIA ELECTRICA CIE SAS</v>
          </cell>
          <cell r="C507" t="str">
            <v>311 8694033</v>
          </cell>
          <cell r="D507">
            <v>3118694033</v>
          </cell>
          <cell r="E507" t="str">
            <v>contabilidad.ciesas@gmail.com</v>
          </cell>
          <cell r="F507" t="str">
            <v>Casanare, Villanueva, MZ 12 CA 21</v>
          </cell>
          <cell r="G507" t="str">
            <v>85</v>
          </cell>
          <cell r="H507" t="str">
            <v>873</v>
          </cell>
          <cell r="I507" t="str">
            <v>85873</v>
          </cell>
          <cell r="J507" t="str">
            <v>VENTA DE BIENES</v>
          </cell>
          <cell r="K507">
            <v>4659</v>
          </cell>
          <cell r="L507">
            <v>219</v>
          </cell>
          <cell r="M507">
            <v>9277419</v>
          </cell>
        </row>
        <row r="508">
          <cell r="A508">
            <v>900308005</v>
          </cell>
          <cell r="B508" t="str">
            <v>INDIGO TECNOLOGIA SAS</v>
          </cell>
          <cell r="C508" t="str">
            <v>+570000</v>
          </cell>
          <cell r="E508" t="str">
            <v>administracion@indigotecnologia.com</v>
          </cell>
          <cell r="F508" t="str">
            <v/>
          </cell>
          <cell r="G508" t="str">
            <v>11</v>
          </cell>
          <cell r="H508" t="str">
            <v>001</v>
          </cell>
          <cell r="I508" t="str">
            <v>11001</v>
          </cell>
          <cell r="J508" t="str">
            <v>VENTA DE BIENES</v>
          </cell>
          <cell r="K508">
            <v>4659</v>
          </cell>
          <cell r="L508">
            <v>219</v>
          </cell>
          <cell r="M508">
            <v>962083</v>
          </cell>
        </row>
        <row r="509">
          <cell r="A509">
            <v>900313945</v>
          </cell>
          <cell r="B509" t="str">
            <v>PORCICULTORES APA SAS</v>
          </cell>
          <cell r="C509">
            <v>4488272</v>
          </cell>
          <cell r="D509">
            <v>4488272</v>
          </cell>
          <cell r="E509" t="str">
            <v>secretaria@apa.com.co</v>
          </cell>
          <cell r="F509" t="str">
            <v>VEREDA CABILDO 600 M DESPUES DE ENKA.</v>
          </cell>
          <cell r="G509" t="str">
            <v>05</v>
          </cell>
          <cell r="H509" t="str">
            <v>308</v>
          </cell>
          <cell r="I509" t="str">
            <v>05308</v>
          </cell>
          <cell r="J509" t="str">
            <v>VENTA DE BIENES</v>
          </cell>
          <cell r="K509">
            <v>4659</v>
          </cell>
          <cell r="L509">
            <v>219</v>
          </cell>
          <cell r="M509">
            <v>17221957</v>
          </cell>
        </row>
        <row r="510">
          <cell r="A510">
            <v>900319372</v>
          </cell>
          <cell r="B510" t="str">
            <v>RED CARNICA S.A.S.</v>
          </cell>
          <cell r="C510" t="str">
            <v>+570000</v>
          </cell>
          <cell r="E510" t="str">
            <v>FACTURACION.ELECTRONICA@MINERVAFOODS.COM</v>
          </cell>
          <cell r="F510" t="str">
            <v>KM 1 VDA EL PALMITO</v>
          </cell>
          <cell r="G510" t="str">
            <v>23</v>
          </cell>
          <cell r="H510" t="str">
            <v>189</v>
          </cell>
          <cell r="I510" t="str">
            <v>23189</v>
          </cell>
          <cell r="J510" t="str">
            <v>VENTA DE BIENES</v>
          </cell>
          <cell r="K510">
            <v>4659</v>
          </cell>
          <cell r="L510">
            <v>219</v>
          </cell>
          <cell r="M510">
            <v>1085280</v>
          </cell>
        </row>
        <row r="511">
          <cell r="A511">
            <v>900319839</v>
          </cell>
          <cell r="B511" t="str">
            <v>I PUNTO S A S</v>
          </cell>
          <cell r="C511" t="str">
            <v>+570000</v>
          </cell>
          <cell r="E511" t="str">
            <v>ADMINISTRATIVO@IPUNTOSAS.COM</v>
          </cell>
          <cell r="F511" t="str">
            <v>CR 88 18 60 IN 11</v>
          </cell>
          <cell r="G511" t="str">
            <v>11</v>
          </cell>
          <cell r="H511" t="str">
            <v>001</v>
          </cell>
          <cell r="I511" t="str">
            <v>11001</v>
          </cell>
          <cell r="J511" t="str">
            <v>VENTA DE BIENES</v>
          </cell>
          <cell r="K511">
            <v>4659</v>
          </cell>
          <cell r="L511">
            <v>219</v>
          </cell>
          <cell r="M511">
            <v>3009400</v>
          </cell>
        </row>
        <row r="512">
          <cell r="A512">
            <v>900325828</v>
          </cell>
          <cell r="B512" t="str">
            <v>FTS TECNOLOGIA S.A.S.</v>
          </cell>
          <cell r="C512" t="str">
            <v>316 8244648</v>
          </cell>
          <cell r="D512">
            <v>3168244648</v>
          </cell>
          <cell r="E512" t="str">
            <v>INFO@FTSTECNOLOGIA.COM.CO</v>
          </cell>
          <cell r="F512" t="str">
            <v/>
          </cell>
          <cell r="G512">
            <v>11</v>
          </cell>
          <cell r="H512" t="str">
            <v>001</v>
          </cell>
          <cell r="I512" t="str">
            <v>11001</v>
          </cell>
          <cell r="J512" t="str">
            <v>VENTA DE BIENES</v>
          </cell>
          <cell r="K512">
            <v>4659</v>
          </cell>
          <cell r="L512">
            <v>219</v>
          </cell>
          <cell r="M512">
            <v>1609341799</v>
          </cell>
        </row>
        <row r="513">
          <cell r="A513">
            <v>900326523</v>
          </cell>
          <cell r="B513" t="str">
            <v>PRECISAGRO S.A.S.</v>
          </cell>
          <cell r="C513" t="str">
            <v>+570000</v>
          </cell>
          <cell r="E513" t="str">
            <v>FACTURAS_PROVEEDORES@PRECISAGRO.COM.CO</v>
          </cell>
          <cell r="F513" t="str">
            <v>CLL 30 KM 7 LOTE A AUTOPISTA AL AEROPUERTO</v>
          </cell>
          <cell r="G513" t="str">
            <v>08</v>
          </cell>
          <cell r="H513" t="str">
            <v>758</v>
          </cell>
          <cell r="I513" t="str">
            <v>08758</v>
          </cell>
          <cell r="J513" t="str">
            <v>VENTA DE BIENES</v>
          </cell>
          <cell r="K513">
            <v>4659</v>
          </cell>
          <cell r="L513">
            <v>219</v>
          </cell>
          <cell r="M513">
            <v>1430139</v>
          </cell>
        </row>
        <row r="514">
          <cell r="A514">
            <v>900334120</v>
          </cell>
          <cell r="B514" t="str">
            <v>DISEÑAR Y AUTOMATIZAR SAS</v>
          </cell>
          <cell r="C514" t="str">
            <v>+570000</v>
          </cell>
          <cell r="E514" t="str">
            <v>900334120@RECEPCIONDEFACTURAS.CO</v>
          </cell>
          <cell r="F514" t="str">
            <v/>
          </cell>
          <cell r="G514">
            <v>76</v>
          </cell>
          <cell r="H514" t="str">
            <v>001</v>
          </cell>
          <cell r="I514" t="str">
            <v>76001</v>
          </cell>
          <cell r="J514" t="str">
            <v>VENTA DE BIENES</v>
          </cell>
          <cell r="K514">
            <v>4659</v>
          </cell>
          <cell r="L514">
            <v>219</v>
          </cell>
          <cell r="M514">
            <v>7927462</v>
          </cell>
        </row>
        <row r="515">
          <cell r="A515">
            <v>900335275</v>
          </cell>
          <cell r="B515" t="str">
            <v>INGENIERIA Y SERVICIOS TECNICOS SERINGTEC S.A.S.</v>
          </cell>
          <cell r="C515" t="str">
            <v>+570000</v>
          </cell>
          <cell r="E515" t="str">
            <v>FACTURACION@SERINGTEC.COM</v>
          </cell>
          <cell r="F515" t="str">
            <v>CL 33 6 B 24 P 11 ED CASA DE BOLSA</v>
          </cell>
          <cell r="G515" t="str">
            <v>11</v>
          </cell>
          <cell r="H515" t="str">
            <v>001</v>
          </cell>
          <cell r="I515" t="str">
            <v>11001</v>
          </cell>
          <cell r="J515" t="str">
            <v>VENTA DE BIENES</v>
          </cell>
          <cell r="K515">
            <v>4659</v>
          </cell>
          <cell r="L515">
            <v>219</v>
          </cell>
          <cell r="M515">
            <v>106479320</v>
          </cell>
        </row>
        <row r="516">
          <cell r="A516">
            <v>900347805</v>
          </cell>
          <cell r="B516" t="str">
            <v>CAMPOFERT S.A.S</v>
          </cell>
          <cell r="C516" t="str">
            <v>+570000</v>
          </cell>
          <cell r="E516" t="str">
            <v>FACTURACION.ELECTRONICA@CAMPOFERT.COM</v>
          </cell>
          <cell r="F516" t="str">
            <v>CL 15 B 25 A 352 BG 1</v>
          </cell>
          <cell r="G516" t="str">
            <v>76</v>
          </cell>
          <cell r="H516" t="str">
            <v>892</v>
          </cell>
          <cell r="I516" t="str">
            <v>76892</v>
          </cell>
          <cell r="J516" t="str">
            <v>VENTA DE BIENES</v>
          </cell>
          <cell r="K516">
            <v>4659</v>
          </cell>
          <cell r="L516">
            <v>219</v>
          </cell>
          <cell r="M516">
            <v>8387280</v>
          </cell>
        </row>
        <row r="517">
          <cell r="A517">
            <v>900348335</v>
          </cell>
          <cell r="B517" t="str">
            <v>NEUMATICA INDUSTRIAL S.A.S.</v>
          </cell>
          <cell r="E517" t="str">
            <v>neumaticaindustrials.a.s@hotmail.com</v>
          </cell>
          <cell r="F517" t="str">
            <v/>
          </cell>
          <cell r="G517" t="str">
            <v>05</v>
          </cell>
          <cell r="H517" t="str">
            <v>001</v>
          </cell>
          <cell r="I517" t="str">
            <v>05001</v>
          </cell>
          <cell r="J517" t="str">
            <v>VENTA DE BIENES</v>
          </cell>
          <cell r="K517">
            <v>4659</v>
          </cell>
          <cell r="L517">
            <v>219</v>
          </cell>
          <cell r="M517">
            <v>1000303</v>
          </cell>
        </row>
        <row r="518">
          <cell r="A518">
            <v>900348509</v>
          </cell>
          <cell r="B518" t="str">
            <v>MAKE SOLUTION SAS</v>
          </cell>
          <cell r="C518" t="str">
            <v>+570000</v>
          </cell>
          <cell r="E518" t="str">
            <v>ADMIN@MAKESAS.COM</v>
          </cell>
          <cell r="F518" t="str">
            <v>CR 43B 11A-31 OF 201 MANILA</v>
          </cell>
          <cell r="G518" t="str">
            <v>05</v>
          </cell>
          <cell r="H518" t="str">
            <v>001</v>
          </cell>
          <cell r="I518" t="str">
            <v>05001</v>
          </cell>
          <cell r="J518" t="str">
            <v>VENTA DE BIENES</v>
          </cell>
          <cell r="K518">
            <v>4659</v>
          </cell>
          <cell r="L518">
            <v>219</v>
          </cell>
          <cell r="M518">
            <v>10135011</v>
          </cell>
        </row>
        <row r="519">
          <cell r="A519">
            <v>900349378</v>
          </cell>
          <cell r="B519" t="str">
            <v>INVERSIONES KASSEL NAVAS SAS</v>
          </cell>
          <cell r="C519" t="str">
            <v>+570000</v>
          </cell>
          <cell r="E519" t="str">
            <v>IRENE.ARIZA@KASSELNAVAS.COM.CO</v>
          </cell>
          <cell r="F519" t="str">
            <v>VDA TIBITO PAR INDUSTRIAL GRAN SABANA ED. 32</v>
          </cell>
          <cell r="G519">
            <v>25</v>
          </cell>
          <cell r="H519" t="str">
            <v>817</v>
          </cell>
          <cell r="I519" t="str">
            <v>25817</v>
          </cell>
          <cell r="J519" t="str">
            <v>42 GRAVADOS</v>
          </cell>
          <cell r="K519">
            <v>4659</v>
          </cell>
          <cell r="L519">
            <v>219</v>
          </cell>
          <cell r="M519">
            <v>34386717</v>
          </cell>
        </row>
        <row r="520">
          <cell r="A520">
            <v>900349378</v>
          </cell>
          <cell r="B520" t="str">
            <v>INVERSIONES KASSEL NAVAS SAS</v>
          </cell>
          <cell r="C520" t="str">
            <v>+570000</v>
          </cell>
          <cell r="E520" t="str">
            <v>IRENE.ARIZA@KASSELNAVAS.COM.CO</v>
          </cell>
          <cell r="F520" t="str">
            <v>VDA TIBITO PAR INDUSTRIAL GRAN SABANA ED. 32</v>
          </cell>
          <cell r="G520">
            <v>25</v>
          </cell>
          <cell r="H520" t="str">
            <v>817</v>
          </cell>
          <cell r="I520" t="str">
            <v>25817</v>
          </cell>
          <cell r="J520" t="str">
            <v>SERV ADMON</v>
          </cell>
          <cell r="K520">
            <v>3312</v>
          </cell>
          <cell r="L520">
            <v>334</v>
          </cell>
          <cell r="M520">
            <v>3114251</v>
          </cell>
        </row>
        <row r="521">
          <cell r="A521">
            <v>900352998</v>
          </cell>
          <cell r="B521" t="str">
            <v>BACATA INGENIEROS LTDA</v>
          </cell>
          <cell r="C521" t="str">
            <v>+570000</v>
          </cell>
          <cell r="E521" t="str">
            <v>CONTABILIDAD@BACATAINGENIEROSLTDA.COM.CO</v>
          </cell>
          <cell r="F521" t="str">
            <v>AUT MEDELLIN TER TERRESTRE DE CARGA COSTADO SUR OF A 4 A 5</v>
          </cell>
          <cell r="G521" t="str">
            <v>25</v>
          </cell>
          <cell r="H521" t="str">
            <v>214</v>
          </cell>
          <cell r="I521" t="str">
            <v>25214</v>
          </cell>
          <cell r="J521" t="str">
            <v>VENTA DE BIENES</v>
          </cell>
          <cell r="K521">
            <v>4659</v>
          </cell>
          <cell r="L521">
            <v>219</v>
          </cell>
          <cell r="M521">
            <v>1019306</v>
          </cell>
        </row>
        <row r="522">
          <cell r="A522">
            <v>900361697</v>
          </cell>
          <cell r="B522" t="str">
            <v>UNIPHOS COLOMBIA PLANT LIMITED</v>
          </cell>
          <cell r="C522">
            <v>3616220</v>
          </cell>
          <cell r="D522">
            <v>3616220</v>
          </cell>
          <cell r="E522" t="str">
            <v>centrodenegocios.colombia@upl-ltd.com</v>
          </cell>
          <cell r="F522" t="str">
            <v>VIA 40 85 85 BARRIO SAN SALVADOR</v>
          </cell>
          <cell r="G522" t="str">
            <v>08</v>
          </cell>
          <cell r="H522" t="str">
            <v>001</v>
          </cell>
          <cell r="I522" t="str">
            <v>08001</v>
          </cell>
          <cell r="J522" t="str">
            <v>VENTA DE BIENES</v>
          </cell>
          <cell r="K522">
            <v>4659</v>
          </cell>
          <cell r="L522">
            <v>219</v>
          </cell>
          <cell r="M522">
            <v>8399200</v>
          </cell>
        </row>
        <row r="523">
          <cell r="A523">
            <v>900362587</v>
          </cell>
          <cell r="B523" t="str">
            <v>APS LIGHTING Y SAFETY PRODUCTS DE COLOMBIA S.A.S</v>
          </cell>
          <cell r="C523" t="str">
            <v>311 6545981</v>
          </cell>
          <cell r="D523">
            <v>3116545981</v>
          </cell>
          <cell r="E523" t="str">
            <v>apszonanorte@aps-supply.com</v>
          </cell>
          <cell r="F523" t="str">
            <v/>
          </cell>
          <cell r="G523" t="str">
            <v>05</v>
          </cell>
          <cell r="H523" t="str">
            <v>631</v>
          </cell>
          <cell r="I523" t="str">
            <v>05631</v>
          </cell>
          <cell r="J523" t="str">
            <v>VENTA DE BIENES</v>
          </cell>
          <cell r="K523">
            <v>4659</v>
          </cell>
          <cell r="L523">
            <v>219</v>
          </cell>
          <cell r="M523">
            <v>6065668</v>
          </cell>
        </row>
        <row r="524">
          <cell r="A524">
            <v>900362965</v>
          </cell>
          <cell r="B524" t="str">
            <v>MEDICABLES S.A.S.</v>
          </cell>
          <cell r="C524" t="str">
            <v>3377342</v>
          </cell>
          <cell r="D524" t="str">
            <v>3377342</v>
          </cell>
          <cell r="E524" t="str">
            <v>FACTURACIONMEDICABLES@GMAIL.COM</v>
          </cell>
          <cell r="F524" t="str">
            <v>CR 48 46 05</v>
          </cell>
          <cell r="G524" t="str">
            <v>76</v>
          </cell>
          <cell r="H524" t="str">
            <v>001</v>
          </cell>
          <cell r="I524" t="str">
            <v>76001</v>
          </cell>
          <cell r="J524" t="str">
            <v>VENTA DE BIENES</v>
          </cell>
          <cell r="K524">
            <v>4659</v>
          </cell>
          <cell r="L524">
            <v>219</v>
          </cell>
          <cell r="M524">
            <v>27712624</v>
          </cell>
        </row>
        <row r="525">
          <cell r="A525">
            <v>900366889</v>
          </cell>
          <cell r="B525" t="str">
            <v>SERVICIOS Y SOLUCIONES EN INGENIERIA DE COLOMBIA SSIC LTDA</v>
          </cell>
          <cell r="C525" t="str">
            <v>+570000</v>
          </cell>
          <cell r="E525" t="str">
            <v>FACTURACION@SSIC.COM.CO</v>
          </cell>
          <cell r="F525" t="str">
            <v>CL 66 68D 24</v>
          </cell>
          <cell r="G525" t="str">
            <v>11</v>
          </cell>
          <cell r="H525" t="str">
            <v>001</v>
          </cell>
          <cell r="I525" t="str">
            <v>11001</v>
          </cell>
          <cell r="J525" t="str">
            <v>VENTA DE BIENES</v>
          </cell>
          <cell r="K525">
            <v>4659</v>
          </cell>
          <cell r="L525">
            <v>219</v>
          </cell>
          <cell r="M525">
            <v>834000</v>
          </cell>
        </row>
        <row r="526">
          <cell r="A526">
            <v>900369098</v>
          </cell>
          <cell r="B526" t="str">
            <v>SERTELCOGRAF S.A.S</v>
          </cell>
          <cell r="C526" t="str">
            <v>315 4130144</v>
          </cell>
          <cell r="D526">
            <v>3154130144</v>
          </cell>
          <cell r="E526" t="str">
            <v>hercasflo@hotmail.com</v>
          </cell>
          <cell r="F526" t="str">
            <v>CL 25 23 68 BRR LAS ACACIAS</v>
          </cell>
          <cell r="G526" t="str">
            <v>76</v>
          </cell>
          <cell r="H526" t="str">
            <v>001</v>
          </cell>
          <cell r="I526" t="str">
            <v>76001</v>
          </cell>
          <cell r="J526" t="str">
            <v>VENTA DE BIENES</v>
          </cell>
          <cell r="K526">
            <v>4659</v>
          </cell>
          <cell r="L526">
            <v>219</v>
          </cell>
          <cell r="M526">
            <v>808800</v>
          </cell>
        </row>
        <row r="527">
          <cell r="A527">
            <v>900369098</v>
          </cell>
          <cell r="B527" t="str">
            <v>SERTELCOGRAF S.A.S</v>
          </cell>
          <cell r="C527" t="str">
            <v>315 4130144</v>
          </cell>
          <cell r="D527">
            <v>3154130144</v>
          </cell>
          <cell r="E527" t="str">
            <v>hercasflo@hotmail.com</v>
          </cell>
          <cell r="F527" t="str">
            <v>CL 25 23 68 BRR LAS ACACIAS</v>
          </cell>
          <cell r="G527" t="str">
            <v>76</v>
          </cell>
          <cell r="H527" t="str">
            <v>001</v>
          </cell>
          <cell r="I527" t="str">
            <v>76001</v>
          </cell>
          <cell r="J527" t="str">
            <v>TRANSPORTE</v>
          </cell>
          <cell r="K527">
            <v>3312</v>
          </cell>
          <cell r="L527">
            <v>334</v>
          </cell>
          <cell r="M527">
            <v>20000</v>
          </cell>
        </row>
        <row r="528">
          <cell r="A528">
            <v>900374261</v>
          </cell>
          <cell r="B528" t="str">
            <v>ELECTRICAS HYG S.A.S</v>
          </cell>
          <cell r="C528" t="str">
            <v>317 8937223</v>
          </cell>
          <cell r="D528">
            <v>3178937223</v>
          </cell>
          <cell r="E528" t="str">
            <v>ventas@electricashyg.com</v>
          </cell>
          <cell r="F528" t="str">
            <v/>
          </cell>
          <cell r="G528" t="str">
            <v>66</v>
          </cell>
          <cell r="H528" t="str">
            <v>170</v>
          </cell>
          <cell r="I528" t="str">
            <v>66170</v>
          </cell>
          <cell r="J528" t="str">
            <v>VENTA DE BIENES</v>
          </cell>
          <cell r="K528">
            <v>4659</v>
          </cell>
          <cell r="L528">
            <v>219</v>
          </cell>
          <cell r="M528">
            <v>1803333</v>
          </cell>
        </row>
        <row r="529">
          <cell r="A529">
            <v>900379770</v>
          </cell>
          <cell r="B529" t="str">
            <v>SIGMATECNOL S.A.S</v>
          </cell>
          <cell r="C529" t="str">
            <v>313 5782680</v>
          </cell>
          <cell r="D529">
            <v>3135782680</v>
          </cell>
          <cell r="E529" t="str">
            <v>gerencia@sigmatecnol.com</v>
          </cell>
          <cell r="F529" t="str">
            <v>CR 4 7 145 ED INFINITUM AP 2402</v>
          </cell>
          <cell r="G529" t="str">
            <v>13</v>
          </cell>
          <cell r="H529" t="str">
            <v>001</v>
          </cell>
          <cell r="I529" t="str">
            <v>13001</v>
          </cell>
          <cell r="J529" t="str">
            <v>VENTA DE BIENES</v>
          </cell>
          <cell r="K529">
            <v>4659</v>
          </cell>
          <cell r="L529">
            <v>219</v>
          </cell>
          <cell r="M529">
            <v>25803096</v>
          </cell>
        </row>
        <row r="530">
          <cell r="A530">
            <v>900385594</v>
          </cell>
          <cell r="B530" t="str">
            <v>EC. INGENIERIA ELECTRICA S.A.S</v>
          </cell>
          <cell r="C530" t="str">
            <v>320 8370449</v>
          </cell>
          <cell r="D530">
            <v>3208370449</v>
          </cell>
          <cell r="E530" t="str">
            <v>carlos.anaya@ecingenieria.co</v>
          </cell>
          <cell r="F530" t="str">
            <v>CR 67 167 61 OF 502</v>
          </cell>
          <cell r="G530" t="str">
            <v>11</v>
          </cell>
          <cell r="H530" t="str">
            <v>001</v>
          </cell>
          <cell r="I530" t="str">
            <v>11001</v>
          </cell>
          <cell r="J530" t="str">
            <v>VENTA DE BIENES</v>
          </cell>
          <cell r="K530">
            <v>4659</v>
          </cell>
          <cell r="L530">
            <v>219</v>
          </cell>
          <cell r="M530">
            <v>5241030</v>
          </cell>
        </row>
        <row r="531">
          <cell r="A531">
            <v>900388600</v>
          </cell>
          <cell r="B531" t="str">
            <v>CLARIOS ANDINA SAS</v>
          </cell>
          <cell r="C531" t="str">
            <v>+570000</v>
          </cell>
          <cell r="E531" t="str">
            <v>RECEPCIONFACTURAS@CLARIOS.COM</v>
          </cell>
          <cell r="F531" t="str">
            <v>CR 35 10-300 URB INDUSTRIAL ACOPI</v>
          </cell>
          <cell r="G531" t="str">
            <v>76</v>
          </cell>
          <cell r="H531" t="str">
            <v>892</v>
          </cell>
          <cell r="I531" t="str">
            <v>76892</v>
          </cell>
          <cell r="J531" t="str">
            <v>VENTA DE BIENES</v>
          </cell>
          <cell r="K531">
            <v>4659</v>
          </cell>
          <cell r="L531">
            <v>219</v>
          </cell>
          <cell r="M531">
            <v>4431963</v>
          </cell>
        </row>
        <row r="532">
          <cell r="A532">
            <v>900388800</v>
          </cell>
          <cell r="B532" t="str">
            <v>IMPORTADORA Y COMERCIALIZADORA PETROLERA S A S</v>
          </cell>
          <cell r="C532" t="str">
            <v>301248942</v>
          </cell>
          <cell r="D532" t="str">
            <v>301248942</v>
          </cell>
          <cell r="E532" t="str">
            <v>gerencia@imcopetrol.com</v>
          </cell>
          <cell r="F532" t="str">
            <v>CR 13 A 5 A 20 BG 24 A CONJ INDUSTRIAL PORVENIR 2</v>
          </cell>
          <cell r="G532" t="str">
            <v>25</v>
          </cell>
          <cell r="H532" t="str">
            <v>473</v>
          </cell>
          <cell r="I532" t="str">
            <v>25473</v>
          </cell>
          <cell r="J532" t="str">
            <v>VENTA DE BIENES</v>
          </cell>
          <cell r="K532">
            <v>4659</v>
          </cell>
          <cell r="L532">
            <v>219</v>
          </cell>
          <cell r="M532">
            <v>2170891</v>
          </cell>
        </row>
        <row r="533">
          <cell r="A533">
            <v>900388839</v>
          </cell>
          <cell r="B533" t="str">
            <v>HADA INTERNATIONAL S.A.S</v>
          </cell>
          <cell r="C533" t="str">
            <v>+570000</v>
          </cell>
          <cell r="E533" t="str">
            <v>facturaelectronica@hadainternational.com</v>
          </cell>
          <cell r="F533" t="str">
            <v>ZF LA CAYENA KM 8 LT 7 MZ B</v>
          </cell>
          <cell r="G533" t="str">
            <v>08</v>
          </cell>
          <cell r="H533" t="str">
            <v>001</v>
          </cell>
          <cell r="I533" t="str">
            <v>08001</v>
          </cell>
          <cell r="J533" t="str">
            <v>VENTA DE BIENES</v>
          </cell>
          <cell r="K533">
            <v>4659</v>
          </cell>
          <cell r="L533">
            <v>219</v>
          </cell>
          <cell r="M533">
            <v>71109998</v>
          </cell>
        </row>
        <row r="534">
          <cell r="A534">
            <v>900395225</v>
          </cell>
          <cell r="B534" t="str">
            <v>TECNER SAS</v>
          </cell>
          <cell r="C534" t="str">
            <v>+570000</v>
          </cell>
          <cell r="E534" t="str">
            <v>FINANZAS@TECNERSAS.COM</v>
          </cell>
          <cell r="F534" t="str">
            <v>CL 45 12E 19 VILLACOLOMBIA</v>
          </cell>
          <cell r="G534" t="str">
            <v>76</v>
          </cell>
          <cell r="H534" t="str">
            <v>001</v>
          </cell>
          <cell r="I534" t="str">
            <v>76001</v>
          </cell>
          <cell r="J534" t="str">
            <v>VENTA DE BIENES</v>
          </cell>
          <cell r="K534">
            <v>4659</v>
          </cell>
          <cell r="L534">
            <v>219</v>
          </cell>
          <cell r="M534">
            <v>290849</v>
          </cell>
        </row>
        <row r="535">
          <cell r="A535">
            <v>900395408</v>
          </cell>
          <cell r="B535" t="str">
            <v>PCM INTERNATIONAL CORP. S.A.S.</v>
          </cell>
          <cell r="C535" t="str">
            <v>314 8301777</v>
          </cell>
          <cell r="D535">
            <v>3148301777</v>
          </cell>
          <cell r="E535" t="str">
            <v>pcminter.dian@gmail.com</v>
          </cell>
          <cell r="F535" t="str">
            <v/>
          </cell>
          <cell r="G535" t="str">
            <v>76</v>
          </cell>
          <cell r="H535" t="str">
            <v>001</v>
          </cell>
          <cell r="I535" t="str">
            <v>76001</v>
          </cell>
          <cell r="J535" t="str">
            <v>VENTA DE BIENES</v>
          </cell>
          <cell r="K535">
            <v>4659</v>
          </cell>
          <cell r="L535">
            <v>219</v>
          </cell>
          <cell r="M535">
            <v>198204</v>
          </cell>
        </row>
        <row r="536">
          <cell r="A536">
            <v>900397102</v>
          </cell>
          <cell r="B536" t="str">
            <v>AUTOMATIZACION Y EQUIPOS DE CONTROL SAS</v>
          </cell>
          <cell r="C536" t="str">
            <v>+570000</v>
          </cell>
          <cell r="E536" t="str">
            <v>CONTABILIDAD@AUTOEQUIC.COM</v>
          </cell>
          <cell r="F536" t="str">
            <v>CALLE 64#44-26</v>
          </cell>
          <cell r="G536" t="str">
            <v>08</v>
          </cell>
          <cell r="H536" t="str">
            <v>001</v>
          </cell>
          <cell r="I536" t="str">
            <v>08001</v>
          </cell>
          <cell r="J536" t="str">
            <v>VENTA DE BIENES</v>
          </cell>
          <cell r="K536">
            <v>4659</v>
          </cell>
          <cell r="L536">
            <v>219</v>
          </cell>
          <cell r="M536">
            <v>11212040</v>
          </cell>
        </row>
        <row r="537">
          <cell r="A537">
            <v>900399762</v>
          </cell>
          <cell r="B537" t="str">
            <v>ELECTRICOSDAR SAS</v>
          </cell>
          <cell r="C537" t="str">
            <v>+570000</v>
          </cell>
          <cell r="E537" t="str">
            <v>900399762@RECEPCIONDEFACTURAS.CO</v>
          </cell>
          <cell r="F537" t="str">
            <v>CR 6 18-39 BRR SAN NICOLAS</v>
          </cell>
          <cell r="G537">
            <v>76</v>
          </cell>
          <cell r="H537" t="str">
            <v>001</v>
          </cell>
          <cell r="I537" t="str">
            <v>76001</v>
          </cell>
          <cell r="J537" t="str">
            <v>VENTA DE BIENES</v>
          </cell>
          <cell r="K537">
            <v>4659</v>
          </cell>
          <cell r="L537">
            <v>219</v>
          </cell>
          <cell r="M537">
            <v>13119216</v>
          </cell>
        </row>
        <row r="538">
          <cell r="A538">
            <v>900400367</v>
          </cell>
          <cell r="B538" t="str">
            <v>MINERVA COLOMBIA S.A.S.</v>
          </cell>
          <cell r="C538" t="str">
            <v>315 5764692</v>
          </cell>
          <cell r="D538">
            <v>3155764692</v>
          </cell>
          <cell r="E538" t="str">
            <v>fe.mincol@minervafoods.com</v>
          </cell>
          <cell r="F538" t="str">
            <v>KM 1 VDA EL PALMITO</v>
          </cell>
          <cell r="G538" t="str">
            <v>23</v>
          </cell>
          <cell r="H538" t="str">
            <v>189</v>
          </cell>
          <cell r="I538" t="str">
            <v>23189</v>
          </cell>
          <cell r="J538" t="str">
            <v>VENTA DE BIENES</v>
          </cell>
          <cell r="K538">
            <v>4659</v>
          </cell>
          <cell r="L538">
            <v>219</v>
          </cell>
          <cell r="M538">
            <v>14835200</v>
          </cell>
        </row>
        <row r="539">
          <cell r="A539">
            <v>900406158</v>
          </cell>
          <cell r="B539" t="str">
            <v>EMPAQUES INDUSTRIALES DE COLOMBIA SAS</v>
          </cell>
          <cell r="C539" t="str">
            <v>+570000</v>
          </cell>
          <cell r="E539" t="str">
            <v>VERA.RODRIGUEZ@EMPICOLSA.COM</v>
          </cell>
          <cell r="F539" t="str">
            <v>AUT FRENTE ANTIGUO AEROPUERTO</v>
          </cell>
          <cell r="G539" t="str">
            <v>08</v>
          </cell>
          <cell r="H539" t="str">
            <v>001</v>
          </cell>
          <cell r="I539" t="str">
            <v>08001</v>
          </cell>
          <cell r="J539" t="str">
            <v>VENTA DE BIENES</v>
          </cell>
          <cell r="K539">
            <v>4659</v>
          </cell>
          <cell r="L539">
            <v>219</v>
          </cell>
          <cell r="M539">
            <v>18673440</v>
          </cell>
        </row>
        <row r="540">
          <cell r="A540">
            <v>900407987</v>
          </cell>
          <cell r="B540" t="str">
            <v>GUACAMAYA ENERGY SERVICES S A S</v>
          </cell>
          <cell r="E540" t="str">
            <v>elkin.gutierrez@guacamaya.energy</v>
          </cell>
          <cell r="F540" t="str">
            <v>CL 106 57 23 OF 307</v>
          </cell>
          <cell r="G540" t="str">
            <v>11</v>
          </cell>
          <cell r="H540" t="str">
            <v>001</v>
          </cell>
          <cell r="I540" t="str">
            <v>11001</v>
          </cell>
          <cell r="J540" t="str">
            <v>VENTA DE BIENES</v>
          </cell>
          <cell r="K540">
            <v>4659</v>
          </cell>
          <cell r="L540">
            <v>219</v>
          </cell>
          <cell r="M540">
            <v>4434000</v>
          </cell>
        </row>
        <row r="541">
          <cell r="A541">
            <v>900408764</v>
          </cell>
          <cell r="B541" t="str">
            <v>NEDIAR S.A.S</v>
          </cell>
          <cell r="C541" t="str">
            <v>322 7796933</v>
          </cell>
          <cell r="D541">
            <v>3227796933</v>
          </cell>
          <cell r="E541" t="str">
            <v>isalazar@nediar.com</v>
          </cell>
          <cell r="F541" t="str">
            <v>CR 59 24 61</v>
          </cell>
          <cell r="G541" t="str">
            <v>05</v>
          </cell>
          <cell r="H541" t="str">
            <v>001</v>
          </cell>
          <cell r="I541" t="str">
            <v>05001</v>
          </cell>
          <cell r="J541" t="str">
            <v>VENTA DE BIENES</v>
          </cell>
          <cell r="K541">
            <v>4659</v>
          </cell>
          <cell r="L541">
            <v>219</v>
          </cell>
          <cell r="M541">
            <v>4727804</v>
          </cell>
        </row>
        <row r="542">
          <cell r="A542">
            <v>900409882</v>
          </cell>
          <cell r="B542" t="str">
            <v>INDUSTRIAS EXPLORER INGENIERIA SAS</v>
          </cell>
          <cell r="C542" t="str">
            <v>+570000</v>
          </cell>
          <cell r="E542" t="str">
            <v>FACTURACION@INDUSTRIASEXPLORER.COM</v>
          </cell>
          <cell r="F542" t="str">
            <v/>
          </cell>
          <cell r="G542" t="str">
            <v>11</v>
          </cell>
          <cell r="H542" t="str">
            <v>001</v>
          </cell>
          <cell r="I542" t="str">
            <v>11001</v>
          </cell>
          <cell r="J542" t="str">
            <v>SERV MTTO</v>
          </cell>
          <cell r="K542">
            <v>3312</v>
          </cell>
          <cell r="L542">
            <v>334</v>
          </cell>
          <cell r="M542">
            <v>18400</v>
          </cell>
        </row>
        <row r="543">
          <cell r="A543">
            <v>900409882</v>
          </cell>
          <cell r="B543" t="str">
            <v>INDUSTRIAS EXPLORER INGENIERIA SAS</v>
          </cell>
          <cell r="C543" t="str">
            <v>+570000</v>
          </cell>
          <cell r="E543" t="str">
            <v>FACTURACION@INDUSTRIASEXPLORER.COM</v>
          </cell>
          <cell r="F543" t="str">
            <v/>
          </cell>
          <cell r="G543" t="str">
            <v>11</v>
          </cell>
          <cell r="H543" t="str">
            <v>001</v>
          </cell>
          <cell r="I543" t="str">
            <v>11001</v>
          </cell>
          <cell r="J543" t="str">
            <v>TRANSPORTE</v>
          </cell>
          <cell r="K543">
            <v>3312</v>
          </cell>
          <cell r="L543">
            <v>334</v>
          </cell>
          <cell r="M543">
            <v>50314</v>
          </cell>
        </row>
        <row r="544">
          <cell r="A544">
            <v>900409882</v>
          </cell>
          <cell r="B544" t="str">
            <v>INDUSTRIAS EXPLORER INGENIERIA SAS</v>
          </cell>
          <cell r="C544" t="str">
            <v>+570000</v>
          </cell>
          <cell r="E544" t="str">
            <v>FACTURACION@INDUSTRIASEXPLORER.COM</v>
          </cell>
          <cell r="F544" t="str">
            <v/>
          </cell>
          <cell r="G544" t="str">
            <v>11</v>
          </cell>
          <cell r="H544" t="str">
            <v>001</v>
          </cell>
          <cell r="I544" t="str">
            <v>11001</v>
          </cell>
          <cell r="J544" t="str">
            <v>VENTA DE BIENES</v>
          </cell>
          <cell r="K544">
            <v>4659</v>
          </cell>
          <cell r="L544">
            <v>219</v>
          </cell>
          <cell r="M544">
            <v>102394</v>
          </cell>
        </row>
        <row r="545">
          <cell r="A545">
            <v>900413008</v>
          </cell>
          <cell r="B545" t="str">
            <v>SUMINISTROS Y SERVICIOS PETROLEROS SAS</v>
          </cell>
          <cell r="C545" t="str">
            <v>+570000</v>
          </cell>
          <cell r="E545" t="str">
            <v>FACTURACIONELECTRONICA@SSPSAS.COM</v>
          </cell>
          <cell r="F545" t="str">
            <v>CR 19 A 22 C 10</v>
          </cell>
          <cell r="G545" t="str">
            <v>11</v>
          </cell>
          <cell r="H545" t="str">
            <v>001</v>
          </cell>
          <cell r="I545" t="str">
            <v>11001</v>
          </cell>
          <cell r="J545" t="str">
            <v>VENTA DE BIENES</v>
          </cell>
          <cell r="K545">
            <v>4659</v>
          </cell>
          <cell r="L545">
            <v>219</v>
          </cell>
          <cell r="M545">
            <v>4639060</v>
          </cell>
        </row>
        <row r="546">
          <cell r="A546">
            <v>900413614</v>
          </cell>
          <cell r="B546" t="str">
            <v>FERRETERIA PINTU ELECTRICOS SAS</v>
          </cell>
          <cell r="C546" t="str">
            <v>314 5961787</v>
          </cell>
          <cell r="D546">
            <v>3145961787</v>
          </cell>
          <cell r="E546" t="str">
            <v>Facturacionpintue@gmail.com</v>
          </cell>
          <cell r="F546" t="str">
            <v>BRR ESCALLON VILLA CL 31 52 8 P 1 AP 01</v>
          </cell>
          <cell r="G546" t="str">
            <v>13</v>
          </cell>
          <cell r="H546" t="str">
            <v>001</v>
          </cell>
          <cell r="I546" t="str">
            <v>13001</v>
          </cell>
          <cell r="J546" t="str">
            <v>VENTA DE BIENES</v>
          </cell>
          <cell r="K546">
            <v>4659</v>
          </cell>
          <cell r="L546">
            <v>219</v>
          </cell>
          <cell r="M546">
            <v>931395</v>
          </cell>
        </row>
        <row r="547">
          <cell r="A547">
            <v>900417226</v>
          </cell>
          <cell r="B547" t="str">
            <v>ENGELEC INGENIERIA SAS</v>
          </cell>
          <cell r="C547" t="str">
            <v>318 2895624</v>
          </cell>
          <cell r="D547">
            <v>3182895624</v>
          </cell>
          <cell r="E547" t="str">
            <v>contabilidad@engelec.com.co</v>
          </cell>
          <cell r="F547" t="str">
            <v>CR 58 18 63 SUR</v>
          </cell>
          <cell r="G547" t="str">
            <v>11</v>
          </cell>
          <cell r="H547" t="str">
            <v>001</v>
          </cell>
          <cell r="I547" t="str">
            <v>11001</v>
          </cell>
          <cell r="J547" t="str">
            <v>VENTA DE BIENES</v>
          </cell>
          <cell r="K547">
            <v>4659</v>
          </cell>
          <cell r="L547">
            <v>219</v>
          </cell>
          <cell r="M547">
            <v>1752872</v>
          </cell>
        </row>
        <row r="548">
          <cell r="A548">
            <v>900418890</v>
          </cell>
          <cell r="B548" t="str">
            <v>ASA INDUSTRIES SAS</v>
          </cell>
          <cell r="C548" t="str">
            <v>+570000</v>
          </cell>
          <cell r="E548" t="str">
            <v>900418890@RECEPCIONDEFACTURAS.CO</v>
          </cell>
          <cell r="F548" t="str">
            <v>CL 34 1A-13 BRR SANTANDER</v>
          </cell>
          <cell r="G548" t="str">
            <v>76</v>
          </cell>
          <cell r="H548" t="str">
            <v>001</v>
          </cell>
          <cell r="I548" t="str">
            <v>76001</v>
          </cell>
          <cell r="J548" t="str">
            <v>42 GRAVADOS</v>
          </cell>
          <cell r="K548">
            <v>4659</v>
          </cell>
          <cell r="L548">
            <v>219</v>
          </cell>
          <cell r="M548">
            <v>492413</v>
          </cell>
        </row>
        <row r="549">
          <cell r="A549">
            <v>900434720</v>
          </cell>
          <cell r="B549" t="str">
            <v>SOLUCIONES ELECTRICAS INDUSTRIALES SAS</v>
          </cell>
          <cell r="E549" t="str">
            <v>solucioneselectricasindustriales@yahoo.com</v>
          </cell>
          <cell r="F549" t="str">
            <v>CR 49 OESTE 1 31</v>
          </cell>
          <cell r="G549" t="str">
            <v>76</v>
          </cell>
          <cell r="H549" t="str">
            <v>001</v>
          </cell>
          <cell r="I549" t="str">
            <v>76001</v>
          </cell>
          <cell r="J549" t="str">
            <v>42 GRAVADOS</v>
          </cell>
          <cell r="K549">
            <v>4659</v>
          </cell>
          <cell r="L549">
            <v>219</v>
          </cell>
          <cell r="M549">
            <v>24923</v>
          </cell>
        </row>
        <row r="550">
          <cell r="A550">
            <v>900440087</v>
          </cell>
          <cell r="B550" t="str">
            <v>ENFOQUE INGENIERÍA SAS</v>
          </cell>
          <cell r="C550" t="str">
            <v>314 5923838</v>
          </cell>
          <cell r="D550">
            <v>3145923838</v>
          </cell>
          <cell r="E550" t="str">
            <v>Administrativo@enfoqueingenieria.com</v>
          </cell>
          <cell r="F550" t="str">
            <v>PARQUE INDUSTRIAL EL CORTIJO VDA CHUNTAME  BG 25</v>
          </cell>
          <cell r="G550" t="str">
            <v>25</v>
          </cell>
          <cell r="H550" t="str">
            <v>126</v>
          </cell>
          <cell r="I550" t="str">
            <v>25126</v>
          </cell>
          <cell r="J550" t="str">
            <v>VENTA DE BIENES</v>
          </cell>
          <cell r="K550">
            <v>4659</v>
          </cell>
          <cell r="L550">
            <v>219</v>
          </cell>
          <cell r="M550">
            <v>427200</v>
          </cell>
        </row>
        <row r="551">
          <cell r="A551">
            <v>900448985</v>
          </cell>
          <cell r="B551" t="str">
            <v>BIOLOGICOS Y CONTAMINADOS SAS ESP</v>
          </cell>
          <cell r="C551" t="str">
            <v>+570000</v>
          </cell>
          <cell r="E551" t="str">
            <v>INFO@BIOLOGICOS.NET</v>
          </cell>
          <cell r="F551" t="str">
            <v>DG 43 CL 28 41 IN 109</v>
          </cell>
          <cell r="G551" t="str">
            <v>05</v>
          </cell>
          <cell r="H551" t="str">
            <v>360</v>
          </cell>
          <cell r="I551" t="str">
            <v>05360</v>
          </cell>
          <cell r="J551" t="str">
            <v>VENTA DE BIENES</v>
          </cell>
          <cell r="K551">
            <v>4659</v>
          </cell>
          <cell r="L551">
            <v>219</v>
          </cell>
          <cell r="M551">
            <v>5822781</v>
          </cell>
        </row>
        <row r="552">
          <cell r="A552">
            <v>900449743</v>
          </cell>
          <cell r="B552" t="str">
            <v>AFG CONTROLS SAS</v>
          </cell>
          <cell r="C552" t="str">
            <v>+570000</v>
          </cell>
          <cell r="E552" t="str">
            <v>AFGSASFACTURACION@GMAIL.COM</v>
          </cell>
          <cell r="F552" t="str">
            <v>CR 22 17 60 LC 40</v>
          </cell>
          <cell r="G552" t="str">
            <v>11</v>
          </cell>
          <cell r="H552" t="str">
            <v>001</v>
          </cell>
          <cell r="I552" t="str">
            <v>11001</v>
          </cell>
          <cell r="J552" t="str">
            <v>VENTA DE BIENES</v>
          </cell>
          <cell r="K552">
            <v>4659</v>
          </cell>
          <cell r="L552">
            <v>219</v>
          </cell>
          <cell r="M552">
            <v>1304000</v>
          </cell>
        </row>
        <row r="553">
          <cell r="A553">
            <v>900450226</v>
          </cell>
          <cell r="B553" t="str">
            <v>ALKHORAYEF PETROLEUM COLOMBIA</v>
          </cell>
          <cell r="C553" t="str">
            <v>+570000</v>
          </cell>
          <cell r="E553" t="str">
            <v>RADICACION.TUFACTURA@COLSEIN.COM.CO</v>
          </cell>
          <cell r="F553" t="str">
            <v>CR 9 113 52 OF 404</v>
          </cell>
          <cell r="G553" t="str">
            <v>11</v>
          </cell>
          <cell r="H553" t="str">
            <v>001</v>
          </cell>
          <cell r="I553" t="str">
            <v>11001</v>
          </cell>
          <cell r="J553" t="str">
            <v>VENTA DE BIENES</v>
          </cell>
          <cell r="K553">
            <v>4659</v>
          </cell>
          <cell r="L553">
            <v>219</v>
          </cell>
          <cell r="M553">
            <v>18000000</v>
          </cell>
        </row>
        <row r="554">
          <cell r="A554">
            <v>900451379</v>
          </cell>
          <cell r="B554" t="str">
            <v>LEVARE SERVICES LTDA</v>
          </cell>
          <cell r="C554" t="str">
            <v>311 2521269</v>
          </cell>
          <cell r="D554">
            <v>3112521269</v>
          </cell>
          <cell r="E554" t="str">
            <v>recepcionfe@levare.com</v>
          </cell>
          <cell r="F554" t="str">
            <v>KM 3 PUNTO 5 FUNZA-SIBERIA PARQUE INDUSTRIAL SAN JOSE BG 3 4</v>
          </cell>
          <cell r="G554" t="str">
            <v>25</v>
          </cell>
          <cell r="H554" t="str">
            <v>286</v>
          </cell>
          <cell r="I554" t="str">
            <v>25286</v>
          </cell>
          <cell r="J554" t="str">
            <v>VENTA DE BIENES</v>
          </cell>
          <cell r="K554">
            <v>4659</v>
          </cell>
          <cell r="L554">
            <v>219</v>
          </cell>
          <cell r="M554">
            <v>2106097</v>
          </cell>
        </row>
        <row r="555">
          <cell r="A555">
            <v>900455438</v>
          </cell>
          <cell r="B555" t="str">
            <v>COMSA INSTALACIONES Y SISTEMAS INDUSTRIALES S.A.</v>
          </cell>
          <cell r="C555" t="str">
            <v>+570000</v>
          </cell>
          <cell r="E555" t="str">
            <v>COLOMBIA@COMSA.COM</v>
          </cell>
          <cell r="F555" t="str">
            <v>CR 11 A 93 A 62 OF 304</v>
          </cell>
          <cell r="G555" t="str">
            <v>11</v>
          </cell>
          <cell r="H555" t="str">
            <v>001</v>
          </cell>
          <cell r="I555" t="str">
            <v>11001</v>
          </cell>
          <cell r="J555" t="str">
            <v>VENTA DE BIENES</v>
          </cell>
          <cell r="K555">
            <v>4659</v>
          </cell>
          <cell r="L555">
            <v>219</v>
          </cell>
          <cell r="M555">
            <v>6938262</v>
          </cell>
        </row>
        <row r="556">
          <cell r="A556">
            <v>900458240</v>
          </cell>
          <cell r="B556" t="str">
            <v>SERIES RODANTES IMPORT S.A.S.</v>
          </cell>
          <cell r="C556" t="str">
            <v>+570000</v>
          </cell>
          <cell r="E556" t="str">
            <v>SERIESRODANTESIMPORT@GMAIL.COM</v>
          </cell>
          <cell r="F556" t="str">
            <v>CL 63 C 70 C 20</v>
          </cell>
          <cell r="G556" t="str">
            <v>11</v>
          </cell>
          <cell r="H556" t="str">
            <v>001</v>
          </cell>
          <cell r="I556" t="str">
            <v>11001</v>
          </cell>
          <cell r="J556" t="str">
            <v>VENTA DE BIENES</v>
          </cell>
          <cell r="K556">
            <v>4659</v>
          </cell>
          <cell r="L556">
            <v>219</v>
          </cell>
          <cell r="M556">
            <v>3082800</v>
          </cell>
        </row>
        <row r="557">
          <cell r="A557">
            <v>900461626</v>
          </cell>
          <cell r="B557" t="str">
            <v>DINSER SAS</v>
          </cell>
          <cell r="C557" t="str">
            <v>+570000</v>
          </cell>
          <cell r="E557" t="str">
            <v>YPRADO@DINSERSAS.COM</v>
          </cell>
          <cell r="F557" t="str">
            <v/>
          </cell>
          <cell r="G557" t="str">
            <v>11</v>
          </cell>
          <cell r="H557" t="str">
            <v>001</v>
          </cell>
          <cell r="I557" t="str">
            <v>11001</v>
          </cell>
          <cell r="J557" t="str">
            <v>VENTA DE BIENES</v>
          </cell>
          <cell r="K557">
            <v>4659</v>
          </cell>
          <cell r="L557">
            <v>219</v>
          </cell>
          <cell r="M557">
            <v>3280404</v>
          </cell>
        </row>
        <row r="558">
          <cell r="A558">
            <v>900463029</v>
          </cell>
          <cell r="B558" t="str">
            <v>ALTEA FARMACEUTICA SA</v>
          </cell>
          <cell r="C558">
            <v>4466300</v>
          </cell>
          <cell r="D558">
            <v>4466300</v>
          </cell>
          <cell r="E558" t="str">
            <v>sandra.ubaque@alteafarma.com.co</v>
          </cell>
          <cell r="F558" t="str">
            <v>Cl. 10 #65-28</v>
          </cell>
          <cell r="G558" t="str">
            <v>11</v>
          </cell>
          <cell r="H558" t="str">
            <v>001</v>
          </cell>
          <cell r="I558" t="str">
            <v>11001</v>
          </cell>
          <cell r="J558" t="str">
            <v>VENTA DE BIENES</v>
          </cell>
          <cell r="K558">
            <v>4659</v>
          </cell>
          <cell r="L558">
            <v>219</v>
          </cell>
          <cell r="M558">
            <v>2351200</v>
          </cell>
        </row>
        <row r="559">
          <cell r="A559">
            <v>900465670</v>
          </cell>
          <cell r="B559" t="str">
            <v>AXIOMATICA SOLUCIONES TECNOLOGICAS SAS</v>
          </cell>
          <cell r="C559" t="str">
            <v>312 5241597</v>
          </cell>
          <cell r="D559">
            <v>3125241597</v>
          </cell>
          <cell r="E559" t="str">
            <v>juan.gelves@axiomatica.com.co</v>
          </cell>
          <cell r="F559" t="str">
            <v/>
          </cell>
          <cell r="G559" t="str">
            <v>11</v>
          </cell>
          <cell r="H559" t="str">
            <v>001</v>
          </cell>
          <cell r="I559" t="str">
            <v>11001</v>
          </cell>
          <cell r="J559" t="str">
            <v>VENTA DE BIENES</v>
          </cell>
          <cell r="K559">
            <v>4659</v>
          </cell>
          <cell r="L559">
            <v>219</v>
          </cell>
          <cell r="M559">
            <v>1726000</v>
          </cell>
        </row>
        <row r="560">
          <cell r="A560">
            <v>900466114</v>
          </cell>
          <cell r="B560" t="str">
            <v>AUTOMATIZACION DE COLOMBIA SAS</v>
          </cell>
          <cell r="C560" t="str">
            <v>+570000</v>
          </cell>
          <cell r="E560" t="str">
            <v>VICTOR.MOYA.T@GMAIL.COM</v>
          </cell>
          <cell r="F560" t="str">
            <v>Calle 22B No. 56 – 63 Of: 701</v>
          </cell>
          <cell r="G560" t="str">
            <v>11</v>
          </cell>
          <cell r="H560" t="str">
            <v>001</v>
          </cell>
          <cell r="I560" t="str">
            <v>11001</v>
          </cell>
          <cell r="J560" t="str">
            <v>VENTA DE BIENES</v>
          </cell>
          <cell r="K560">
            <v>4659</v>
          </cell>
          <cell r="L560">
            <v>219</v>
          </cell>
          <cell r="M560">
            <v>318532</v>
          </cell>
        </row>
        <row r="561">
          <cell r="A561">
            <v>900467640</v>
          </cell>
          <cell r="B561" t="str">
            <v>Y&amp;V INGENIERIA Y CONSTRUCCION SUCURSAL COLOMBIA</v>
          </cell>
          <cell r="C561">
            <v>19172110</v>
          </cell>
          <cell r="D561">
            <v>19172110</v>
          </cell>
          <cell r="E561" t="str">
            <v>anyer.briceno@yvsite.com</v>
          </cell>
          <cell r="F561" t="str">
            <v/>
          </cell>
          <cell r="G561" t="str">
            <v>11</v>
          </cell>
          <cell r="H561" t="str">
            <v>001</v>
          </cell>
          <cell r="I561" t="str">
            <v>11001</v>
          </cell>
          <cell r="J561" t="str">
            <v>VENTA DE BIENES</v>
          </cell>
          <cell r="K561">
            <v>4659</v>
          </cell>
          <cell r="L561">
            <v>219</v>
          </cell>
          <cell r="M561">
            <v>156051857</v>
          </cell>
        </row>
        <row r="562">
          <cell r="A562">
            <v>900468966</v>
          </cell>
          <cell r="B562" t="str">
            <v>IMAQ SOLUTIONS &amp; SERVICES SAS</v>
          </cell>
          <cell r="C562" t="str">
            <v>+570000</v>
          </cell>
          <cell r="E562" t="str">
            <v>IMAQ.SAS@GMAIL.COM</v>
          </cell>
          <cell r="F562" t="str">
            <v>CR 69 A 37 B 82 SUR BRR CARVAJAL</v>
          </cell>
          <cell r="G562" t="str">
            <v>11</v>
          </cell>
          <cell r="H562" t="str">
            <v>001</v>
          </cell>
          <cell r="I562" t="str">
            <v>11001</v>
          </cell>
          <cell r="J562" t="str">
            <v>VENTA DE BIENES</v>
          </cell>
          <cell r="K562">
            <v>4659</v>
          </cell>
          <cell r="L562">
            <v>219</v>
          </cell>
          <cell r="M562">
            <v>13672760</v>
          </cell>
        </row>
        <row r="563">
          <cell r="A563">
            <v>900470730</v>
          </cell>
          <cell r="B563" t="str">
            <v>INDAUSER S.A.S</v>
          </cell>
          <cell r="C563" t="str">
            <v>+570000</v>
          </cell>
          <cell r="E563" t="str">
            <v>IGUEVARA@SOLPRO.NET.CO</v>
          </cell>
          <cell r="F563" t="str">
            <v>CR 50 76-106 AP 1B</v>
          </cell>
          <cell r="G563" t="str">
            <v>08</v>
          </cell>
          <cell r="H563" t="str">
            <v>001</v>
          </cell>
          <cell r="I563" t="str">
            <v>08001</v>
          </cell>
          <cell r="J563" t="str">
            <v>VENTA DE BIENES</v>
          </cell>
          <cell r="K563">
            <v>4659</v>
          </cell>
          <cell r="L563">
            <v>219</v>
          </cell>
          <cell r="M563">
            <v>14138750</v>
          </cell>
        </row>
        <row r="564">
          <cell r="A564">
            <v>900474144</v>
          </cell>
          <cell r="B564" t="str">
            <v>POTENCIA Y TECNOLOGIA S.A.S</v>
          </cell>
          <cell r="C564" t="str">
            <v>+570000</v>
          </cell>
          <cell r="E564" t="str">
            <v>FECOMPRAS@POTENCIAYTECNOLOGIA.COM</v>
          </cell>
          <cell r="F564" t="str">
            <v>CL 18 5-70 LC 01</v>
          </cell>
          <cell r="G564" t="str">
            <v>76</v>
          </cell>
          <cell r="H564" t="str">
            <v>001</v>
          </cell>
          <cell r="I564" t="str">
            <v>76001</v>
          </cell>
          <cell r="J564" t="str">
            <v>VENTA DE BIENES</v>
          </cell>
          <cell r="K564">
            <v>4659</v>
          </cell>
          <cell r="L564">
            <v>219</v>
          </cell>
          <cell r="M564">
            <v>14480280</v>
          </cell>
        </row>
        <row r="565">
          <cell r="A565">
            <v>900477955</v>
          </cell>
          <cell r="B565" t="str">
            <v>SI - PACK TECNOALIMENTOS S.A.S</v>
          </cell>
          <cell r="C565" t="str">
            <v>311 3211604</v>
          </cell>
          <cell r="D565">
            <v>3113211604</v>
          </cell>
          <cell r="E565" t="str">
            <v>haroldmarti@gmail.com</v>
          </cell>
          <cell r="F565" t="str">
            <v>CL 3 #3B -85 CORR LOS CHANCOS</v>
          </cell>
          <cell r="G565" t="str">
            <v>76</v>
          </cell>
          <cell r="H565" t="str">
            <v>664</v>
          </cell>
          <cell r="I565" t="str">
            <v>76664</v>
          </cell>
          <cell r="J565" t="str">
            <v>VENTA DE BIENES</v>
          </cell>
          <cell r="K565">
            <v>4659</v>
          </cell>
          <cell r="L565">
            <v>219</v>
          </cell>
          <cell r="M565">
            <v>2222780</v>
          </cell>
        </row>
        <row r="566">
          <cell r="A566">
            <v>900478843</v>
          </cell>
          <cell r="B566" t="str">
            <v>HIPER BASCULAS S A S</v>
          </cell>
          <cell r="C566" t="str">
            <v>+570000</v>
          </cell>
          <cell r="E566" t="str">
            <v>FACTURACIONELECTRONICA@HIPERBASCULAS.COM.CO</v>
          </cell>
          <cell r="F566" t="str">
            <v>C R 38 A 1 D 55</v>
          </cell>
          <cell r="G566" t="str">
            <v>11</v>
          </cell>
          <cell r="H566" t="str">
            <v>001</v>
          </cell>
          <cell r="I566" t="str">
            <v>11001</v>
          </cell>
          <cell r="J566" t="str">
            <v>VENTA DE BIENES</v>
          </cell>
          <cell r="K566">
            <v>4659</v>
          </cell>
          <cell r="L566">
            <v>219</v>
          </cell>
          <cell r="M566">
            <v>7303200</v>
          </cell>
        </row>
        <row r="567">
          <cell r="A567">
            <v>900482687</v>
          </cell>
          <cell r="B567" t="str">
            <v>MM PACKAGING COLOMBIA S.A.S</v>
          </cell>
          <cell r="C567" t="str">
            <v>+570000</v>
          </cell>
          <cell r="E567" t="str">
            <v>PCO_FACTURACION@MM-PACKAGING.COM</v>
          </cell>
          <cell r="F567" t="str">
            <v>CR 1 45A-70</v>
          </cell>
          <cell r="G567">
            <v>76</v>
          </cell>
          <cell r="H567" t="str">
            <v>892</v>
          </cell>
          <cell r="I567" t="str">
            <v>76892</v>
          </cell>
          <cell r="J567" t="str">
            <v>VENTA DE BIENES</v>
          </cell>
          <cell r="K567">
            <v>4659</v>
          </cell>
          <cell r="L567">
            <v>219</v>
          </cell>
          <cell r="M567">
            <v>14271179</v>
          </cell>
        </row>
        <row r="568">
          <cell r="A568">
            <v>900486772</v>
          </cell>
          <cell r="B568" t="str">
            <v>MANTOS ANDINOS S.A.S.</v>
          </cell>
          <cell r="C568" t="str">
            <v>+570000</v>
          </cell>
          <cell r="E568" t="str">
            <v>FACTURACION@MANTOSANDINOS.COM</v>
          </cell>
          <cell r="F568" t="str">
            <v>ZFTOCANCIPA  LOTE 4</v>
          </cell>
          <cell r="G568" t="str">
            <v>25</v>
          </cell>
          <cell r="H568" t="str">
            <v>817</v>
          </cell>
          <cell r="I568" t="str">
            <v>25817</v>
          </cell>
          <cell r="J568" t="str">
            <v>VENTA DE BIENES</v>
          </cell>
          <cell r="K568">
            <v>4659</v>
          </cell>
          <cell r="L568">
            <v>219</v>
          </cell>
          <cell r="M568">
            <v>3144000</v>
          </cell>
        </row>
        <row r="569">
          <cell r="A569">
            <v>900487760</v>
          </cell>
          <cell r="B569" t="str">
            <v>FLUXCONTROL S.A.S</v>
          </cell>
          <cell r="C569" t="str">
            <v>+570000</v>
          </cell>
          <cell r="E569" t="str">
            <v>CAREVALO@FLUXCONTROL.COM.CO</v>
          </cell>
          <cell r="F569" t="str">
            <v>CL 106 54 93 OF 606</v>
          </cell>
          <cell r="G569" t="str">
            <v>11</v>
          </cell>
          <cell r="H569" t="str">
            <v>001</v>
          </cell>
          <cell r="I569" t="str">
            <v>11001</v>
          </cell>
          <cell r="J569" t="str">
            <v>VENTA DE BIENES</v>
          </cell>
          <cell r="K569">
            <v>4659</v>
          </cell>
          <cell r="L569">
            <v>219</v>
          </cell>
          <cell r="M569">
            <v>200880</v>
          </cell>
        </row>
        <row r="570">
          <cell r="A570">
            <v>900488297</v>
          </cell>
          <cell r="B570" t="str">
            <v>KNAUF DE COLOMBIA S.A.S.</v>
          </cell>
          <cell r="C570" t="str">
            <v>314596502</v>
          </cell>
          <cell r="D570" t="str">
            <v>314596502</v>
          </cell>
          <cell r="E570" t="str">
            <v>Bernardo.Garcia@knauf.com</v>
          </cell>
          <cell r="F570" t="str">
            <v>KM 9 VIA MAMONAL ZANA FRANCA LA CANDELARIA</v>
          </cell>
          <cell r="G570" t="str">
            <v>13</v>
          </cell>
          <cell r="H570" t="str">
            <v>001</v>
          </cell>
          <cell r="I570" t="str">
            <v>13001</v>
          </cell>
          <cell r="J570" t="str">
            <v>VENTA DE BIENES</v>
          </cell>
          <cell r="K570">
            <v>4659</v>
          </cell>
          <cell r="L570">
            <v>219</v>
          </cell>
          <cell r="M570">
            <v>12879480</v>
          </cell>
        </row>
        <row r="571">
          <cell r="A571">
            <v>900488792</v>
          </cell>
          <cell r="B571" t="str">
            <v>ATD INDUSTRY SAS</v>
          </cell>
          <cell r="C571">
            <v>7336943</v>
          </cell>
          <cell r="D571">
            <v>7336943</v>
          </cell>
          <cell r="E571" t="str">
            <v>info@atdsas.com</v>
          </cell>
          <cell r="F571" t="str">
            <v>CL 93 15 59 OF 303</v>
          </cell>
          <cell r="G571" t="str">
            <v>11</v>
          </cell>
          <cell r="H571" t="str">
            <v>001</v>
          </cell>
          <cell r="I571" t="str">
            <v>11001</v>
          </cell>
          <cell r="J571" t="str">
            <v>VENTA DE BIENES</v>
          </cell>
          <cell r="K571">
            <v>4659</v>
          </cell>
          <cell r="L571">
            <v>219</v>
          </cell>
          <cell r="M571">
            <v>7204044</v>
          </cell>
        </row>
        <row r="572">
          <cell r="A572">
            <v>900488792</v>
          </cell>
          <cell r="B572" t="str">
            <v>ATD INDUSTRY SAS</v>
          </cell>
          <cell r="C572">
            <v>7336943</v>
          </cell>
          <cell r="D572">
            <v>7336943</v>
          </cell>
          <cell r="E572" t="str">
            <v>info@atdsas.com</v>
          </cell>
          <cell r="F572" t="str">
            <v>CL 93 15 59 OF 303</v>
          </cell>
          <cell r="G572" t="str">
            <v>11</v>
          </cell>
          <cell r="H572" t="str">
            <v>001</v>
          </cell>
          <cell r="I572" t="str">
            <v>11001</v>
          </cell>
          <cell r="J572" t="str">
            <v>TRANSPORTE</v>
          </cell>
          <cell r="K572">
            <v>3312</v>
          </cell>
          <cell r="L572">
            <v>334</v>
          </cell>
          <cell r="M572">
            <v>500000</v>
          </cell>
        </row>
        <row r="573">
          <cell r="A573">
            <v>900489213</v>
          </cell>
          <cell r="B573" t="str">
            <v>INSTRUMENTACION MEDICION Y CONTROL S.A.S.</v>
          </cell>
          <cell r="C573" t="str">
            <v>318 2151574</v>
          </cell>
          <cell r="D573">
            <v>3182151574</v>
          </cell>
          <cell r="E573" t="str">
            <v>imecontrol@imecontrol.com</v>
          </cell>
          <cell r="F573" t="str">
            <v>DG 32 TV 33 A SUR 49</v>
          </cell>
          <cell r="G573" t="str">
            <v>05</v>
          </cell>
          <cell r="H573" t="str">
            <v>266</v>
          </cell>
          <cell r="I573" t="str">
            <v>05266</v>
          </cell>
          <cell r="J573" t="str">
            <v>VENTA DE BIENES</v>
          </cell>
          <cell r="K573">
            <v>4659</v>
          </cell>
          <cell r="L573">
            <v>219</v>
          </cell>
          <cell r="M573">
            <v>3741000</v>
          </cell>
        </row>
        <row r="574">
          <cell r="A574">
            <v>900489429</v>
          </cell>
          <cell r="B574" t="str">
            <v>SERVIACEROS DE COLOMBIA S.A.S.</v>
          </cell>
          <cell r="C574" t="str">
            <v>+570000</v>
          </cell>
          <cell r="E574" t="str">
            <v>FACTURAELECTRONICA@SERVIACEROSDECOLOMBIA.COM</v>
          </cell>
          <cell r="F574" t="str">
            <v>CR 3 ESTE 15 90</v>
          </cell>
          <cell r="G574" t="str">
            <v>25</v>
          </cell>
          <cell r="H574" t="str">
            <v>473</v>
          </cell>
          <cell r="I574" t="str">
            <v>25473</v>
          </cell>
          <cell r="J574" t="str">
            <v>VENTA DE BIENES</v>
          </cell>
          <cell r="K574">
            <v>4659</v>
          </cell>
          <cell r="L574">
            <v>219</v>
          </cell>
          <cell r="M574">
            <v>3233894</v>
          </cell>
        </row>
        <row r="575">
          <cell r="A575">
            <v>900493698</v>
          </cell>
          <cell r="B575" t="str">
            <v>GEOPARK COLOMBIA S.A.S</v>
          </cell>
          <cell r="C575" t="str">
            <v>+570000</v>
          </cell>
          <cell r="E575" t="str">
            <v>CO.FACTURACIONELECTRONICA@GEO-PARK.COM</v>
          </cell>
          <cell r="F575" t="str">
            <v>CL 94 11-30 P 8</v>
          </cell>
          <cell r="G575" t="str">
            <v>50</v>
          </cell>
          <cell r="H575" t="str">
            <v>001</v>
          </cell>
          <cell r="I575" t="str">
            <v>50001</v>
          </cell>
          <cell r="J575" t="str">
            <v>VENTA DE BIENES</v>
          </cell>
          <cell r="K575">
            <v>4659</v>
          </cell>
          <cell r="L575">
            <v>219</v>
          </cell>
          <cell r="M575">
            <v>205303643</v>
          </cell>
        </row>
        <row r="576">
          <cell r="A576">
            <v>900494393</v>
          </cell>
          <cell r="B576" t="str">
            <v>U.A.E. INSTITUTO NACIONAL DE METROLOGIA - INM</v>
          </cell>
          <cell r="C576" t="str">
            <v>+570000</v>
          </cell>
          <cell r="E576" t="str">
            <v>SIIFNACION.FACTURAELECTRONICA@MINHACIENDA.GOV.CO</v>
          </cell>
          <cell r="F576" t="str">
            <v>AK 50 26 55 IN 2</v>
          </cell>
          <cell r="G576" t="str">
            <v>11</v>
          </cell>
          <cell r="H576" t="str">
            <v>001</v>
          </cell>
          <cell r="I576" t="str">
            <v>11001</v>
          </cell>
          <cell r="J576" t="str">
            <v>VENTA DE BIENES</v>
          </cell>
          <cell r="K576">
            <v>4659</v>
          </cell>
          <cell r="L576">
            <v>219</v>
          </cell>
          <cell r="M576">
            <v>54042000</v>
          </cell>
        </row>
        <row r="577">
          <cell r="A577">
            <v>900495926</v>
          </cell>
          <cell r="B577" t="str">
            <v>INPRO AUTOMATION S.A.S</v>
          </cell>
          <cell r="C577" t="str">
            <v>+570000</v>
          </cell>
          <cell r="E577" t="str">
            <v>GERENCIA@INPROAUTOMATION.COM</v>
          </cell>
          <cell r="F577" t="str">
            <v>AV 2 F NORTE 32 A 30 BL C AP 0406</v>
          </cell>
          <cell r="G577" t="str">
            <v>76</v>
          </cell>
          <cell r="H577" t="str">
            <v>001</v>
          </cell>
          <cell r="I577" t="str">
            <v>76001</v>
          </cell>
          <cell r="J577" t="str">
            <v>VENTA DE BIENES</v>
          </cell>
          <cell r="K577">
            <v>4659</v>
          </cell>
          <cell r="L577">
            <v>219</v>
          </cell>
          <cell r="M577">
            <v>1439083</v>
          </cell>
        </row>
        <row r="578">
          <cell r="A578">
            <v>900497470</v>
          </cell>
          <cell r="B578" t="str">
            <v>COMERCIALIZADORA AGROPARTS SAS</v>
          </cell>
          <cell r="C578">
            <v>6540845</v>
          </cell>
          <cell r="D578">
            <v>6540845</v>
          </cell>
          <cell r="E578" t="str">
            <v>contabilidad@agroparts.co</v>
          </cell>
          <cell r="F578" t="str">
            <v>AV 3 40 N 209</v>
          </cell>
          <cell r="G578" t="str">
            <v>76</v>
          </cell>
          <cell r="H578" t="str">
            <v>001</v>
          </cell>
          <cell r="I578" t="str">
            <v>76001</v>
          </cell>
          <cell r="J578" t="str">
            <v>VENTA DE BIENES</v>
          </cell>
          <cell r="K578">
            <v>4659</v>
          </cell>
          <cell r="L578">
            <v>219</v>
          </cell>
          <cell r="M578">
            <v>563760</v>
          </cell>
        </row>
        <row r="579">
          <cell r="A579">
            <v>900497979</v>
          </cell>
          <cell r="B579" t="str">
            <v>SOLUCIONES ELECTRICAS INDUSTRIALES M M S A S</v>
          </cell>
          <cell r="C579" t="str">
            <v>317 6392521</v>
          </cell>
          <cell r="D579">
            <v>3176392521</v>
          </cell>
          <cell r="E579" t="str">
            <v>seindsas@gmail.com</v>
          </cell>
          <cell r="F579" t="str">
            <v>CR 12 18 17 AP 200 P 2</v>
          </cell>
          <cell r="G579" t="str">
            <v>11</v>
          </cell>
          <cell r="H579" t="str">
            <v>001</v>
          </cell>
          <cell r="I579" t="str">
            <v>11001</v>
          </cell>
          <cell r="J579" t="str">
            <v>VENTA DE BIENES</v>
          </cell>
          <cell r="K579">
            <v>4659</v>
          </cell>
          <cell r="L579">
            <v>219</v>
          </cell>
          <cell r="M579">
            <v>2040000</v>
          </cell>
        </row>
        <row r="580">
          <cell r="A580">
            <v>900507736</v>
          </cell>
          <cell r="B580" t="str">
            <v>SOLINTEC CORPORATION S.A.S</v>
          </cell>
          <cell r="C580" t="str">
            <v>6608231</v>
          </cell>
          <cell r="D580" t="str">
            <v>6608231</v>
          </cell>
          <cell r="E580" t="str">
            <v>solintec@gmail.com</v>
          </cell>
          <cell r="F580" t="str">
            <v>KR 61 72 A 28</v>
          </cell>
          <cell r="G580" t="str">
            <v>11</v>
          </cell>
          <cell r="H580" t="str">
            <v>001</v>
          </cell>
          <cell r="I580" t="str">
            <v>11001</v>
          </cell>
          <cell r="J580" t="str">
            <v>VENTA DE BIENES</v>
          </cell>
          <cell r="K580">
            <v>4659</v>
          </cell>
          <cell r="L580">
            <v>219</v>
          </cell>
          <cell r="M580">
            <v>2575702</v>
          </cell>
        </row>
        <row r="581">
          <cell r="A581">
            <v>900514678</v>
          </cell>
          <cell r="B581" t="str">
            <v>PROCESOS AUTOMATICOS CELTAR S.A.S</v>
          </cell>
          <cell r="C581" t="str">
            <v>+570000</v>
          </cell>
          <cell r="E581" t="str">
            <v>COMPRAS@CELTAR.COM.CO</v>
          </cell>
          <cell r="F581" t="str">
            <v>CL 64A 50B 25</v>
          </cell>
          <cell r="G581" t="str">
            <v>11</v>
          </cell>
          <cell r="H581" t="str">
            <v>001</v>
          </cell>
          <cell r="I581" t="str">
            <v>11001</v>
          </cell>
          <cell r="J581" t="str">
            <v>VENTA DE BIENES</v>
          </cell>
          <cell r="K581">
            <v>4659</v>
          </cell>
          <cell r="L581">
            <v>219</v>
          </cell>
          <cell r="M581">
            <v>19977039</v>
          </cell>
        </row>
        <row r="582">
          <cell r="A582">
            <v>900520112</v>
          </cell>
          <cell r="B582" t="str">
            <v>PRIMADERA S.A.S</v>
          </cell>
          <cell r="C582" t="str">
            <v>+570000</v>
          </cell>
          <cell r="E582" t="str">
            <v>RADICACION.TUFACTURA@COLSEIN.COM.CO</v>
          </cell>
          <cell r="F582" t="str">
            <v>CR 19 92-65 LC 12</v>
          </cell>
          <cell r="G582" t="str">
            <v>25</v>
          </cell>
          <cell r="H582" t="str">
            <v>295</v>
          </cell>
          <cell r="I582" t="str">
            <v>25295</v>
          </cell>
          <cell r="J582" t="str">
            <v>VENTA DE BIENES</v>
          </cell>
          <cell r="K582">
            <v>4659</v>
          </cell>
          <cell r="L582">
            <v>219</v>
          </cell>
          <cell r="M582">
            <v>1948880</v>
          </cell>
        </row>
        <row r="583">
          <cell r="A583">
            <v>900526274</v>
          </cell>
          <cell r="B583" t="str">
            <v>INGENIERIA DE PROCESOS EN AUTOMATIZACION INDUSTRIAL S.A.S</v>
          </cell>
          <cell r="C583" t="str">
            <v>301 7541865</v>
          </cell>
          <cell r="D583">
            <v>3017541865</v>
          </cell>
          <cell r="E583" t="str">
            <v>CONTABILIDAD1@INGEPRO.COM.CO</v>
          </cell>
          <cell r="F583" t="str">
            <v>Carrera  85A  No. 42–45</v>
          </cell>
          <cell r="G583">
            <v>76</v>
          </cell>
          <cell r="H583" t="str">
            <v>001</v>
          </cell>
          <cell r="I583" t="str">
            <v>76001</v>
          </cell>
          <cell r="J583" t="str">
            <v>VENTA DE BIENES</v>
          </cell>
          <cell r="K583">
            <v>4659</v>
          </cell>
          <cell r="L583">
            <v>219</v>
          </cell>
          <cell r="M583">
            <v>22442066</v>
          </cell>
        </row>
        <row r="584">
          <cell r="A584">
            <v>900526274</v>
          </cell>
          <cell r="B584" t="str">
            <v>INGENIERIA DE PROCESOS EN AUTOMATIZACION INDUSTRIAL S.A.S</v>
          </cell>
          <cell r="C584" t="str">
            <v>301 7541865</v>
          </cell>
          <cell r="D584">
            <v>3017541865</v>
          </cell>
          <cell r="E584" t="str">
            <v>CONTABILIDAD1@INGEPRO.COM.CO</v>
          </cell>
          <cell r="F584" t="str">
            <v>Carrera  85A  No. 42–45</v>
          </cell>
          <cell r="G584">
            <v>76</v>
          </cell>
          <cell r="H584" t="str">
            <v>001</v>
          </cell>
          <cell r="I584" t="str">
            <v>76001</v>
          </cell>
          <cell r="J584" t="str">
            <v>TRANSPORTE</v>
          </cell>
          <cell r="K584">
            <v>3312</v>
          </cell>
          <cell r="L584">
            <v>334</v>
          </cell>
          <cell r="M584">
            <v>147900</v>
          </cell>
        </row>
        <row r="585">
          <cell r="A585">
            <v>900527370</v>
          </cell>
          <cell r="B585" t="str">
            <v>DEJA-MU SUBACHOQUE SAS</v>
          </cell>
          <cell r="C585" t="str">
            <v>312 4742249</v>
          </cell>
          <cell r="D585">
            <v>3124742249</v>
          </cell>
          <cell r="E585" t="str">
            <v>Automatizacion@dejamusubachoque.com</v>
          </cell>
          <cell r="F585" t="str">
            <v>VEREDA CANICA BAJA PREDIO PALOMAR</v>
          </cell>
          <cell r="G585" t="str">
            <v>25</v>
          </cell>
          <cell r="H585" t="str">
            <v>769</v>
          </cell>
          <cell r="I585" t="str">
            <v>25769</v>
          </cell>
          <cell r="J585" t="str">
            <v>VENTA DE BIENES</v>
          </cell>
          <cell r="K585">
            <v>4659</v>
          </cell>
          <cell r="L585">
            <v>219</v>
          </cell>
          <cell r="M585">
            <v>28941272</v>
          </cell>
        </row>
        <row r="586">
          <cell r="A586">
            <v>900531210</v>
          </cell>
          <cell r="B586" t="str">
            <v>CENIT TRANSPORTE Y LOGISTICA DE HIDROCARBUROS S.A.S</v>
          </cell>
          <cell r="C586" t="str">
            <v>+570000</v>
          </cell>
          <cell r="E586" t="str">
            <v>relacionamiento.proveedores@cenit-transporte.com</v>
          </cell>
          <cell r="F586" t="str">
            <v>CL 77 9 17 OF 401</v>
          </cell>
          <cell r="G586" t="str">
            <v>11</v>
          </cell>
          <cell r="H586" t="str">
            <v>001</v>
          </cell>
          <cell r="I586" t="str">
            <v>11001</v>
          </cell>
          <cell r="J586" t="str">
            <v>VENTA DE BIENES</v>
          </cell>
          <cell r="K586">
            <v>4659</v>
          </cell>
          <cell r="L586">
            <v>219</v>
          </cell>
          <cell r="M586">
            <v>3728159</v>
          </cell>
        </row>
        <row r="587">
          <cell r="A587">
            <v>900538988</v>
          </cell>
          <cell r="B587" t="str">
            <v>SUNCOLOMBIA SAS</v>
          </cell>
          <cell r="C587" t="str">
            <v>4864718</v>
          </cell>
          <cell r="E587" t="str">
            <v>facturacion@suncolombia.com</v>
          </cell>
          <cell r="F587" t="str">
            <v>CALLE 163A #20-15</v>
          </cell>
          <cell r="G587" t="str">
            <v>11</v>
          </cell>
          <cell r="H587" t="str">
            <v>001</v>
          </cell>
          <cell r="I587" t="str">
            <v>11001</v>
          </cell>
          <cell r="J587" t="str">
            <v>VENTA DE BIENES</v>
          </cell>
          <cell r="K587">
            <v>4659</v>
          </cell>
          <cell r="L587">
            <v>219</v>
          </cell>
          <cell r="M587">
            <v>5093641</v>
          </cell>
        </row>
        <row r="588">
          <cell r="A588">
            <v>900547317</v>
          </cell>
          <cell r="B588" t="str">
            <v>INGENIERÍA, AUTOMATIZACIÓN E INSTRUMENTACIÓN S.A.S.</v>
          </cell>
          <cell r="C588" t="str">
            <v>316 2958262</v>
          </cell>
          <cell r="D588">
            <v>3162958262</v>
          </cell>
          <cell r="E588" t="str">
            <v>ingenieriayautomatizacion.sas@gmail.com</v>
          </cell>
          <cell r="F588" t="str">
            <v>CL 22 11 29</v>
          </cell>
          <cell r="G588" t="str">
            <v>68</v>
          </cell>
          <cell r="H588" t="str">
            <v>001</v>
          </cell>
          <cell r="I588" t="str">
            <v>68001</v>
          </cell>
          <cell r="J588" t="str">
            <v>VENTA DE BIENES</v>
          </cell>
          <cell r="K588">
            <v>4659</v>
          </cell>
          <cell r="L588">
            <v>219</v>
          </cell>
          <cell r="M588">
            <v>2814418</v>
          </cell>
        </row>
        <row r="589">
          <cell r="A589">
            <v>900548622</v>
          </cell>
          <cell r="B589" t="str">
            <v>VIVEXCEL S.A.S.</v>
          </cell>
          <cell r="C589" t="str">
            <v>+570000</v>
          </cell>
          <cell r="E589" t="str">
            <v>FACTURACION@DEKOSAS.COM</v>
          </cell>
          <cell r="F589" t="str">
            <v>CR 21 164 74</v>
          </cell>
          <cell r="G589">
            <v>11</v>
          </cell>
          <cell r="H589" t="str">
            <v>001</v>
          </cell>
          <cell r="I589" t="str">
            <v>11001</v>
          </cell>
          <cell r="J589" t="str">
            <v>42 GRAVADOS</v>
          </cell>
          <cell r="K589">
            <v>4659</v>
          </cell>
          <cell r="L589">
            <v>219</v>
          </cell>
          <cell r="M589">
            <v>22923802</v>
          </cell>
        </row>
        <row r="590">
          <cell r="A590">
            <v>900548622</v>
          </cell>
          <cell r="B590" t="str">
            <v>VIVEXCEL S.A.S.</v>
          </cell>
          <cell r="C590" t="str">
            <v>+570000</v>
          </cell>
          <cell r="E590" t="str">
            <v>FACTURACION@DEKOSAS.COM</v>
          </cell>
          <cell r="F590" t="str">
            <v>CR 21 164 74</v>
          </cell>
          <cell r="G590">
            <v>11</v>
          </cell>
          <cell r="H590" t="str">
            <v>001</v>
          </cell>
          <cell r="I590" t="str">
            <v>11001</v>
          </cell>
          <cell r="J590" t="str">
            <v>SERV ADMON</v>
          </cell>
          <cell r="K590">
            <v>3312</v>
          </cell>
          <cell r="L590">
            <v>334</v>
          </cell>
          <cell r="M590">
            <v>2008070</v>
          </cell>
        </row>
        <row r="591">
          <cell r="A591">
            <v>900548622</v>
          </cell>
          <cell r="B591" t="str">
            <v>VIVEXCEL S.A.S.</v>
          </cell>
          <cell r="C591" t="str">
            <v>+570000</v>
          </cell>
          <cell r="E591" t="str">
            <v>FACTURACION@DEKOSAS.COM</v>
          </cell>
          <cell r="F591" t="str">
            <v>CR 21 164 74</v>
          </cell>
          <cell r="G591">
            <v>11</v>
          </cell>
          <cell r="H591" t="str">
            <v>001</v>
          </cell>
          <cell r="I591" t="str">
            <v>11001</v>
          </cell>
          <cell r="J591" t="str">
            <v>VENTA DE BIENES</v>
          </cell>
          <cell r="K591">
            <v>4659</v>
          </cell>
          <cell r="L591">
            <v>219</v>
          </cell>
          <cell r="M591">
            <v>291551</v>
          </cell>
        </row>
        <row r="592">
          <cell r="A592">
            <v>900552027</v>
          </cell>
          <cell r="B592" t="str">
            <v>CONSTRUCCIONES ARCUES S.A.S.</v>
          </cell>
          <cell r="C592">
            <v>6799663</v>
          </cell>
          <cell r="D592">
            <v>6799663</v>
          </cell>
          <cell r="E592" t="str">
            <v>construarcues@hotmail.com</v>
          </cell>
          <cell r="F592" t="str">
            <v>BRR BOCAGRANDE CR 2 9 145 ED NAUTILUS OF 503</v>
          </cell>
          <cell r="G592" t="str">
            <v>13</v>
          </cell>
          <cell r="H592" t="str">
            <v>001</v>
          </cell>
          <cell r="I592" t="str">
            <v>13001</v>
          </cell>
          <cell r="J592" t="str">
            <v>VENTA DE BIENES</v>
          </cell>
          <cell r="K592">
            <v>4659</v>
          </cell>
          <cell r="L592">
            <v>219</v>
          </cell>
          <cell r="M592">
            <v>4584240</v>
          </cell>
        </row>
        <row r="593">
          <cell r="A593">
            <v>900553170</v>
          </cell>
          <cell r="B593" t="str">
            <v>EMBOTELLADORA DE LA SABANA S.A.S</v>
          </cell>
          <cell r="C593" t="str">
            <v>+570000</v>
          </cell>
          <cell r="E593" t="str">
            <v>FERECEPCION.FEMSACOL@KOF.COM</v>
          </cell>
          <cell r="F593" t="str">
            <v>CARR CENTRAL DEL NORTE KM 22</v>
          </cell>
          <cell r="G593">
            <v>25</v>
          </cell>
          <cell r="H593" t="str">
            <v>817</v>
          </cell>
          <cell r="I593" t="str">
            <v>25817</v>
          </cell>
          <cell r="J593" t="str">
            <v>VENTA DE BIENES</v>
          </cell>
          <cell r="K593">
            <v>4659</v>
          </cell>
          <cell r="L593">
            <v>219</v>
          </cell>
          <cell r="M593">
            <v>52153752</v>
          </cell>
        </row>
        <row r="594">
          <cell r="A594">
            <v>900554594</v>
          </cell>
          <cell r="B594" t="str">
            <v>HIGHCOM CALA SAS</v>
          </cell>
          <cell r="C594">
            <v>8698789</v>
          </cell>
          <cell r="D594">
            <v>8698789</v>
          </cell>
          <cell r="E594" t="str">
            <v>CONTABILIDAD@HIGHCOM.CO</v>
          </cell>
          <cell r="F594" t="str">
            <v>CR 10 97 A 13 TO B OF 202</v>
          </cell>
          <cell r="G594" t="str">
            <v>11</v>
          </cell>
          <cell r="H594" t="str">
            <v>001</v>
          </cell>
          <cell r="I594" t="str">
            <v>11001</v>
          </cell>
          <cell r="J594" t="str">
            <v>VENTA DE BIENES</v>
          </cell>
          <cell r="K594">
            <v>4659</v>
          </cell>
          <cell r="L594">
            <v>219</v>
          </cell>
          <cell r="M594">
            <v>32704350</v>
          </cell>
        </row>
        <row r="595">
          <cell r="A595">
            <v>900562190</v>
          </cell>
          <cell r="B595" t="str">
            <v>INGENCOL S.A.S</v>
          </cell>
          <cell r="C595">
            <v>2672279</v>
          </cell>
          <cell r="D595">
            <v>2672279</v>
          </cell>
          <cell r="E595" t="str">
            <v>facturacion.ingencol@gmail.com</v>
          </cell>
          <cell r="F595" t="str">
            <v>PASEO COMERCIAL ARKACENTRO MD T LC08 BRR SECTOR ARKACENTRO</v>
          </cell>
          <cell r="G595" t="str">
            <v>73</v>
          </cell>
          <cell r="H595" t="str">
            <v>001</v>
          </cell>
          <cell r="I595" t="str">
            <v>73001</v>
          </cell>
          <cell r="J595" t="str">
            <v>VENTA DE BIENES</v>
          </cell>
          <cell r="K595">
            <v>4659</v>
          </cell>
          <cell r="L595">
            <v>219</v>
          </cell>
          <cell r="M595">
            <v>14214169</v>
          </cell>
        </row>
        <row r="596">
          <cell r="A596">
            <v>900564496</v>
          </cell>
          <cell r="B596" t="str">
            <v>SOLUTRAFFIC INGENIERIA S.A.S</v>
          </cell>
          <cell r="C596" t="str">
            <v>+570000</v>
          </cell>
          <cell r="E596" t="str">
            <v>COMPRAS@SOLUTRAFFIC.COM</v>
          </cell>
          <cell r="F596" t="str">
            <v>CR 19 A Nº 15 A 41</v>
          </cell>
          <cell r="G596">
            <v>76</v>
          </cell>
          <cell r="H596" t="str">
            <v>001</v>
          </cell>
          <cell r="I596" t="str">
            <v>76001</v>
          </cell>
          <cell r="J596" t="str">
            <v>VENTA DE BIENES</v>
          </cell>
          <cell r="K596">
            <v>4659</v>
          </cell>
          <cell r="L596">
            <v>219</v>
          </cell>
          <cell r="M596">
            <v>14108544</v>
          </cell>
        </row>
        <row r="597">
          <cell r="A597">
            <v>900570286</v>
          </cell>
          <cell r="B597" t="str">
            <v>ERCO ENERGIA S.A.S</v>
          </cell>
          <cell r="C597" t="str">
            <v>314 4455113</v>
          </cell>
          <cell r="D597">
            <v>3144455113</v>
          </cell>
          <cell r="E597" t="str">
            <v>facturacion@ercoenergia.com.co</v>
          </cell>
          <cell r="F597" t="str">
            <v>CR 49 61 SUR 540 BG 106</v>
          </cell>
          <cell r="G597" t="str">
            <v>05</v>
          </cell>
          <cell r="H597" t="str">
            <v>631</v>
          </cell>
          <cell r="I597" t="str">
            <v>05631</v>
          </cell>
          <cell r="J597" t="str">
            <v>VENTA DE BIENES</v>
          </cell>
          <cell r="K597">
            <v>4659</v>
          </cell>
          <cell r="L597">
            <v>219</v>
          </cell>
          <cell r="M597">
            <v>2553879</v>
          </cell>
        </row>
        <row r="598">
          <cell r="A598">
            <v>900570964</v>
          </cell>
          <cell r="B598" t="str">
            <v>ULTRACEM SAS</v>
          </cell>
          <cell r="C598" t="str">
            <v>+570000</v>
          </cell>
          <cell r="E598" t="str">
            <v>FE-SAS@ULTRACEM.CO</v>
          </cell>
          <cell r="F598" t="str">
            <v>KM 2 5 VIA CORDIALIDAD</v>
          </cell>
          <cell r="G598" t="str">
            <v>08</v>
          </cell>
          <cell r="H598" t="str">
            <v>296</v>
          </cell>
          <cell r="I598" t="str">
            <v>08296</v>
          </cell>
          <cell r="J598" t="str">
            <v>VENTA DE BIENES</v>
          </cell>
          <cell r="K598">
            <v>4659</v>
          </cell>
          <cell r="L598">
            <v>219</v>
          </cell>
          <cell r="M598">
            <v>9443840</v>
          </cell>
        </row>
        <row r="599">
          <cell r="A599">
            <v>900583443</v>
          </cell>
          <cell r="B599" t="str">
            <v>EPYS Y CIA. S. EN C.A.</v>
          </cell>
          <cell r="C599" t="str">
            <v>+570000</v>
          </cell>
          <cell r="E599" t="str">
            <v>COMPRAS@EPYS.COM.CO</v>
          </cell>
          <cell r="F599" t="str">
            <v>CR 6   20 - 30 BRR SAN NICOLAS</v>
          </cell>
          <cell r="G599" t="str">
            <v>76</v>
          </cell>
          <cell r="H599" t="str">
            <v>001</v>
          </cell>
          <cell r="I599" t="str">
            <v>76001</v>
          </cell>
          <cell r="J599" t="str">
            <v>VENTA DE BIENES</v>
          </cell>
          <cell r="K599">
            <v>4659</v>
          </cell>
          <cell r="L599">
            <v>219</v>
          </cell>
          <cell r="M599">
            <v>40910592</v>
          </cell>
        </row>
        <row r="600">
          <cell r="A600">
            <v>900602178</v>
          </cell>
          <cell r="B600" t="str">
            <v>STROM SAS</v>
          </cell>
          <cell r="C600" t="str">
            <v>+570000</v>
          </cell>
          <cell r="E600" t="str">
            <v>CONTACTO@STROM.COM.CO</v>
          </cell>
          <cell r="F600" t="str">
            <v>CR 72 C 22 A 77 TO 1 APTO 809</v>
          </cell>
          <cell r="G600">
            <v>11</v>
          </cell>
          <cell r="H600" t="str">
            <v>001</v>
          </cell>
          <cell r="I600" t="str">
            <v>11001</v>
          </cell>
          <cell r="J600" t="str">
            <v>VENTA DE BIENES</v>
          </cell>
          <cell r="K600">
            <v>4659</v>
          </cell>
          <cell r="L600">
            <v>219</v>
          </cell>
          <cell r="M600">
            <v>52835412</v>
          </cell>
        </row>
        <row r="601">
          <cell r="A601">
            <v>900606828</v>
          </cell>
          <cell r="B601" t="str">
            <v>CONTROL Y AUTOMATIZACION INDUSTRIAL CONTROLMATICA S.A.S</v>
          </cell>
          <cell r="C601" t="str">
            <v>+570000</v>
          </cell>
          <cell r="E601" t="str">
            <v>FACTURACION@CONTROLMATICA.COM.CO</v>
          </cell>
          <cell r="F601" t="str">
            <v>CR 71 32B 18</v>
          </cell>
          <cell r="G601" t="str">
            <v>05</v>
          </cell>
          <cell r="H601" t="str">
            <v>001</v>
          </cell>
          <cell r="I601" t="str">
            <v>05001</v>
          </cell>
          <cell r="J601" t="str">
            <v>VENTA DE BIENES</v>
          </cell>
          <cell r="K601">
            <v>4659</v>
          </cell>
          <cell r="L601">
            <v>219</v>
          </cell>
          <cell r="M601">
            <v>26300188</v>
          </cell>
        </row>
        <row r="602">
          <cell r="A602">
            <v>900610585</v>
          </cell>
          <cell r="B602" t="str">
            <v>EASY TAXI COLOMBIA SAS</v>
          </cell>
          <cell r="C602" t="str">
            <v>5520022</v>
          </cell>
          <cell r="D602" t="str">
            <v>5520022</v>
          </cell>
          <cell r="E602" t="str">
            <v>defacture@yopmail.com</v>
          </cell>
          <cell r="F602" t="str">
            <v>AV CL 6 45 91</v>
          </cell>
          <cell r="G602" t="str">
            <v>11</v>
          </cell>
          <cell r="H602" t="str">
            <v>001</v>
          </cell>
          <cell r="I602" t="str">
            <v>11001</v>
          </cell>
          <cell r="J602" t="str">
            <v>42 GRAVADOS</v>
          </cell>
          <cell r="K602">
            <v>4659</v>
          </cell>
          <cell r="L602">
            <v>219</v>
          </cell>
          <cell r="M602">
            <v>30</v>
          </cell>
        </row>
        <row r="603">
          <cell r="A603">
            <v>900610958</v>
          </cell>
          <cell r="B603" t="str">
            <v>RINO INGENIERIA S A S</v>
          </cell>
          <cell r="C603" t="str">
            <v>+570000</v>
          </cell>
          <cell r="E603" t="str">
            <v>INFO@RINO.COM.CO</v>
          </cell>
          <cell r="F603" t="str">
            <v>CL 14 SUR 56-47</v>
          </cell>
          <cell r="G603" t="str">
            <v>11</v>
          </cell>
          <cell r="H603" t="str">
            <v>001</v>
          </cell>
          <cell r="I603" t="str">
            <v>11001</v>
          </cell>
          <cell r="J603" t="str">
            <v>VENTA DE BIENES</v>
          </cell>
          <cell r="K603">
            <v>4659</v>
          </cell>
          <cell r="L603">
            <v>219</v>
          </cell>
          <cell r="M603">
            <v>5997845</v>
          </cell>
        </row>
        <row r="604">
          <cell r="A604">
            <v>900616103</v>
          </cell>
          <cell r="B604" t="str">
            <v>PROELCO SAS</v>
          </cell>
          <cell r="C604" t="str">
            <v>322 5109993</v>
          </cell>
          <cell r="D604">
            <v>3225109993</v>
          </cell>
          <cell r="E604" t="str">
            <v>compras@proelco.com.co</v>
          </cell>
          <cell r="F604" t="str">
            <v/>
          </cell>
          <cell r="G604" t="str">
            <v>11</v>
          </cell>
          <cell r="H604" t="str">
            <v>001</v>
          </cell>
          <cell r="I604" t="str">
            <v>11001</v>
          </cell>
          <cell r="J604" t="str">
            <v>VENTA DE BIENES</v>
          </cell>
          <cell r="K604">
            <v>4659</v>
          </cell>
          <cell r="L604">
            <v>219</v>
          </cell>
          <cell r="M604">
            <v>1609200</v>
          </cell>
        </row>
        <row r="605">
          <cell r="A605">
            <v>900619697</v>
          </cell>
          <cell r="B605" t="str">
            <v>SUMIMTEC SERVICES S.A.S.</v>
          </cell>
          <cell r="C605" t="str">
            <v>+570000</v>
          </cell>
          <cell r="E605" t="str">
            <v>FACTURACIONELECTRONICA@SUMIMTEC.COM</v>
          </cell>
          <cell r="F605" t="str">
            <v>Calle 50 # 20B-26 Local 1</v>
          </cell>
          <cell r="G605" t="str">
            <v>08</v>
          </cell>
          <cell r="H605" t="str">
            <v>001</v>
          </cell>
          <cell r="I605" t="str">
            <v>08001</v>
          </cell>
          <cell r="J605" t="str">
            <v>VENTA DE BIENES</v>
          </cell>
          <cell r="K605">
            <v>4659</v>
          </cell>
          <cell r="L605">
            <v>219</v>
          </cell>
          <cell r="M605">
            <v>147216</v>
          </cell>
        </row>
        <row r="606">
          <cell r="A606">
            <v>900628124</v>
          </cell>
          <cell r="B606" t="str">
            <v>SAVAN S.A.S</v>
          </cell>
          <cell r="E606" t="str">
            <v>irene.ariza@savan.com.co</v>
          </cell>
          <cell r="F606" t="str">
            <v>PARQUE IND GRAN SABANA BG 32</v>
          </cell>
          <cell r="G606">
            <v>25</v>
          </cell>
          <cell r="H606" t="str">
            <v>817</v>
          </cell>
          <cell r="I606" t="str">
            <v>25817</v>
          </cell>
          <cell r="J606" t="str">
            <v>42 GRAVADOS</v>
          </cell>
          <cell r="K606">
            <v>4659</v>
          </cell>
          <cell r="L606">
            <v>219</v>
          </cell>
          <cell r="M606">
            <v>38926747</v>
          </cell>
        </row>
        <row r="607">
          <cell r="A607">
            <v>900628124</v>
          </cell>
          <cell r="B607" t="str">
            <v>SAVAN S.A.S</v>
          </cell>
          <cell r="E607" t="str">
            <v>irene.ariza@savan.com.co</v>
          </cell>
          <cell r="F607" t="str">
            <v>PARQUE IND GRAN SABANA BG 32</v>
          </cell>
          <cell r="G607">
            <v>25</v>
          </cell>
          <cell r="H607" t="str">
            <v>817</v>
          </cell>
          <cell r="I607" t="str">
            <v>25817</v>
          </cell>
          <cell r="J607" t="str">
            <v>SERV ADMON</v>
          </cell>
          <cell r="K607">
            <v>3312</v>
          </cell>
          <cell r="L607">
            <v>334</v>
          </cell>
          <cell r="M607">
            <v>3510773</v>
          </cell>
        </row>
        <row r="608">
          <cell r="A608">
            <v>900629083</v>
          </cell>
          <cell r="B608" t="str">
            <v>JD SUMINISTROS E INSTALACIONES SAS</v>
          </cell>
          <cell r="C608" t="str">
            <v>+570000</v>
          </cell>
          <cell r="E608" t="str">
            <v>COMPRAS@JDSUMINISTROS.COM</v>
          </cell>
          <cell r="F608" t="str">
            <v>CL 73 57 37</v>
          </cell>
          <cell r="G608">
            <v>11</v>
          </cell>
          <cell r="H608" t="str">
            <v>001</v>
          </cell>
          <cell r="I608" t="str">
            <v>11001</v>
          </cell>
          <cell r="J608" t="str">
            <v>VENTA DE BIENES</v>
          </cell>
          <cell r="K608">
            <v>4659</v>
          </cell>
          <cell r="L608">
            <v>219</v>
          </cell>
          <cell r="M608">
            <v>1768534</v>
          </cell>
        </row>
        <row r="609">
          <cell r="A609">
            <v>900630301</v>
          </cell>
          <cell r="B609" t="str">
            <v>PEDLEX SAS</v>
          </cell>
          <cell r="C609" t="str">
            <v>317 6384520</v>
          </cell>
          <cell r="D609">
            <v>3176384520</v>
          </cell>
          <cell r="E609" t="str">
            <v>Licitaciones@pedlexsas.co</v>
          </cell>
          <cell r="F609" t="str">
            <v>VEREDA CAMPO 13 13 23 CORREGIMIENTO EL CENTRO ECOPETROL, BARRANCABERMEJA. SANTANDER</v>
          </cell>
          <cell r="G609" t="str">
            <v>68</v>
          </cell>
          <cell r="H609" t="str">
            <v>081</v>
          </cell>
          <cell r="I609" t="str">
            <v>68081</v>
          </cell>
          <cell r="J609" t="str">
            <v>VENTA DE BIENES</v>
          </cell>
          <cell r="K609">
            <v>4659</v>
          </cell>
          <cell r="L609">
            <v>219</v>
          </cell>
          <cell r="M609">
            <v>15898633</v>
          </cell>
        </row>
        <row r="610">
          <cell r="A610">
            <v>900635671</v>
          </cell>
          <cell r="B610" t="str">
            <v>DESARROLLO DE SISTEMAS DE CONTROL SAS</v>
          </cell>
          <cell r="C610" t="str">
            <v>+570000</v>
          </cell>
          <cell r="E610" t="str">
            <v>VENTAS@DESISCO.COM.CO</v>
          </cell>
          <cell r="F610" t="str">
            <v>DG 66 33B-35 CA 15 J</v>
          </cell>
          <cell r="G610" t="str">
            <v>76</v>
          </cell>
          <cell r="H610" t="str">
            <v>001</v>
          </cell>
          <cell r="I610" t="str">
            <v>76001</v>
          </cell>
          <cell r="J610" t="str">
            <v>VENTA DE BIENES</v>
          </cell>
          <cell r="K610">
            <v>4659</v>
          </cell>
          <cell r="L610">
            <v>219</v>
          </cell>
          <cell r="M610">
            <v>85783718</v>
          </cell>
        </row>
        <row r="611">
          <cell r="A611">
            <v>900639245</v>
          </cell>
          <cell r="B611" t="str">
            <v>EMPAQUES DE PLASTICO Y PAPEL PLASPEL S A S</v>
          </cell>
          <cell r="C611" t="str">
            <v>315 5691538</v>
          </cell>
          <cell r="D611">
            <v>3155691538</v>
          </cell>
          <cell r="E611" t="str">
            <v>atencion.cliente@plaspel.co</v>
          </cell>
          <cell r="F611" t="str">
            <v/>
          </cell>
          <cell r="G611" t="str">
            <v>25</v>
          </cell>
          <cell r="H611" t="str">
            <v>817</v>
          </cell>
          <cell r="I611" t="str">
            <v>25817</v>
          </cell>
          <cell r="J611" t="str">
            <v>VENTA DE BIENES</v>
          </cell>
          <cell r="K611">
            <v>4659</v>
          </cell>
          <cell r="L611">
            <v>219</v>
          </cell>
          <cell r="M611">
            <v>2843200</v>
          </cell>
        </row>
        <row r="612">
          <cell r="A612">
            <v>900639489</v>
          </cell>
          <cell r="B612" t="str">
            <v>INNOTEK S.A.S.</v>
          </cell>
          <cell r="C612" t="str">
            <v>+570000</v>
          </cell>
          <cell r="E612" t="str">
            <v>facturacion@innotek.com.co</v>
          </cell>
          <cell r="F612" t="str">
            <v>CR 19 25 NORTE 05 IN 2</v>
          </cell>
          <cell r="G612" t="str">
            <v>63</v>
          </cell>
          <cell r="H612" t="str">
            <v>059</v>
          </cell>
          <cell r="I612" t="str">
            <v>63059</v>
          </cell>
          <cell r="J612" t="str">
            <v>VENTA DE BIENES</v>
          </cell>
          <cell r="K612">
            <v>4659</v>
          </cell>
          <cell r="L612">
            <v>219</v>
          </cell>
          <cell r="M612">
            <v>1021440</v>
          </cell>
        </row>
        <row r="613">
          <cell r="A613">
            <v>900640435</v>
          </cell>
          <cell r="B613" t="str">
            <v>RICARDO ESCOBAR ARBELAEZ S.A.S</v>
          </cell>
          <cell r="C613" t="str">
            <v>+570000</v>
          </cell>
          <cell r="E613" t="str">
            <v>RICARDO.ESCOBAR@RICARDOESCOBARARBELAEZ.COM</v>
          </cell>
          <cell r="F613" t="str">
            <v>CL 65 A 23 B 127 BRR GUAYACANES</v>
          </cell>
          <cell r="G613" t="str">
            <v>17</v>
          </cell>
          <cell r="H613" t="str">
            <v>001</v>
          </cell>
          <cell r="I613" t="str">
            <v>17001</v>
          </cell>
          <cell r="J613" t="str">
            <v>VENTA DE BIENES</v>
          </cell>
          <cell r="K613">
            <v>4659</v>
          </cell>
          <cell r="L613">
            <v>219</v>
          </cell>
          <cell r="M613">
            <v>7525654</v>
          </cell>
        </row>
        <row r="614">
          <cell r="A614">
            <v>900651115</v>
          </cell>
          <cell r="B614" t="str">
            <v>D&amp;C ENERGY SAS</v>
          </cell>
          <cell r="C614" t="str">
            <v>313 3618417</v>
          </cell>
          <cell r="D614">
            <v>3133618417</v>
          </cell>
          <cell r="E614" t="str">
            <v>contabilidad@dcenergy.com.co</v>
          </cell>
          <cell r="F614" t="str">
            <v>CL 140 10 A 48 OF 309</v>
          </cell>
          <cell r="G614" t="str">
            <v>11</v>
          </cell>
          <cell r="H614" t="str">
            <v>001</v>
          </cell>
          <cell r="I614" t="str">
            <v>11001</v>
          </cell>
          <cell r="J614" t="str">
            <v>VENTA DE BIENES</v>
          </cell>
          <cell r="K614">
            <v>4659</v>
          </cell>
          <cell r="L614">
            <v>219</v>
          </cell>
          <cell r="M614">
            <v>16718131</v>
          </cell>
        </row>
        <row r="615">
          <cell r="A615">
            <v>900665534</v>
          </cell>
          <cell r="B615" t="str">
            <v>AUTIND COMPANY SAS</v>
          </cell>
          <cell r="C615">
            <v>6477330</v>
          </cell>
          <cell r="D615">
            <v>6477330</v>
          </cell>
          <cell r="E615" t="str">
            <v>fe.autindcompany@gmail.com</v>
          </cell>
          <cell r="F615" t="str">
            <v>CL 53 23 38</v>
          </cell>
          <cell r="G615" t="str">
            <v>68</v>
          </cell>
          <cell r="H615" t="str">
            <v>001</v>
          </cell>
          <cell r="I615" t="str">
            <v>68001</v>
          </cell>
          <cell r="J615" t="str">
            <v>42 GRAVADOS</v>
          </cell>
          <cell r="K615">
            <v>4659</v>
          </cell>
          <cell r="L615">
            <v>219</v>
          </cell>
          <cell r="M615">
            <v>2374240</v>
          </cell>
        </row>
        <row r="616">
          <cell r="A616">
            <v>900665534</v>
          </cell>
          <cell r="B616" t="str">
            <v>AUTIND COMPANY SAS</v>
          </cell>
          <cell r="C616">
            <v>6477330</v>
          </cell>
          <cell r="D616">
            <v>6477330</v>
          </cell>
          <cell r="E616" t="str">
            <v>fe.autindcompany@gmail.com</v>
          </cell>
          <cell r="F616" t="str">
            <v>CL 53 23 38</v>
          </cell>
          <cell r="G616" t="str">
            <v>68</v>
          </cell>
          <cell r="H616" t="str">
            <v>001</v>
          </cell>
          <cell r="I616" t="str">
            <v>68001</v>
          </cell>
          <cell r="J616" t="str">
            <v>42 GRAVADOS</v>
          </cell>
          <cell r="K616">
            <v>4659</v>
          </cell>
          <cell r="L616">
            <v>219</v>
          </cell>
          <cell r="M616">
            <v>153061</v>
          </cell>
        </row>
        <row r="617">
          <cell r="A617">
            <v>900676137</v>
          </cell>
          <cell r="B617" t="str">
            <v>SOLUCIONES DE AUTOMATIZACION INTEGRADAS SAS</v>
          </cell>
          <cell r="C617" t="str">
            <v>+570000</v>
          </cell>
          <cell r="E617" t="str">
            <v>ANDRES.SUAREZ@ING-SAI.COM</v>
          </cell>
          <cell r="F617" t="str">
            <v>CR 13 66 47 AP 604</v>
          </cell>
          <cell r="G617" t="str">
            <v>11</v>
          </cell>
          <cell r="H617" t="str">
            <v>001</v>
          </cell>
          <cell r="I617" t="str">
            <v>11001</v>
          </cell>
          <cell r="J617" t="str">
            <v>VENTA DE BIENES</v>
          </cell>
          <cell r="K617">
            <v>4659</v>
          </cell>
          <cell r="L617">
            <v>219</v>
          </cell>
          <cell r="M617">
            <v>2553966</v>
          </cell>
        </row>
        <row r="618">
          <cell r="A618">
            <v>900683123</v>
          </cell>
          <cell r="B618" t="str">
            <v>SVO GROUP S.A.S.</v>
          </cell>
          <cell r="C618" t="str">
            <v>315 2325159</v>
          </cell>
          <cell r="D618">
            <v>3152325159</v>
          </cell>
          <cell r="E618" t="str">
            <v>comercial@svogroup.com.co</v>
          </cell>
          <cell r="F618" t="str">
            <v>AV 7 0 N 63 P 2 BRR LA MERCED</v>
          </cell>
          <cell r="G618" t="str">
            <v>54</v>
          </cell>
          <cell r="H618" t="str">
            <v>001</v>
          </cell>
          <cell r="I618" t="str">
            <v>54001</v>
          </cell>
          <cell r="J618" t="str">
            <v>VENTA DE BIENES</v>
          </cell>
          <cell r="K618">
            <v>4659</v>
          </cell>
          <cell r="L618">
            <v>219</v>
          </cell>
          <cell r="M618">
            <v>15603360</v>
          </cell>
        </row>
        <row r="619">
          <cell r="A619">
            <v>900684305</v>
          </cell>
          <cell r="B619" t="str">
            <v>KATARA SAS</v>
          </cell>
          <cell r="C619" t="str">
            <v>318 5214674</v>
          </cell>
          <cell r="D619">
            <v>3185214674</v>
          </cell>
          <cell r="E619" t="str">
            <v>irene.ariza@katara-sas.co</v>
          </cell>
          <cell r="F619" t="str">
            <v>PARQUE IND GRAN SABANA BG 32</v>
          </cell>
          <cell r="G619">
            <v>25</v>
          </cell>
          <cell r="H619" t="str">
            <v>817</v>
          </cell>
          <cell r="I619" t="str">
            <v>25817</v>
          </cell>
          <cell r="J619" t="str">
            <v>42 GRAVADOS</v>
          </cell>
          <cell r="K619">
            <v>4659</v>
          </cell>
          <cell r="L619">
            <v>219</v>
          </cell>
          <cell r="M619">
            <v>33143655</v>
          </cell>
        </row>
        <row r="620">
          <cell r="A620">
            <v>900684305</v>
          </cell>
          <cell r="B620" t="str">
            <v>KATARA SAS</v>
          </cell>
          <cell r="C620" t="str">
            <v>318 5214674</v>
          </cell>
          <cell r="D620">
            <v>3185214674</v>
          </cell>
          <cell r="E620" t="str">
            <v>irene.ariza@katara-sas.co</v>
          </cell>
          <cell r="F620" t="str">
            <v>PARQUE IND GRAN SABANA BG 32</v>
          </cell>
          <cell r="G620">
            <v>25</v>
          </cell>
          <cell r="H620" t="str">
            <v>817</v>
          </cell>
          <cell r="I620" t="str">
            <v>25817</v>
          </cell>
          <cell r="J620" t="str">
            <v>SERV ADMON</v>
          </cell>
          <cell r="K620">
            <v>3312</v>
          </cell>
          <cell r="L620">
            <v>334</v>
          </cell>
          <cell r="M620">
            <v>2989949</v>
          </cell>
        </row>
        <row r="621">
          <cell r="A621">
            <v>900693626</v>
          </cell>
          <cell r="B621" t="str">
            <v>METROINDUSTRIAL S.A.S.</v>
          </cell>
          <cell r="C621" t="str">
            <v>+570000</v>
          </cell>
          <cell r="E621" t="str">
            <v>CONTABILIDAD@METROINDUSTRIAL.COM.CO</v>
          </cell>
          <cell r="F621" t="str">
            <v>CR 2 A 57 79</v>
          </cell>
          <cell r="G621" t="str">
            <v>76</v>
          </cell>
          <cell r="H621" t="str">
            <v>001</v>
          </cell>
          <cell r="I621" t="str">
            <v>76001</v>
          </cell>
          <cell r="J621" t="str">
            <v>VENTA DE BIENES</v>
          </cell>
          <cell r="K621">
            <v>4659</v>
          </cell>
          <cell r="L621">
            <v>219</v>
          </cell>
          <cell r="M621">
            <v>16125393</v>
          </cell>
        </row>
        <row r="622">
          <cell r="A622">
            <v>900696793</v>
          </cell>
          <cell r="B622" t="str">
            <v>INNGENIA S.A.S</v>
          </cell>
          <cell r="C622" t="str">
            <v>316 3815714</v>
          </cell>
          <cell r="D622">
            <v>3163815714</v>
          </cell>
          <cell r="E622" t="str">
            <v>RECEPCION.INNGENIASAS@GMAIL.COM</v>
          </cell>
          <cell r="F622" t="str">
            <v/>
          </cell>
          <cell r="G622" t="str">
            <v>76</v>
          </cell>
          <cell r="H622" t="str">
            <v>001</v>
          </cell>
          <cell r="I622" t="str">
            <v>76001</v>
          </cell>
          <cell r="J622" t="str">
            <v>VENTA DE BIENES</v>
          </cell>
          <cell r="K622">
            <v>4659</v>
          </cell>
          <cell r="L622">
            <v>219</v>
          </cell>
          <cell r="M622">
            <v>32998117</v>
          </cell>
        </row>
        <row r="623">
          <cell r="A623">
            <v>900709666</v>
          </cell>
          <cell r="B623" t="str">
            <v>MAPACHE MANTENIMIENTOS Y MONTAJES LTDA</v>
          </cell>
          <cell r="C623" t="str">
            <v>+570000</v>
          </cell>
          <cell r="E623" t="str">
            <v>INFO@MAPACHE-SCI.COM</v>
          </cell>
          <cell r="F623" t="str">
            <v>CC CANARIAS II MZ 1 LC 5</v>
          </cell>
          <cell r="G623">
            <v>47</v>
          </cell>
          <cell r="H623" t="str">
            <v>001</v>
          </cell>
          <cell r="I623" t="str">
            <v>47001</v>
          </cell>
          <cell r="J623" t="str">
            <v>VENTA DE BIENES</v>
          </cell>
          <cell r="K623">
            <v>4659</v>
          </cell>
          <cell r="L623">
            <v>219</v>
          </cell>
          <cell r="M623">
            <v>50041032</v>
          </cell>
        </row>
        <row r="624">
          <cell r="A624">
            <v>900718257</v>
          </cell>
          <cell r="B624" t="str">
            <v>CORRUMED S.A.S.</v>
          </cell>
          <cell r="C624" t="str">
            <v>+570000</v>
          </cell>
          <cell r="E624" t="str">
            <v>PROVEEDORES@CORRUMED.COM</v>
          </cell>
          <cell r="F624" t="str">
            <v>CL 100 SUR 52 A 194</v>
          </cell>
          <cell r="G624" t="str">
            <v>05</v>
          </cell>
          <cell r="H624" t="str">
            <v>380</v>
          </cell>
          <cell r="I624" t="str">
            <v>05380</v>
          </cell>
          <cell r="J624" t="str">
            <v>VENTA DE BIENES</v>
          </cell>
          <cell r="K624">
            <v>4659</v>
          </cell>
          <cell r="L624">
            <v>219</v>
          </cell>
          <cell r="M624">
            <v>19845340</v>
          </cell>
        </row>
        <row r="625">
          <cell r="A625">
            <v>900719868</v>
          </cell>
          <cell r="B625" t="str">
            <v>SOBREPISOS Y MUROS - REVESTIMIENTOS INDUSTRIALES S A S</v>
          </cell>
          <cell r="C625" t="str">
            <v>315 3442055</v>
          </cell>
          <cell r="D625">
            <v>3153442055</v>
          </cell>
          <cell r="E625" t="str">
            <v>jogosan67@hotmail.com</v>
          </cell>
          <cell r="F625" t="str">
            <v>CR 72 A 68 B 85</v>
          </cell>
          <cell r="G625" t="str">
            <v>11</v>
          </cell>
          <cell r="H625" t="str">
            <v>001</v>
          </cell>
          <cell r="I625" t="str">
            <v>11001</v>
          </cell>
          <cell r="J625" t="str">
            <v>VENTA DE BIENES</v>
          </cell>
          <cell r="K625">
            <v>4659</v>
          </cell>
          <cell r="L625">
            <v>219</v>
          </cell>
          <cell r="M625">
            <v>2109143</v>
          </cell>
        </row>
        <row r="626">
          <cell r="A626">
            <v>900723292</v>
          </cell>
          <cell r="B626" t="str">
            <v>LAURENTINO CELIS MARQUEZ S.A.S.</v>
          </cell>
          <cell r="C626" t="str">
            <v>316 8250786</v>
          </cell>
          <cell r="D626">
            <v>3168250786</v>
          </cell>
          <cell r="E626" t="str">
            <v>gerencia.lcmsas@hotmail.com</v>
          </cell>
          <cell r="F626" t="str">
            <v>CR 23 101 29</v>
          </cell>
          <cell r="G626" t="str">
            <v>68</v>
          </cell>
          <cell r="H626" t="str">
            <v>001</v>
          </cell>
          <cell r="I626" t="str">
            <v>68001</v>
          </cell>
          <cell r="J626" t="str">
            <v>VENTA DE BIENES</v>
          </cell>
          <cell r="K626">
            <v>4659</v>
          </cell>
          <cell r="L626">
            <v>219</v>
          </cell>
          <cell r="M626">
            <v>5794510</v>
          </cell>
        </row>
        <row r="627">
          <cell r="A627">
            <v>900726780</v>
          </cell>
          <cell r="B627" t="str">
            <v>INGELECTRICOS COLOMBIA SAS</v>
          </cell>
          <cell r="C627" t="str">
            <v>320 4353269</v>
          </cell>
          <cell r="D627">
            <v>3204353269</v>
          </cell>
          <cell r="E627" t="str">
            <v>contacto@ingelectricoscolombia.com</v>
          </cell>
          <cell r="F627" t="str">
            <v>CALLE 8 SUR 35 A 08 P 2</v>
          </cell>
          <cell r="G627" t="str">
            <v>11</v>
          </cell>
          <cell r="H627" t="str">
            <v>001</v>
          </cell>
          <cell r="I627" t="str">
            <v>11001</v>
          </cell>
          <cell r="J627" t="str">
            <v>VENTA DE BIENES</v>
          </cell>
          <cell r="K627">
            <v>4659</v>
          </cell>
          <cell r="L627">
            <v>219</v>
          </cell>
          <cell r="M627">
            <v>233975</v>
          </cell>
        </row>
        <row r="628">
          <cell r="A628">
            <v>900734503</v>
          </cell>
          <cell r="B628" t="str">
            <v>BFOCUS TECHNOLOGIES SAS</v>
          </cell>
          <cell r="C628" t="str">
            <v>0618985005</v>
          </cell>
          <cell r="D628" t="str">
            <v>0618985005</v>
          </cell>
          <cell r="E628" t="str">
            <v>FACTURACION@BFOCUSTECHNOLOGIES.COM</v>
          </cell>
          <cell r="F628" t="str">
            <v/>
          </cell>
          <cell r="G628">
            <v>11</v>
          </cell>
          <cell r="H628" t="str">
            <v>001</v>
          </cell>
          <cell r="I628" t="str">
            <v>11001</v>
          </cell>
          <cell r="J628" t="str">
            <v>VENTA DE BIENES</v>
          </cell>
          <cell r="K628">
            <v>4659</v>
          </cell>
          <cell r="L628">
            <v>219</v>
          </cell>
          <cell r="M628">
            <v>99023748</v>
          </cell>
        </row>
        <row r="629">
          <cell r="A629">
            <v>900736003</v>
          </cell>
          <cell r="B629" t="str">
            <v>ZONA FRANCA PIR S.A.S</v>
          </cell>
          <cell r="C629" t="str">
            <v>+570000</v>
          </cell>
          <cell r="E629" t="str">
            <v>FACTURAELECTRONICA@ZONAFRANCAPIR.COM.CO</v>
          </cell>
          <cell r="F629" t="str">
            <v>AV TRONCAL DE OCCIDENTE 20 85 BG 32</v>
          </cell>
          <cell r="G629" t="str">
            <v>25</v>
          </cell>
          <cell r="H629" t="str">
            <v>473</v>
          </cell>
          <cell r="I629" t="str">
            <v>25473</v>
          </cell>
          <cell r="J629" t="str">
            <v>VENTA DE BIENES</v>
          </cell>
          <cell r="K629">
            <v>4659</v>
          </cell>
          <cell r="L629">
            <v>219</v>
          </cell>
          <cell r="M629">
            <v>21319436</v>
          </cell>
        </row>
        <row r="630">
          <cell r="A630">
            <v>900737079</v>
          </cell>
          <cell r="B630" t="str">
            <v>HENKEL INTERNACIONAL SAS</v>
          </cell>
          <cell r="C630" t="str">
            <v>320 8034784</v>
          </cell>
          <cell r="D630">
            <v>3208034784</v>
          </cell>
          <cell r="E630" t="str">
            <v>info@hinternacional.co</v>
          </cell>
          <cell r="F630" t="str">
            <v>CR 21 137 48</v>
          </cell>
          <cell r="G630" t="str">
            <v>11</v>
          </cell>
          <cell r="H630" t="str">
            <v>001</v>
          </cell>
          <cell r="I630" t="str">
            <v>11001</v>
          </cell>
          <cell r="J630" t="str">
            <v>VENTA DE BIENES</v>
          </cell>
          <cell r="K630">
            <v>4659</v>
          </cell>
          <cell r="L630">
            <v>219</v>
          </cell>
          <cell r="M630">
            <v>1647555</v>
          </cell>
        </row>
        <row r="631">
          <cell r="A631">
            <v>900738674</v>
          </cell>
          <cell r="B631" t="str">
            <v>SMI COLOMBIA SAS</v>
          </cell>
          <cell r="C631" t="str">
            <v>310 3032128</v>
          </cell>
          <cell r="D631">
            <v>3103032128</v>
          </cell>
          <cell r="E631" t="str">
            <v>natalia.castillo@sinea.com</v>
          </cell>
          <cell r="F631" t="str">
            <v>PAR INDUSTRIAL GRAN SABANA UN 51 FRENTE A ENTRADA AUTODROMO DE TOCANCIPA</v>
          </cell>
          <cell r="G631" t="str">
            <v>25</v>
          </cell>
          <cell r="H631" t="str">
            <v>817</v>
          </cell>
          <cell r="I631" t="str">
            <v>25817</v>
          </cell>
          <cell r="J631" t="str">
            <v>VENTA DE BIENES</v>
          </cell>
          <cell r="K631">
            <v>4659</v>
          </cell>
          <cell r="L631">
            <v>219</v>
          </cell>
          <cell r="M631">
            <v>909532</v>
          </cell>
        </row>
        <row r="632">
          <cell r="A632">
            <v>900739480</v>
          </cell>
          <cell r="B632" t="str">
            <v>SOLUCIONES EN CONTROL INDUSTRIAL DE COLOMBIA S A S</v>
          </cell>
          <cell r="E632" t="str">
            <v>gerencia@solcoinco.com</v>
          </cell>
          <cell r="F632" t="str">
            <v>Calle 83A # 116A-10, Barrio Cortijo</v>
          </cell>
          <cell r="G632" t="str">
            <v>11</v>
          </cell>
          <cell r="H632" t="str">
            <v>001</v>
          </cell>
          <cell r="I632" t="str">
            <v>11001</v>
          </cell>
          <cell r="J632" t="str">
            <v>VENTA DE BIENES</v>
          </cell>
          <cell r="K632">
            <v>4659</v>
          </cell>
          <cell r="L632">
            <v>219</v>
          </cell>
          <cell r="M632">
            <v>6009680</v>
          </cell>
        </row>
        <row r="633">
          <cell r="A633">
            <v>900742771</v>
          </cell>
          <cell r="B633" t="str">
            <v>BERHLAN DE COLOMBIA S.A.S</v>
          </cell>
          <cell r="C633" t="str">
            <v>+570000</v>
          </cell>
          <cell r="E633" t="str">
            <v>FECOMPRASTEBAIDA@BERHLAN.COM</v>
          </cell>
          <cell r="F633" t="str">
            <v>Calle 10 # 32 - 137 Parque Industrial  Indupark</v>
          </cell>
          <cell r="G633" t="str">
            <v>08</v>
          </cell>
          <cell r="H633" t="str">
            <v>296</v>
          </cell>
          <cell r="I633" t="str">
            <v>08296</v>
          </cell>
          <cell r="J633" t="str">
            <v>VENTA DE BIENES</v>
          </cell>
          <cell r="K633">
            <v>4659</v>
          </cell>
          <cell r="L633">
            <v>219</v>
          </cell>
          <cell r="M633">
            <v>28768200</v>
          </cell>
        </row>
        <row r="634">
          <cell r="A634">
            <v>900743695</v>
          </cell>
          <cell r="B634" t="str">
            <v>PHOENIX CONTACT S.A.S</v>
          </cell>
          <cell r="C634" t="str">
            <v>+570000</v>
          </cell>
          <cell r="E634" t="str">
            <v>DE900743695@DOCUMENTEME.CO</v>
          </cell>
          <cell r="F634" t="str">
            <v>PAR INDUSTRIAL GRAN SABANA ED 32</v>
          </cell>
          <cell r="G634" t="str">
            <v>25</v>
          </cell>
          <cell r="H634" t="str">
            <v>817</v>
          </cell>
          <cell r="I634" t="str">
            <v>25817</v>
          </cell>
          <cell r="J634" t="str">
            <v>42 GRAVADOS</v>
          </cell>
          <cell r="K634">
            <v>4659</v>
          </cell>
          <cell r="L634">
            <v>219</v>
          </cell>
          <cell r="M634">
            <v>106033569</v>
          </cell>
        </row>
        <row r="635">
          <cell r="A635">
            <v>900747824</v>
          </cell>
          <cell r="B635" t="str">
            <v>ENG SUPPORTS S.A.S.</v>
          </cell>
          <cell r="C635" t="str">
            <v>+570000</v>
          </cell>
          <cell r="E635" t="str">
            <v>CAROLINA.ALONSO@ENG-SUPPORTS.COM</v>
          </cell>
          <cell r="F635" t="str">
            <v>DG 28 T 7 C 15 BRR CAMINOS DE LA HACIENDA</v>
          </cell>
          <cell r="G635" t="str">
            <v>76</v>
          </cell>
          <cell r="H635" t="str">
            <v>520</v>
          </cell>
          <cell r="I635" t="str">
            <v>76520</v>
          </cell>
          <cell r="J635" t="str">
            <v>VENTA DE BIENES</v>
          </cell>
          <cell r="K635">
            <v>4659</v>
          </cell>
          <cell r="L635">
            <v>219</v>
          </cell>
          <cell r="M635">
            <v>10623809</v>
          </cell>
        </row>
        <row r="636">
          <cell r="A636">
            <v>900749191</v>
          </cell>
          <cell r="B636" t="str">
            <v>SEEAC INGENIERIA S.A.S.</v>
          </cell>
          <cell r="C636" t="str">
            <v>316 7624366</v>
          </cell>
          <cell r="D636">
            <v>3167624366</v>
          </cell>
          <cell r="E636" t="str">
            <v>gcuadro@seeacingenieriasas.com</v>
          </cell>
          <cell r="F636" t="str">
            <v>BRR ZARAGOCILLA CR 50 30 E 16</v>
          </cell>
          <cell r="G636" t="str">
            <v>13</v>
          </cell>
          <cell r="H636" t="str">
            <v>001</v>
          </cell>
          <cell r="I636" t="str">
            <v>13001</v>
          </cell>
          <cell r="J636" t="str">
            <v>VENTA DE BIENES</v>
          </cell>
          <cell r="K636">
            <v>4659</v>
          </cell>
          <cell r="L636">
            <v>219</v>
          </cell>
          <cell r="M636">
            <v>7115466</v>
          </cell>
        </row>
        <row r="637">
          <cell r="A637">
            <v>900767151</v>
          </cell>
          <cell r="B637" t="str">
            <v>LATAM IFER SAS</v>
          </cell>
          <cell r="C637" t="str">
            <v>315 3107059</v>
          </cell>
          <cell r="D637">
            <v>3153107059</v>
          </cell>
          <cell r="E637" t="str">
            <v>diana.martinez@latamifer.com</v>
          </cell>
          <cell r="F637" t="str">
            <v>VIA KM UNO PUNTO NUEVE BOGOTA-FUNZA BG 3 PAR UN EMPRESARIAL DE OCCIDENTE VIA CALABAZAL EL CARMEN - FUNZA</v>
          </cell>
          <cell r="G637" t="str">
            <v>11</v>
          </cell>
          <cell r="H637" t="str">
            <v>001</v>
          </cell>
          <cell r="I637" t="str">
            <v>11001</v>
          </cell>
          <cell r="J637" t="str">
            <v>VENTA DE BIENES</v>
          </cell>
          <cell r="K637">
            <v>4659</v>
          </cell>
          <cell r="L637">
            <v>219</v>
          </cell>
          <cell r="M637">
            <v>1129930</v>
          </cell>
        </row>
        <row r="638">
          <cell r="A638">
            <v>900767263</v>
          </cell>
          <cell r="B638" t="str">
            <v>FLP COLOMBIA SAS</v>
          </cell>
          <cell r="E638" t="str">
            <v>PRACTICANTEADMINISTRACION@FLP.CO</v>
          </cell>
          <cell r="F638" t="str">
            <v>CR 7 80 49 OF 801</v>
          </cell>
          <cell r="G638" t="str">
            <v>11</v>
          </cell>
          <cell r="H638" t="str">
            <v>001</v>
          </cell>
          <cell r="I638" t="str">
            <v>11001</v>
          </cell>
          <cell r="J638" t="str">
            <v>VENTA DE BIENES</v>
          </cell>
          <cell r="K638">
            <v>4659</v>
          </cell>
          <cell r="L638">
            <v>219</v>
          </cell>
          <cell r="M638">
            <v>1137000</v>
          </cell>
        </row>
        <row r="639">
          <cell r="A639">
            <v>900770676</v>
          </cell>
          <cell r="B639" t="str">
            <v>INGEFLUIDOS Y MANTENIMIENTO S.A.S.</v>
          </cell>
          <cell r="C639">
            <v>5274075</v>
          </cell>
          <cell r="D639">
            <v>5274075</v>
          </cell>
          <cell r="E639" t="str">
            <v>ingefluidos@gmail.com</v>
          </cell>
          <cell r="F639" t="str">
            <v>CR 31 5 B 58 BRR VERAGUAS CENTRAL</v>
          </cell>
          <cell r="G639" t="str">
            <v>11</v>
          </cell>
          <cell r="H639" t="str">
            <v>001</v>
          </cell>
          <cell r="I639" t="str">
            <v>11001</v>
          </cell>
          <cell r="J639" t="str">
            <v>VENTA DE BIENES</v>
          </cell>
          <cell r="K639">
            <v>4659</v>
          </cell>
          <cell r="L639">
            <v>219</v>
          </cell>
          <cell r="M639">
            <v>4880823</v>
          </cell>
        </row>
        <row r="640">
          <cell r="A640">
            <v>900793937</v>
          </cell>
          <cell r="B640" t="str">
            <v>MECHATRONIK S.A.S.</v>
          </cell>
          <cell r="C640" t="str">
            <v>+570000</v>
          </cell>
          <cell r="E640" t="str">
            <v>JOSELOP@MECHATRONIK.COM.CO</v>
          </cell>
          <cell r="F640" t="str">
            <v>CR 69 16-60 AP 701 EBRR LA HACIENDA</v>
          </cell>
          <cell r="G640" t="str">
            <v>76</v>
          </cell>
          <cell r="H640" t="str">
            <v>001</v>
          </cell>
          <cell r="I640" t="str">
            <v>76001</v>
          </cell>
          <cell r="J640" t="str">
            <v>VENTA DE BIENES</v>
          </cell>
          <cell r="K640">
            <v>4659</v>
          </cell>
          <cell r="L640">
            <v>219</v>
          </cell>
          <cell r="M640">
            <v>1125574</v>
          </cell>
        </row>
        <row r="641">
          <cell r="A641">
            <v>900809717</v>
          </cell>
          <cell r="B641" t="str">
            <v>INDUSTRIA GRAFICA LATINOAMERICA SA</v>
          </cell>
          <cell r="C641" t="str">
            <v>+570000</v>
          </cell>
          <cell r="E641" t="str">
            <v>INDUGRAL.FE@AB-INBEV.COM</v>
          </cell>
          <cell r="F641" t="str">
            <v>ZF DEL PACIFICO CRT YUMBO-AEROPUERTO KM 6 LT 5 6 7 MZ H</v>
          </cell>
          <cell r="G641">
            <v>76</v>
          </cell>
          <cell r="H641" t="str">
            <v>520</v>
          </cell>
          <cell r="I641" t="str">
            <v>76520</v>
          </cell>
          <cell r="J641" t="str">
            <v>VENTA DE BIENES</v>
          </cell>
          <cell r="K641">
            <v>4659</v>
          </cell>
          <cell r="L641">
            <v>219</v>
          </cell>
          <cell r="M641">
            <v>29591673</v>
          </cell>
        </row>
        <row r="642">
          <cell r="A642">
            <v>900812272</v>
          </cell>
          <cell r="B642" t="str">
            <v>COFILTERS SAS</v>
          </cell>
          <cell r="C642" t="str">
            <v>+570000</v>
          </cell>
          <cell r="E642" t="str">
            <v>COFILTERSFACTURACION@GMAIL.COM</v>
          </cell>
          <cell r="F642" t="str">
            <v>CL 7 BIS 25A 29</v>
          </cell>
          <cell r="G642" t="str">
            <v>11</v>
          </cell>
          <cell r="H642" t="str">
            <v>001</v>
          </cell>
          <cell r="I642" t="str">
            <v>11001</v>
          </cell>
          <cell r="J642" t="str">
            <v>VENTA DE BIENES</v>
          </cell>
          <cell r="K642">
            <v>4659</v>
          </cell>
          <cell r="L642">
            <v>219</v>
          </cell>
          <cell r="M642">
            <v>121837</v>
          </cell>
        </row>
        <row r="643">
          <cell r="A643">
            <v>900815066</v>
          </cell>
          <cell r="B643" t="str">
            <v>ELECTRIC-SERVICE S.A.S</v>
          </cell>
          <cell r="E643" t="str">
            <v>juan.electricservice@gmail.com</v>
          </cell>
          <cell r="F643" t="str">
            <v>CR 2 N 20 21 P 2</v>
          </cell>
          <cell r="G643" t="str">
            <v>05</v>
          </cell>
          <cell r="H643" t="str">
            <v>585</v>
          </cell>
          <cell r="I643" t="str">
            <v>05585</v>
          </cell>
          <cell r="J643" t="str">
            <v>VENTA DE BIENES</v>
          </cell>
          <cell r="K643">
            <v>4659</v>
          </cell>
          <cell r="L643">
            <v>219</v>
          </cell>
          <cell r="M643">
            <v>2361221</v>
          </cell>
        </row>
        <row r="644">
          <cell r="A644">
            <v>900817003</v>
          </cell>
          <cell r="B644" t="str">
            <v>PROMING INDUSTRIAL SAS</v>
          </cell>
          <cell r="C644" t="str">
            <v>+570000</v>
          </cell>
          <cell r="E644" t="str">
            <v>FACTURACION.PROMINGIND@GMAIL.COM</v>
          </cell>
          <cell r="F644" t="str">
            <v>CR 7 7 95 BG 1</v>
          </cell>
          <cell r="G644" t="str">
            <v>25</v>
          </cell>
          <cell r="H644" t="str">
            <v>817</v>
          </cell>
          <cell r="I644" t="str">
            <v>25817</v>
          </cell>
          <cell r="J644" t="str">
            <v>VENTA DE BIENES</v>
          </cell>
          <cell r="K644">
            <v>4659</v>
          </cell>
          <cell r="L644">
            <v>219</v>
          </cell>
          <cell r="M644">
            <v>316000</v>
          </cell>
        </row>
        <row r="645">
          <cell r="A645">
            <v>900818361</v>
          </cell>
          <cell r="B645" t="str">
            <v>SERVICIOS Y PROYECTOS INDUSTRIALES S.A.S.</v>
          </cell>
          <cell r="C645" t="str">
            <v>+570000</v>
          </cell>
          <cell r="E645" t="str">
            <v>JULIAN.MANTILLA@SPICOL.COM</v>
          </cell>
          <cell r="F645" t="str">
            <v>CR 27 37 33 OF 901 ED CENTRO EMPRESARIAL GREEN GOLD</v>
          </cell>
          <cell r="G645" t="str">
            <v>68</v>
          </cell>
          <cell r="H645" t="str">
            <v>001</v>
          </cell>
          <cell r="I645" t="str">
            <v>68001</v>
          </cell>
          <cell r="J645" t="str">
            <v>VENTA DE BIENES</v>
          </cell>
          <cell r="K645">
            <v>4659</v>
          </cell>
          <cell r="L645">
            <v>219</v>
          </cell>
          <cell r="M645">
            <v>2677173</v>
          </cell>
        </row>
        <row r="646">
          <cell r="A646">
            <v>900820657</v>
          </cell>
          <cell r="B646" t="str">
            <v>GREENDIPITY S.A.S BIC E.S.P.</v>
          </cell>
          <cell r="C646" t="str">
            <v>316 8327145</v>
          </cell>
          <cell r="D646">
            <v>3168327145</v>
          </cell>
          <cell r="E646" t="str">
            <v>lbenavides@greendipity.co</v>
          </cell>
          <cell r="F646" t="str">
            <v>CL 15 A 101 60</v>
          </cell>
          <cell r="G646" t="str">
            <v>76</v>
          </cell>
          <cell r="H646" t="str">
            <v>001</v>
          </cell>
          <cell r="I646" t="str">
            <v>76001</v>
          </cell>
          <cell r="J646" t="str">
            <v>VENTA DE BIENES</v>
          </cell>
          <cell r="K646">
            <v>4659</v>
          </cell>
          <cell r="L646">
            <v>219</v>
          </cell>
          <cell r="M646">
            <v>1845129</v>
          </cell>
        </row>
        <row r="647">
          <cell r="A647">
            <v>900824354</v>
          </cell>
          <cell r="B647" t="str">
            <v>CCG ENERGY SAS ESP</v>
          </cell>
          <cell r="C647" t="str">
            <v>305 7064454</v>
          </cell>
          <cell r="D647">
            <v>3057064454</v>
          </cell>
          <cell r="E647" t="str">
            <v>tatianap@ccgenergysas.com</v>
          </cell>
          <cell r="F647" t="str">
            <v>CR 9 24 A N 21 OF O 14</v>
          </cell>
          <cell r="G647" t="str">
            <v>19</v>
          </cell>
          <cell r="H647" t="str">
            <v>001</v>
          </cell>
          <cell r="I647" t="str">
            <v>19001</v>
          </cell>
          <cell r="J647" t="str">
            <v>VENTA DE BIENES</v>
          </cell>
          <cell r="K647">
            <v>4659</v>
          </cell>
          <cell r="L647">
            <v>219</v>
          </cell>
          <cell r="M647">
            <v>2469309</v>
          </cell>
        </row>
        <row r="648">
          <cell r="A648">
            <v>900830360</v>
          </cell>
          <cell r="B648" t="str">
            <v>SISTEMAS AUTOMATICOS DE CONTROL S.A.S</v>
          </cell>
          <cell r="C648" t="str">
            <v>+570000</v>
          </cell>
          <cell r="E648" t="str">
            <v>FACTURACION@SISTEMASAUTOCONTROL.COM</v>
          </cell>
          <cell r="F648" t="str">
            <v>C R 2 B 37 37</v>
          </cell>
          <cell r="G648" t="str">
            <v>76</v>
          </cell>
          <cell r="H648" t="str">
            <v>001</v>
          </cell>
          <cell r="I648" t="str">
            <v>76001</v>
          </cell>
          <cell r="J648" t="str">
            <v>VENTA DE BIENES</v>
          </cell>
          <cell r="K648">
            <v>4659</v>
          </cell>
          <cell r="L648">
            <v>219</v>
          </cell>
          <cell r="M648">
            <v>8654475</v>
          </cell>
        </row>
        <row r="649">
          <cell r="A649">
            <v>900839269</v>
          </cell>
          <cell r="B649" t="str">
            <v>AIR LIQUIDE COLOMBIA INDUSTRIAL SAS</v>
          </cell>
          <cell r="C649" t="str">
            <v>+570000</v>
          </cell>
          <cell r="E649" t="str">
            <v>COMPRAS@PINZUAR.COM.CO</v>
          </cell>
          <cell r="F649" t="str">
            <v>CARR CENTRAL DEL NORTE KM 22</v>
          </cell>
          <cell r="G649" t="str">
            <v>25</v>
          </cell>
          <cell r="H649" t="str">
            <v>817</v>
          </cell>
          <cell r="I649" t="str">
            <v>25817</v>
          </cell>
          <cell r="J649" t="str">
            <v>VENTA DE BIENES</v>
          </cell>
          <cell r="K649">
            <v>4659</v>
          </cell>
          <cell r="L649">
            <v>219</v>
          </cell>
          <cell r="M649">
            <v>3376535</v>
          </cell>
        </row>
        <row r="650">
          <cell r="A650">
            <v>900842239</v>
          </cell>
          <cell r="B650" t="str">
            <v>MVM INDUSTRIES S.A.S.</v>
          </cell>
          <cell r="C650" t="str">
            <v>314 8890364</v>
          </cell>
          <cell r="D650">
            <v>3148890364</v>
          </cell>
          <cell r="E650" t="str">
            <v>CONTABILIDAD@MVMINDUSTRIES.COM.CO</v>
          </cell>
          <cell r="F650" t="str">
            <v>CRA 52 No 57A-103</v>
          </cell>
          <cell r="G650" t="str">
            <v>05</v>
          </cell>
          <cell r="H650" t="str">
            <v>001</v>
          </cell>
          <cell r="I650" t="str">
            <v>05001</v>
          </cell>
          <cell r="J650" t="str">
            <v>VENTA DE BIENES</v>
          </cell>
          <cell r="K650">
            <v>4659</v>
          </cell>
          <cell r="L650">
            <v>219</v>
          </cell>
          <cell r="M650">
            <v>3172217</v>
          </cell>
        </row>
        <row r="651">
          <cell r="A651">
            <v>900860284</v>
          </cell>
          <cell r="B651" t="str">
            <v>BBI COLOMBIA SAS</v>
          </cell>
          <cell r="C651" t="str">
            <v>315 4598487</v>
          </cell>
          <cell r="D651">
            <v>3154598487</v>
          </cell>
          <cell r="E651" t="str">
            <v>Luis.ayala@bbi.com.co</v>
          </cell>
          <cell r="F651" t="str">
            <v>Centro Industrial Buenos Aires Km 2 Vía Colpapel Etapa</v>
          </cell>
          <cell r="G651" t="str">
            <v>25</v>
          </cell>
          <cell r="H651" t="str">
            <v>817</v>
          </cell>
          <cell r="I651" t="str">
            <v>25817</v>
          </cell>
          <cell r="J651" t="str">
            <v>VENTA DE BIENES</v>
          </cell>
          <cell r="K651">
            <v>4659</v>
          </cell>
          <cell r="L651">
            <v>219</v>
          </cell>
          <cell r="M651">
            <v>8034208</v>
          </cell>
        </row>
        <row r="652">
          <cell r="A652">
            <v>900872171</v>
          </cell>
          <cell r="B652" t="str">
            <v>SEG ENERGY GROUP SAS</v>
          </cell>
          <cell r="C652" t="str">
            <v>+57000</v>
          </cell>
          <cell r="E652" t="str">
            <v>FACTURA.SEGENERGY@GMAIL.COM</v>
          </cell>
          <cell r="F652" t="str">
            <v/>
          </cell>
          <cell r="G652" t="str">
            <v>76</v>
          </cell>
          <cell r="H652" t="str">
            <v>001</v>
          </cell>
          <cell r="I652" t="str">
            <v>76001</v>
          </cell>
          <cell r="J652" t="str">
            <v>VENTA DE BIENES</v>
          </cell>
          <cell r="K652">
            <v>4659</v>
          </cell>
          <cell r="L652">
            <v>219</v>
          </cell>
          <cell r="M652">
            <v>4686907</v>
          </cell>
        </row>
        <row r="653">
          <cell r="A653">
            <v>900874191</v>
          </cell>
          <cell r="B653" t="str">
            <v>IGCP INGENIERIA S.A.S</v>
          </cell>
          <cell r="C653" t="str">
            <v>311 3326154</v>
          </cell>
          <cell r="D653">
            <v>3113326154</v>
          </cell>
          <cell r="E653" t="str">
            <v>IGNACIO.CHAVES@IGCPINGENIERIA.COM</v>
          </cell>
          <cell r="F653" t="str">
            <v>Calle 13 # 4 - 32 Apto 103  Edificio Torre Santamaria</v>
          </cell>
          <cell r="G653">
            <v>17</v>
          </cell>
          <cell r="H653" t="str">
            <v>001</v>
          </cell>
          <cell r="I653" t="str">
            <v>17001</v>
          </cell>
          <cell r="J653" t="str">
            <v>VENTA DE BIENES</v>
          </cell>
          <cell r="K653">
            <v>4659</v>
          </cell>
          <cell r="L653">
            <v>219</v>
          </cell>
          <cell r="M653">
            <v>104478730</v>
          </cell>
        </row>
        <row r="654">
          <cell r="A654">
            <v>900874191</v>
          </cell>
          <cell r="B654" t="str">
            <v>IGCP INGENIERIA S.A.S</v>
          </cell>
          <cell r="C654" t="str">
            <v>311 3326154</v>
          </cell>
          <cell r="D654">
            <v>3113326154</v>
          </cell>
          <cell r="E654" t="str">
            <v>IGNACIO.CHAVES@IGCPINGENIERIA.COM</v>
          </cell>
          <cell r="F654" t="str">
            <v>Calle 13 # 4 - 32 Apto 103  Edificio Torre Santamaria</v>
          </cell>
          <cell r="G654">
            <v>17</v>
          </cell>
          <cell r="H654" t="str">
            <v>001</v>
          </cell>
          <cell r="I654" t="str">
            <v>17001</v>
          </cell>
          <cell r="J654" t="str">
            <v>42 GRAVADOS</v>
          </cell>
          <cell r="K654">
            <v>4659</v>
          </cell>
          <cell r="L654">
            <v>219</v>
          </cell>
          <cell r="M654">
            <v>3403146</v>
          </cell>
        </row>
        <row r="655">
          <cell r="A655">
            <v>900875272</v>
          </cell>
          <cell r="B655" t="str">
            <v>BEMA SAS</v>
          </cell>
          <cell r="C655" t="str">
            <v>316 8339822</v>
          </cell>
          <cell r="D655">
            <v>3168339822</v>
          </cell>
          <cell r="E655" t="str">
            <v>fodirector.eche@gmail.com</v>
          </cell>
          <cell r="F655" t="str">
            <v>calle 108a no 4-12</v>
          </cell>
          <cell r="G655" t="str">
            <v>11</v>
          </cell>
          <cell r="H655" t="str">
            <v>001</v>
          </cell>
          <cell r="I655" t="str">
            <v>11001</v>
          </cell>
          <cell r="J655" t="str">
            <v>VENTA DE BIENES</v>
          </cell>
          <cell r="K655">
            <v>4659</v>
          </cell>
          <cell r="L655">
            <v>219</v>
          </cell>
          <cell r="M655">
            <v>4617346</v>
          </cell>
        </row>
        <row r="656">
          <cell r="A656">
            <v>900880355</v>
          </cell>
          <cell r="B656" t="str">
            <v>SACHEM ELECTRONIC SAS</v>
          </cell>
          <cell r="C656" t="str">
            <v>+57000</v>
          </cell>
          <cell r="E656" t="str">
            <v>facturacion@sachemelectronic.com</v>
          </cell>
          <cell r="F656" t="str">
            <v>CL 25 D 85 C 80 OF 302</v>
          </cell>
          <cell r="G656" t="str">
            <v>11</v>
          </cell>
          <cell r="H656" t="str">
            <v>001</v>
          </cell>
          <cell r="I656" t="str">
            <v>11001</v>
          </cell>
          <cell r="J656" t="str">
            <v>VENTA DE BIENES</v>
          </cell>
          <cell r="K656">
            <v>4659</v>
          </cell>
          <cell r="L656">
            <v>219</v>
          </cell>
          <cell r="M656">
            <v>43069133</v>
          </cell>
        </row>
        <row r="657">
          <cell r="A657">
            <v>900887622</v>
          </cell>
          <cell r="B657" t="str">
            <v>TECNOLOGIA EN PROYECTOS INDUSTRIALES S.A.S.</v>
          </cell>
          <cell r="C657" t="str">
            <v>+570000</v>
          </cell>
          <cell r="E657" t="str">
            <v>CONTABILIDAD@TECPI.CO</v>
          </cell>
          <cell r="F657" t="str">
            <v>CL 64 103 A 69</v>
          </cell>
          <cell r="G657" t="str">
            <v>11</v>
          </cell>
          <cell r="H657" t="str">
            <v>001</v>
          </cell>
          <cell r="I657" t="str">
            <v>11001</v>
          </cell>
          <cell r="J657" t="str">
            <v>VENTA DE BIENES</v>
          </cell>
          <cell r="K657">
            <v>4659</v>
          </cell>
          <cell r="L657">
            <v>219</v>
          </cell>
          <cell r="M657">
            <v>2930697</v>
          </cell>
        </row>
        <row r="658">
          <cell r="A658">
            <v>900893137</v>
          </cell>
          <cell r="B658" t="str">
            <v>NOVA CONTROL S.A.S.</v>
          </cell>
          <cell r="C658" t="str">
            <v>+570000</v>
          </cell>
          <cell r="E658" t="str">
            <v>JHGRISALES@NOVACONTROL.CO</v>
          </cell>
          <cell r="F658" t="str">
            <v>CR 83 48 B B 9</v>
          </cell>
          <cell r="G658" t="str">
            <v>05</v>
          </cell>
          <cell r="H658" t="str">
            <v>001</v>
          </cell>
          <cell r="I658" t="str">
            <v>05001</v>
          </cell>
          <cell r="J658" t="str">
            <v>VENTA DE BIENES</v>
          </cell>
          <cell r="K658">
            <v>4659</v>
          </cell>
          <cell r="L658">
            <v>219</v>
          </cell>
          <cell r="M658">
            <v>3097018</v>
          </cell>
        </row>
        <row r="659">
          <cell r="A659">
            <v>900897386</v>
          </cell>
          <cell r="B659" t="str">
            <v>SMC COLOMBIA S A S</v>
          </cell>
          <cell r="C659" t="str">
            <v>7455002</v>
          </cell>
          <cell r="D659" t="str">
            <v>7455002</v>
          </cell>
          <cell r="E659" t="str">
            <v>facturaelectronica@smc.com.co</v>
          </cell>
          <cell r="F659" t="str">
            <v>PAR INDUSTRIAL GRAN SABANA ED 34</v>
          </cell>
          <cell r="G659" t="str">
            <v>25</v>
          </cell>
          <cell r="H659" t="str">
            <v>817</v>
          </cell>
          <cell r="I659" t="str">
            <v>25817</v>
          </cell>
          <cell r="J659" t="str">
            <v>VENTA DE BIENES</v>
          </cell>
          <cell r="K659">
            <v>4659</v>
          </cell>
          <cell r="L659">
            <v>219</v>
          </cell>
          <cell r="M659">
            <v>633237</v>
          </cell>
        </row>
        <row r="660">
          <cell r="A660">
            <v>900904190</v>
          </cell>
          <cell r="B660" t="str">
            <v>DISTRIBUCIONES ELECTRICAS MRL S.A.S.</v>
          </cell>
          <cell r="E660" t="str">
            <v>distelectricasmrl@hotmail.com</v>
          </cell>
          <cell r="F660" t="str">
            <v>CR 56 50 68</v>
          </cell>
          <cell r="G660" t="str">
            <v>05</v>
          </cell>
          <cell r="H660" t="str">
            <v>001</v>
          </cell>
          <cell r="I660" t="str">
            <v>05001</v>
          </cell>
          <cell r="J660" t="str">
            <v>VENTA DE BIENES</v>
          </cell>
          <cell r="K660">
            <v>4659</v>
          </cell>
          <cell r="L660">
            <v>219</v>
          </cell>
          <cell r="M660">
            <v>809575</v>
          </cell>
        </row>
        <row r="661">
          <cell r="A661">
            <v>900904190</v>
          </cell>
          <cell r="B661" t="str">
            <v>DISTRIBUCIONES ELECTRICAS MRL S.A.S.</v>
          </cell>
          <cell r="E661" t="str">
            <v>distelectricasmrl@hotmail.com</v>
          </cell>
          <cell r="F661" t="str">
            <v>CR 56 50 68</v>
          </cell>
          <cell r="G661" t="str">
            <v>05</v>
          </cell>
          <cell r="H661" t="str">
            <v>001</v>
          </cell>
          <cell r="I661" t="str">
            <v>05001</v>
          </cell>
          <cell r="J661" t="str">
            <v>TRANSPORTE</v>
          </cell>
          <cell r="K661">
            <v>3312</v>
          </cell>
          <cell r="L661">
            <v>334</v>
          </cell>
          <cell r="M661">
            <v>35000</v>
          </cell>
        </row>
        <row r="662">
          <cell r="A662">
            <v>900905234</v>
          </cell>
          <cell r="B662" t="str">
            <v>SUPPLIE INDUSTRIALES SAS</v>
          </cell>
          <cell r="C662" t="str">
            <v>301 2473684</v>
          </cell>
          <cell r="D662">
            <v>3012473684</v>
          </cell>
          <cell r="E662" t="str">
            <v>financiera@s-industriales.com</v>
          </cell>
          <cell r="F662" t="str">
            <v/>
          </cell>
          <cell r="G662" t="str">
            <v>11</v>
          </cell>
          <cell r="H662" t="str">
            <v>001</v>
          </cell>
          <cell r="I662" t="str">
            <v>11001</v>
          </cell>
          <cell r="J662" t="str">
            <v>VENTA DE BIENES</v>
          </cell>
          <cell r="K662">
            <v>4659</v>
          </cell>
          <cell r="L662">
            <v>219</v>
          </cell>
          <cell r="M662">
            <v>29156161</v>
          </cell>
        </row>
        <row r="663">
          <cell r="A663">
            <v>900907364</v>
          </cell>
          <cell r="B663" t="str">
            <v>EMPRESA COLOMBIANA DE CEMENTOS S.A.S</v>
          </cell>
          <cell r="C663" t="str">
            <v>3787353</v>
          </cell>
          <cell r="D663" t="str">
            <v>3787353</v>
          </cell>
          <cell r="E663" t="str">
            <v>rec_fact_ec@alion.com.co</v>
          </cell>
          <cell r="F663" t="str">
            <v>AUT MEDELLIN BOGOTA 600 ADL DEL PUENTE SOBRE EL RIO CLARO</v>
          </cell>
          <cell r="G663" t="str">
            <v>05</v>
          </cell>
          <cell r="H663" t="str">
            <v>756</v>
          </cell>
          <cell r="I663" t="str">
            <v>05756</v>
          </cell>
          <cell r="J663" t="str">
            <v>VENTA DE BIENES</v>
          </cell>
          <cell r="K663">
            <v>4659</v>
          </cell>
          <cell r="L663">
            <v>219</v>
          </cell>
          <cell r="M663">
            <v>22420160</v>
          </cell>
        </row>
        <row r="664">
          <cell r="A664">
            <v>900910840</v>
          </cell>
          <cell r="B664" t="str">
            <v>MONTAJES ELECTRICOS Y DE TELECOMUNICACIONES SAS</v>
          </cell>
          <cell r="C664" t="str">
            <v>+570000</v>
          </cell>
          <cell r="E664" t="str">
            <v>FACTURACION@MET.COM.CO</v>
          </cell>
          <cell r="F664" t="str">
            <v>CL 36 45 120</v>
          </cell>
          <cell r="G664" t="str">
            <v>08</v>
          </cell>
          <cell r="H664" t="str">
            <v>001</v>
          </cell>
          <cell r="I664" t="str">
            <v>08001</v>
          </cell>
          <cell r="J664" t="str">
            <v>VENTA DE BIENES</v>
          </cell>
          <cell r="K664">
            <v>4659</v>
          </cell>
          <cell r="L664">
            <v>219</v>
          </cell>
          <cell r="M664">
            <v>4727257</v>
          </cell>
        </row>
        <row r="665">
          <cell r="A665">
            <v>900918129</v>
          </cell>
          <cell r="B665" t="str">
            <v>TRANSPORTES RO S.A.S</v>
          </cell>
          <cell r="C665" t="str">
            <v>310 7877210</v>
          </cell>
          <cell r="D665">
            <v>3107877210</v>
          </cell>
          <cell r="E665" t="str">
            <v>transportes.ro@hotmail.com</v>
          </cell>
          <cell r="F665" t="str">
            <v>CL 17 D 119 A 10</v>
          </cell>
          <cell r="G665" t="str">
            <v>11</v>
          </cell>
          <cell r="H665" t="str">
            <v>001</v>
          </cell>
          <cell r="I665" t="str">
            <v>11001</v>
          </cell>
          <cell r="J665" t="str">
            <v>VENTA DE BIENES</v>
          </cell>
          <cell r="K665">
            <v>4659</v>
          </cell>
          <cell r="L665">
            <v>219</v>
          </cell>
          <cell r="M665">
            <v>108360</v>
          </cell>
        </row>
        <row r="666">
          <cell r="A666">
            <v>900928247</v>
          </cell>
          <cell r="B666" t="str">
            <v>AUTCOL SAS</v>
          </cell>
          <cell r="C666" t="str">
            <v>+570000</v>
          </cell>
          <cell r="E666" t="str">
            <v>JFBETANCOURT@AUTCOL.COM.CO</v>
          </cell>
          <cell r="F666" t="str">
            <v>CRA 38A # 25B - 16 PISO 2</v>
          </cell>
          <cell r="G666" t="str">
            <v>11</v>
          </cell>
          <cell r="H666" t="str">
            <v>001</v>
          </cell>
          <cell r="I666" t="str">
            <v>11001</v>
          </cell>
          <cell r="J666" t="str">
            <v>VENTA DE BIENES</v>
          </cell>
          <cell r="K666">
            <v>4659</v>
          </cell>
          <cell r="L666">
            <v>219</v>
          </cell>
          <cell r="M666">
            <v>60800</v>
          </cell>
        </row>
        <row r="667">
          <cell r="A667">
            <v>900932581</v>
          </cell>
          <cell r="B667" t="str">
            <v>SUNVOLT S.A.S</v>
          </cell>
          <cell r="C667" t="str">
            <v>312 5711625</v>
          </cell>
          <cell r="D667">
            <v>3125711625</v>
          </cell>
          <cell r="E667" t="str">
            <v>ADMINISTRATIVA@SUNVOLT.COM.CO</v>
          </cell>
          <cell r="F667" t="str">
            <v>CR 39 5 A - 95 OF 401</v>
          </cell>
          <cell r="G667" t="str">
            <v>05</v>
          </cell>
          <cell r="H667" t="str">
            <v>001</v>
          </cell>
          <cell r="I667" t="str">
            <v>05001</v>
          </cell>
          <cell r="J667" t="str">
            <v>VENTA DE BIENES</v>
          </cell>
          <cell r="K667">
            <v>4659</v>
          </cell>
          <cell r="L667">
            <v>219</v>
          </cell>
          <cell r="M667">
            <v>4747408</v>
          </cell>
        </row>
        <row r="668">
          <cell r="A668">
            <v>900938817</v>
          </cell>
          <cell r="B668" t="str">
            <v>L3 INGENIEROS S.A.S</v>
          </cell>
          <cell r="C668" t="str">
            <v>+570000</v>
          </cell>
          <cell r="E668" t="str">
            <v>PROYECTOS@L3INGENIEROS.COM</v>
          </cell>
          <cell r="F668" t="str">
            <v>CL 53 C 6 F 34</v>
          </cell>
          <cell r="G668" t="str">
            <v>08</v>
          </cell>
          <cell r="H668">
            <v>758</v>
          </cell>
          <cell r="I668" t="str">
            <v>08758</v>
          </cell>
          <cell r="J668" t="str">
            <v>VENTA DE BIENES</v>
          </cell>
          <cell r="K668">
            <v>4659</v>
          </cell>
          <cell r="L668">
            <v>219</v>
          </cell>
          <cell r="M668">
            <v>3131453</v>
          </cell>
        </row>
        <row r="669">
          <cell r="A669">
            <v>900940623</v>
          </cell>
          <cell r="B669" t="str">
            <v>AUTOMATIZAR Y COMPAÑÍA SAS</v>
          </cell>
          <cell r="C669" t="str">
            <v>+570000</v>
          </cell>
          <cell r="E669" t="str">
            <v>FACTURAS@AUTOMATIZAR.COM.CO</v>
          </cell>
          <cell r="F669" t="str">
            <v>KM 4 VIA PANAMERICANA PARQUE CENTRO BG 7 D</v>
          </cell>
          <cell r="G669">
            <v>17</v>
          </cell>
          <cell r="H669" t="str">
            <v>873</v>
          </cell>
          <cell r="I669" t="str">
            <v>17873</v>
          </cell>
          <cell r="J669" t="str">
            <v>VENTA DE BIENES</v>
          </cell>
          <cell r="K669">
            <v>4659</v>
          </cell>
          <cell r="L669">
            <v>219</v>
          </cell>
          <cell r="M669">
            <v>143960736</v>
          </cell>
        </row>
        <row r="670">
          <cell r="A670">
            <v>900948961</v>
          </cell>
          <cell r="B670" t="str">
            <v>EL PARAISO ELECTRICO SAS</v>
          </cell>
          <cell r="C670" t="str">
            <v>+570000</v>
          </cell>
          <cell r="E670" t="str">
            <v>RECEPCIONFEELPARAISOELECTRICO@GMAIL.COM</v>
          </cell>
          <cell r="F670" t="str">
            <v>CL 34 94 143 K3</v>
          </cell>
          <cell r="G670" t="str">
            <v>76</v>
          </cell>
          <cell r="H670" t="str">
            <v>001</v>
          </cell>
          <cell r="I670" t="str">
            <v>76001</v>
          </cell>
          <cell r="J670" t="str">
            <v>VENTA DE BIENES</v>
          </cell>
          <cell r="K670">
            <v>4659</v>
          </cell>
          <cell r="L670">
            <v>219</v>
          </cell>
          <cell r="M670">
            <v>1979589</v>
          </cell>
        </row>
        <row r="671">
          <cell r="A671">
            <v>900951629</v>
          </cell>
          <cell r="B671" t="str">
            <v>CUSTOM  CONTROL COLOMBIA S.A.S</v>
          </cell>
          <cell r="C671" t="str">
            <v>316 7154523</v>
          </cell>
          <cell r="D671">
            <v>3167154523</v>
          </cell>
          <cell r="E671" t="str">
            <v>administracion@customcontrol.com.co</v>
          </cell>
          <cell r="F671" t="str">
            <v>CL 26 92 32 OF 3 145 ED CONECTA G 2 3</v>
          </cell>
          <cell r="G671" t="str">
            <v>11</v>
          </cell>
          <cell r="H671" t="str">
            <v>001</v>
          </cell>
          <cell r="I671" t="str">
            <v>11001</v>
          </cell>
          <cell r="J671" t="str">
            <v>VENTA DE BIENES</v>
          </cell>
          <cell r="K671">
            <v>4659</v>
          </cell>
          <cell r="L671">
            <v>219</v>
          </cell>
          <cell r="M671">
            <v>10314720</v>
          </cell>
        </row>
        <row r="672">
          <cell r="A672">
            <v>900954350</v>
          </cell>
          <cell r="B672" t="str">
            <v>FC-MECATRONICA S.A.S</v>
          </cell>
          <cell r="C672" t="str">
            <v>+570000</v>
          </cell>
          <cell r="E672" t="str">
            <v>CONTABILIDADFCMECATRONICA@GMAIL.COM</v>
          </cell>
          <cell r="F672" t="str">
            <v>CL 10 24 43 AV CENTENARIO</v>
          </cell>
          <cell r="G672" t="str">
            <v>17</v>
          </cell>
          <cell r="H672" t="str">
            <v>001</v>
          </cell>
          <cell r="I672" t="str">
            <v>17001</v>
          </cell>
          <cell r="J672" t="str">
            <v>VENTA DE BIENES</v>
          </cell>
          <cell r="K672">
            <v>4659</v>
          </cell>
          <cell r="L672">
            <v>219</v>
          </cell>
          <cell r="M672">
            <v>25136081</v>
          </cell>
        </row>
        <row r="673">
          <cell r="A673">
            <v>900964960</v>
          </cell>
          <cell r="B673" t="str">
            <v>CIME ELECTRICOS SAS</v>
          </cell>
          <cell r="C673" t="str">
            <v>+570000</v>
          </cell>
          <cell r="E673" t="str">
            <v>facturacioncimeelectricos@gmail.com</v>
          </cell>
          <cell r="F673" t="str">
            <v>CRA 67A N° 11 - 34</v>
          </cell>
          <cell r="G673" t="str">
            <v>11</v>
          </cell>
          <cell r="H673" t="str">
            <v>001</v>
          </cell>
          <cell r="I673" t="str">
            <v>11001</v>
          </cell>
          <cell r="J673" t="str">
            <v>VENTA DE BIENES</v>
          </cell>
          <cell r="K673">
            <v>4659</v>
          </cell>
          <cell r="L673">
            <v>219</v>
          </cell>
          <cell r="M673">
            <v>4788000</v>
          </cell>
        </row>
        <row r="674">
          <cell r="A674">
            <v>900967809</v>
          </cell>
          <cell r="B674" t="str">
            <v>NOVALENE ZONA FRANCA S.A.S</v>
          </cell>
          <cell r="C674" t="str">
            <v>313 3966813</v>
          </cell>
          <cell r="D674">
            <v>3133966813</v>
          </cell>
          <cell r="E674" t="str">
            <v>rfe_novalene@novalene.com</v>
          </cell>
          <cell r="F674" t="str">
            <v>AV TRONCAL DE OCCIDENTE 20 85</v>
          </cell>
          <cell r="G674">
            <v>25</v>
          </cell>
          <cell r="H674" t="str">
            <v>473</v>
          </cell>
          <cell r="I674" t="str">
            <v>25473</v>
          </cell>
          <cell r="J674" t="str">
            <v>VENTA DE BIENES</v>
          </cell>
          <cell r="K674">
            <v>4659</v>
          </cell>
          <cell r="L674">
            <v>219</v>
          </cell>
          <cell r="M674">
            <v>6496173</v>
          </cell>
        </row>
        <row r="675">
          <cell r="A675">
            <v>900970461</v>
          </cell>
          <cell r="B675" t="str">
            <v>INVERSIONES TOLOZA MEJIA SAS</v>
          </cell>
          <cell r="E675" t="str">
            <v>facturacion.cookiescol@hotmail.com</v>
          </cell>
          <cell r="F675" t="str">
            <v>CR 71 5 13 P 1</v>
          </cell>
          <cell r="G675" t="str">
            <v>11</v>
          </cell>
          <cell r="H675" t="str">
            <v>001</v>
          </cell>
          <cell r="I675" t="str">
            <v>11001</v>
          </cell>
          <cell r="J675" t="str">
            <v>VENTA DE BIENES</v>
          </cell>
          <cell r="K675">
            <v>4659</v>
          </cell>
          <cell r="L675">
            <v>219</v>
          </cell>
          <cell r="M675">
            <v>1958302</v>
          </cell>
        </row>
        <row r="676">
          <cell r="A676">
            <v>900971077</v>
          </cell>
          <cell r="B676" t="str">
            <v>SOLUCIONES TECNOLOGICAS INTEGRALES DUCOM SAS</v>
          </cell>
          <cell r="E676" t="str">
            <v>tecnoducom@gmail.com</v>
          </cell>
          <cell r="F676" t="str">
            <v>CALLE 6 SUR 23 51 MULTIFAMILIAR 3 CASA 2 COND SANTAMARIA 2</v>
          </cell>
          <cell r="G676" t="str">
            <v>50</v>
          </cell>
          <cell r="H676" t="str">
            <v>001</v>
          </cell>
          <cell r="I676" t="str">
            <v>50001</v>
          </cell>
          <cell r="J676" t="str">
            <v>VENTA DE BIENES</v>
          </cell>
          <cell r="K676">
            <v>4659</v>
          </cell>
          <cell r="L676">
            <v>219</v>
          </cell>
          <cell r="M676">
            <v>1662160</v>
          </cell>
        </row>
        <row r="677">
          <cell r="A677">
            <v>900974289</v>
          </cell>
          <cell r="B677" t="str">
            <v>GIRSOL SAS</v>
          </cell>
          <cell r="C677" t="str">
            <v>321 4518801</v>
          </cell>
          <cell r="D677">
            <v>3214518801</v>
          </cell>
          <cell r="E677" t="str">
            <v>info@girsol.com.co</v>
          </cell>
          <cell r="F677" t="str">
            <v>CALLE 18A 69F 36</v>
          </cell>
          <cell r="G677" t="str">
            <v>11</v>
          </cell>
          <cell r="H677" t="str">
            <v>001</v>
          </cell>
          <cell r="I677" t="str">
            <v>11001</v>
          </cell>
          <cell r="J677" t="str">
            <v>VENTA DE BIENES</v>
          </cell>
          <cell r="K677">
            <v>4659</v>
          </cell>
          <cell r="L677">
            <v>219</v>
          </cell>
          <cell r="M677">
            <v>7879040</v>
          </cell>
        </row>
        <row r="678">
          <cell r="A678">
            <v>900976727</v>
          </cell>
          <cell r="B678" t="str">
            <v>IDEAL SOLUTIONS S.A.S.</v>
          </cell>
          <cell r="C678" t="str">
            <v>+570000</v>
          </cell>
          <cell r="E678" t="str">
            <v>RADICACION.TUFACTURA@COLSEIN.COM.CO</v>
          </cell>
          <cell r="F678" t="str">
            <v/>
          </cell>
          <cell r="G678">
            <v>25</v>
          </cell>
          <cell r="H678" t="str">
            <v>126</v>
          </cell>
          <cell r="I678" t="str">
            <v>25126</v>
          </cell>
          <cell r="J678" t="str">
            <v>VENTA DE BIENES</v>
          </cell>
          <cell r="K678">
            <v>4659</v>
          </cell>
          <cell r="L678">
            <v>219</v>
          </cell>
          <cell r="M678">
            <v>9888475</v>
          </cell>
        </row>
        <row r="679">
          <cell r="A679">
            <v>900993555</v>
          </cell>
          <cell r="B679" t="str">
            <v>HECTOR CARRANZA CONSTRUCTORA SAS</v>
          </cell>
          <cell r="C679" t="str">
            <v>300 8433872</v>
          </cell>
          <cell r="D679">
            <v>3008433872</v>
          </cell>
          <cell r="E679" t="str">
            <v>hectorcarranza5@hotmail.com</v>
          </cell>
          <cell r="F679" t="str">
            <v>CR 15 12 28</v>
          </cell>
          <cell r="G679">
            <v>70</v>
          </cell>
          <cell r="H679" t="str">
            <v>001</v>
          </cell>
          <cell r="I679" t="str">
            <v>70001</v>
          </cell>
          <cell r="J679" t="str">
            <v>VENTA DE BIENES</v>
          </cell>
          <cell r="K679">
            <v>4659</v>
          </cell>
          <cell r="L679">
            <v>219</v>
          </cell>
          <cell r="M679">
            <v>7064838</v>
          </cell>
        </row>
        <row r="680">
          <cell r="A680">
            <v>900993885</v>
          </cell>
          <cell r="B680" t="str">
            <v>TERRAMAS SAS</v>
          </cell>
          <cell r="C680" t="str">
            <v>311 3756852</v>
          </cell>
          <cell r="D680">
            <v>3113756852</v>
          </cell>
          <cell r="E680" t="str">
            <v>gerencia@tierramascotas.com</v>
          </cell>
          <cell r="F680" t="str">
            <v>CR 36 A 6 26</v>
          </cell>
          <cell r="G680" t="str">
            <v>76</v>
          </cell>
          <cell r="H680" t="str">
            <v>001</v>
          </cell>
          <cell r="I680" t="str">
            <v>76001</v>
          </cell>
          <cell r="J680" t="str">
            <v>VENTA DE BIENES</v>
          </cell>
          <cell r="K680">
            <v>4659</v>
          </cell>
          <cell r="L680">
            <v>219</v>
          </cell>
          <cell r="M680">
            <v>1161600</v>
          </cell>
        </row>
        <row r="681">
          <cell r="A681">
            <v>900994125</v>
          </cell>
          <cell r="B681" t="str">
            <v>FILTROS PARTMO S.A.S.</v>
          </cell>
          <cell r="C681" t="str">
            <v>+570000</v>
          </cell>
          <cell r="E681" t="str">
            <v>PARTMOPURCHASEINVOICES@DONALDSON.COM</v>
          </cell>
          <cell r="F681" t="str">
            <v>CL1  3 15 KM 7 VIA PALENQUE CAFE MADRID PAR INSDUSTRIAL</v>
          </cell>
          <cell r="G681" t="str">
            <v>68</v>
          </cell>
          <cell r="H681" t="str">
            <v>001</v>
          </cell>
          <cell r="I681" t="str">
            <v>68001</v>
          </cell>
          <cell r="J681" t="str">
            <v>VENTA DE BIENES</v>
          </cell>
          <cell r="K681">
            <v>4659</v>
          </cell>
          <cell r="L681">
            <v>219</v>
          </cell>
          <cell r="M681">
            <v>3065040</v>
          </cell>
        </row>
        <row r="682">
          <cell r="A682">
            <v>901001983</v>
          </cell>
          <cell r="B682" t="str">
            <v>TEICOM TECNOLOGIAS EN COMBUSTION S.A.S</v>
          </cell>
          <cell r="C682" t="str">
            <v>+570000</v>
          </cell>
          <cell r="E682" t="str">
            <v>TEICOMSAS.INFO@GMAIL.COM</v>
          </cell>
          <cell r="F682" t="str">
            <v>CR 35 95 71 BRR CIUDAD DEL CAMPO</v>
          </cell>
          <cell r="G682" t="str">
            <v>76</v>
          </cell>
          <cell r="H682" t="str">
            <v>520</v>
          </cell>
          <cell r="I682" t="str">
            <v>76520</v>
          </cell>
          <cell r="J682" t="str">
            <v>VENTA DE BIENES</v>
          </cell>
          <cell r="K682">
            <v>4659</v>
          </cell>
          <cell r="L682">
            <v>219</v>
          </cell>
          <cell r="M682">
            <v>1238160</v>
          </cell>
        </row>
        <row r="683">
          <cell r="A683">
            <v>901005166</v>
          </cell>
          <cell r="B683" t="str">
            <v>AUDITORES Y CONSULTORES SAS</v>
          </cell>
          <cell r="E683" t="str">
            <v>info@audicons.com.co</v>
          </cell>
          <cell r="F683" t="str">
            <v>CR 23 62 39 OF 901 B CENTRO EMPRESARIAL CAPITALIA</v>
          </cell>
          <cell r="G683" t="str">
            <v>17</v>
          </cell>
          <cell r="H683" t="str">
            <v>001</v>
          </cell>
          <cell r="I683" t="str">
            <v>17001</v>
          </cell>
          <cell r="J683" t="str">
            <v>VENTA DE BIENES</v>
          </cell>
          <cell r="K683">
            <v>4659</v>
          </cell>
          <cell r="L683">
            <v>219</v>
          </cell>
          <cell r="M683">
            <v>15867000</v>
          </cell>
        </row>
        <row r="684">
          <cell r="A684">
            <v>901010141</v>
          </cell>
          <cell r="B684" t="str">
            <v>INGENIERÍA AVANZADA INAV S.A.S.</v>
          </cell>
          <cell r="C684" t="str">
            <v>+570000</v>
          </cell>
          <cell r="E684" t="str">
            <v>FACTURACION@INAV.COM.CO</v>
          </cell>
          <cell r="F684" t="str">
            <v>CR 56 167 A 25 LC 5</v>
          </cell>
          <cell r="G684" t="str">
            <v>11</v>
          </cell>
          <cell r="H684" t="str">
            <v>001</v>
          </cell>
          <cell r="I684" t="str">
            <v>11001</v>
          </cell>
          <cell r="J684" t="str">
            <v>SERV MTTO</v>
          </cell>
          <cell r="K684">
            <v>3312</v>
          </cell>
          <cell r="L684">
            <v>334</v>
          </cell>
          <cell r="M684">
            <v>400000</v>
          </cell>
        </row>
        <row r="685">
          <cell r="A685">
            <v>901010141</v>
          </cell>
          <cell r="B685" t="str">
            <v>INGENIERÍA AVANZADA INAV S.A.S.</v>
          </cell>
          <cell r="C685" t="str">
            <v>+570000</v>
          </cell>
          <cell r="E685" t="str">
            <v>FACTURACION@INAV.COM.CO</v>
          </cell>
          <cell r="F685" t="str">
            <v>CR 56 167 A 25 LC 5</v>
          </cell>
          <cell r="G685" t="str">
            <v>11</v>
          </cell>
          <cell r="H685" t="str">
            <v>001</v>
          </cell>
          <cell r="I685" t="str">
            <v>11001</v>
          </cell>
          <cell r="J685" t="str">
            <v>VENTA DE BIENES</v>
          </cell>
          <cell r="K685">
            <v>4659</v>
          </cell>
          <cell r="L685">
            <v>219</v>
          </cell>
          <cell r="M685">
            <v>1025493.64</v>
          </cell>
        </row>
        <row r="686">
          <cell r="A686">
            <v>901038018</v>
          </cell>
          <cell r="B686" t="str">
            <v>VC999 PACKAGING SYSTEMS COLOMBIA S.A.S.</v>
          </cell>
          <cell r="C686" t="str">
            <v>+570000</v>
          </cell>
          <cell r="E686" t="str">
            <v>PROVEEDORES.CO@VC999.COM</v>
          </cell>
          <cell r="F686" t="str">
            <v>PAR INDUSTRIAL PORTOS SABANA 80 BG 18 KM 2 5 AUT MEDELLIN</v>
          </cell>
          <cell r="G686" t="str">
            <v>25</v>
          </cell>
          <cell r="H686" t="str">
            <v>214</v>
          </cell>
          <cell r="I686" t="str">
            <v>25214</v>
          </cell>
          <cell r="J686" t="str">
            <v>VENTA DE BIENES</v>
          </cell>
          <cell r="K686">
            <v>4659</v>
          </cell>
          <cell r="L686">
            <v>219</v>
          </cell>
          <cell r="M686">
            <v>2554159</v>
          </cell>
        </row>
        <row r="687">
          <cell r="A687">
            <v>901038645</v>
          </cell>
          <cell r="B687" t="str">
            <v>MOTA-ENGIL LATAM COLOMBIA SAS</v>
          </cell>
          <cell r="C687" t="str">
            <v>+570000</v>
          </cell>
          <cell r="E687" t="str">
            <v>901038645@RECEPCIONDEFACTURAS.CO</v>
          </cell>
          <cell r="F687" t="str">
            <v>CL 81 11 08 P 9 ED EMPRESARIAL MASTER 8111</v>
          </cell>
          <cell r="G687" t="str">
            <v>11</v>
          </cell>
          <cell r="H687" t="str">
            <v>001</v>
          </cell>
          <cell r="I687" t="str">
            <v>11001</v>
          </cell>
          <cell r="J687" t="str">
            <v>VENTA DE BIENES</v>
          </cell>
          <cell r="K687">
            <v>4659</v>
          </cell>
          <cell r="L687">
            <v>219</v>
          </cell>
          <cell r="M687">
            <v>2718162</v>
          </cell>
        </row>
        <row r="688">
          <cell r="A688">
            <v>901038783</v>
          </cell>
          <cell r="B688" t="str">
            <v>ENCERT INGENIERIA S.A.S</v>
          </cell>
          <cell r="C688" t="str">
            <v>+570000</v>
          </cell>
          <cell r="E688" t="str">
            <v>ENCERTSAS@GMAIL.COM</v>
          </cell>
          <cell r="F688" t="str">
            <v>Carrera 77 N° 45B-67</v>
          </cell>
          <cell r="G688" t="str">
            <v>05</v>
          </cell>
          <cell r="H688" t="str">
            <v>001</v>
          </cell>
          <cell r="I688" t="str">
            <v>05001</v>
          </cell>
          <cell r="J688" t="str">
            <v>VENTA DE BIENES</v>
          </cell>
          <cell r="K688">
            <v>4659</v>
          </cell>
          <cell r="L688">
            <v>219</v>
          </cell>
          <cell r="M688">
            <v>24443017</v>
          </cell>
        </row>
        <row r="689">
          <cell r="A689">
            <v>901038913</v>
          </cell>
          <cell r="B689" t="str">
            <v>MECATROCOL INGENIERIA SAS</v>
          </cell>
          <cell r="C689" t="str">
            <v>311 5564798</v>
          </cell>
          <cell r="D689">
            <v>3115564798</v>
          </cell>
          <cell r="E689" t="str">
            <v>administracion@mecatrocol.com</v>
          </cell>
          <cell r="F689" t="str">
            <v>CL 148 107 50 TO 12 AP 304 IMPERIAL RESERVADO 1</v>
          </cell>
          <cell r="G689" t="str">
            <v>11</v>
          </cell>
          <cell r="H689" t="str">
            <v>001</v>
          </cell>
          <cell r="I689" t="str">
            <v>11001</v>
          </cell>
          <cell r="J689" t="str">
            <v>VENTA DE BIENES</v>
          </cell>
          <cell r="K689">
            <v>4659</v>
          </cell>
          <cell r="L689">
            <v>219</v>
          </cell>
          <cell r="M689">
            <v>2325511</v>
          </cell>
        </row>
        <row r="690">
          <cell r="A690">
            <v>901058206</v>
          </cell>
          <cell r="B690" t="str">
            <v>GLOBAL IMC SAS</v>
          </cell>
          <cell r="C690" t="str">
            <v>+570000</v>
          </cell>
          <cell r="E690" t="str">
            <v>GLOBAL.IMC.INGENIERIABGA@GMAIL.COM</v>
          </cell>
          <cell r="F690" t="str">
            <v>CR 11 C 23 20 CA 8 CONJ LA ROSALEDA BRR LOS ROSALES</v>
          </cell>
          <cell r="G690" t="str">
            <v>68</v>
          </cell>
          <cell r="H690" t="str">
            <v>276</v>
          </cell>
          <cell r="I690" t="str">
            <v>68276</v>
          </cell>
          <cell r="J690" t="str">
            <v>VENTA DE BIENES</v>
          </cell>
          <cell r="K690">
            <v>4659</v>
          </cell>
          <cell r="L690">
            <v>219</v>
          </cell>
          <cell r="M690">
            <v>163557</v>
          </cell>
        </row>
        <row r="691">
          <cell r="A691">
            <v>901061156</v>
          </cell>
          <cell r="B691" t="str">
            <v>GENESYS AUTOMATION SAS</v>
          </cell>
          <cell r="C691" t="str">
            <v>316 4310949</v>
          </cell>
          <cell r="D691">
            <v>3164310949</v>
          </cell>
          <cell r="E691" t="str">
            <v>FACTURACION@GENESYSAUTOMATION.COM</v>
          </cell>
          <cell r="F691" t="str">
            <v>CL 68 B SUR 13 12</v>
          </cell>
          <cell r="G691">
            <v>11</v>
          </cell>
          <cell r="H691" t="str">
            <v>001</v>
          </cell>
          <cell r="I691" t="str">
            <v>11001</v>
          </cell>
          <cell r="J691" t="str">
            <v>VENTA DE BIENES</v>
          </cell>
          <cell r="K691">
            <v>4659</v>
          </cell>
          <cell r="L691">
            <v>219</v>
          </cell>
          <cell r="M691">
            <v>9518041</v>
          </cell>
        </row>
        <row r="692">
          <cell r="A692">
            <v>901067005</v>
          </cell>
          <cell r="B692" t="str">
            <v>MEDICION &amp; PESAJE SAS</v>
          </cell>
          <cell r="C692" t="str">
            <v>304 6636390</v>
          </cell>
          <cell r="D692">
            <v>3046636390</v>
          </cell>
          <cell r="E692" t="str">
            <v>comercialmedicionypesaje@gmail.com</v>
          </cell>
          <cell r="F692" t="str">
            <v>CR 75 1 58</v>
          </cell>
          <cell r="G692" t="str">
            <v>11</v>
          </cell>
          <cell r="H692" t="str">
            <v>001</v>
          </cell>
          <cell r="I692" t="str">
            <v>11001</v>
          </cell>
          <cell r="J692" t="str">
            <v>VENTA DE BIENES</v>
          </cell>
          <cell r="K692">
            <v>4659</v>
          </cell>
          <cell r="L692">
            <v>219</v>
          </cell>
          <cell r="M692">
            <v>2529680</v>
          </cell>
        </row>
        <row r="693">
          <cell r="A693">
            <v>901079460</v>
          </cell>
          <cell r="B693" t="str">
            <v>ZONA FRANCA CENTRAL CERVECERA SAS</v>
          </cell>
          <cell r="C693">
            <v>4823650</v>
          </cell>
          <cell r="D693">
            <v>4823650</v>
          </cell>
          <cell r="E693" t="str">
            <v>ZFRECEPCIONFACTURAS@CENTRALCERVECERA.COM</v>
          </cell>
          <cell r="F693" t="str">
            <v>KM 36 TRONCAL CENTRAL DEL NORTE AUTOPISTA BOGOTA TUNJA</v>
          </cell>
          <cell r="G693" t="str">
            <v>25</v>
          </cell>
          <cell r="H693" t="str">
            <v>736</v>
          </cell>
          <cell r="I693" t="str">
            <v>25736</v>
          </cell>
          <cell r="J693" t="str">
            <v>VENTA DE BIENES</v>
          </cell>
          <cell r="K693">
            <v>4659</v>
          </cell>
          <cell r="L693">
            <v>219</v>
          </cell>
          <cell r="M693">
            <v>4420000</v>
          </cell>
        </row>
        <row r="694">
          <cell r="A694">
            <v>901081029</v>
          </cell>
          <cell r="B694" t="str">
            <v>GRAMEC INGENIERIA S.A.S.</v>
          </cell>
          <cell r="C694" t="str">
            <v>+570000</v>
          </cell>
          <cell r="E694" t="str">
            <v>facturacion@gramec.com.co</v>
          </cell>
          <cell r="F694" t="str">
            <v>CR 10 26 13</v>
          </cell>
          <cell r="G694">
            <v>76</v>
          </cell>
          <cell r="H694" t="str">
            <v>001</v>
          </cell>
          <cell r="I694" t="str">
            <v>76001</v>
          </cell>
          <cell r="J694" t="str">
            <v>VENTA DE BIENES</v>
          </cell>
          <cell r="K694">
            <v>4659</v>
          </cell>
          <cell r="L694">
            <v>219</v>
          </cell>
          <cell r="M694">
            <v>4522173</v>
          </cell>
        </row>
        <row r="695">
          <cell r="A695">
            <v>901082283</v>
          </cell>
          <cell r="B695" t="str">
            <v>KOLCEM SAS</v>
          </cell>
          <cell r="E695" t="str">
            <v>contabilidad@kolcem.com</v>
          </cell>
          <cell r="F695" t="str">
            <v/>
          </cell>
          <cell r="G695">
            <v>70</v>
          </cell>
          <cell r="H695" t="str">
            <v>823</v>
          </cell>
          <cell r="I695" t="str">
            <v>70823</v>
          </cell>
          <cell r="J695" t="str">
            <v>VENTA DE BIENES</v>
          </cell>
          <cell r="K695">
            <v>4659</v>
          </cell>
          <cell r="L695">
            <v>219</v>
          </cell>
          <cell r="M695">
            <v>11676635</v>
          </cell>
        </row>
        <row r="696">
          <cell r="A696">
            <v>901087334</v>
          </cell>
          <cell r="B696" t="str">
            <v>INGETUM GROUP S.A.S.</v>
          </cell>
          <cell r="C696" t="str">
            <v>315 5455598</v>
          </cell>
          <cell r="D696">
            <v>3155455598</v>
          </cell>
          <cell r="E696" t="str">
            <v>ventas@ingetum.com</v>
          </cell>
          <cell r="F696" t="str">
            <v/>
          </cell>
          <cell r="G696" t="str">
            <v>76</v>
          </cell>
          <cell r="H696" t="str">
            <v>001</v>
          </cell>
          <cell r="I696" t="str">
            <v>76001</v>
          </cell>
          <cell r="J696" t="str">
            <v>VENTA DE BIENES</v>
          </cell>
          <cell r="K696">
            <v>4659</v>
          </cell>
          <cell r="L696">
            <v>219</v>
          </cell>
          <cell r="M696">
            <v>32147293</v>
          </cell>
        </row>
        <row r="697">
          <cell r="A697">
            <v>901090134</v>
          </cell>
          <cell r="B697" t="str">
            <v>MAQUIMPACK S.A.S.</v>
          </cell>
          <cell r="C697" t="str">
            <v>313 2087960</v>
          </cell>
          <cell r="D697">
            <v>3132087960</v>
          </cell>
          <cell r="E697" t="str">
            <v>maquimpack@gmail.com</v>
          </cell>
          <cell r="F697" t="str">
            <v/>
          </cell>
          <cell r="G697" t="str">
            <v>11</v>
          </cell>
          <cell r="H697" t="str">
            <v>001</v>
          </cell>
          <cell r="I697" t="str">
            <v>11001</v>
          </cell>
          <cell r="J697" t="str">
            <v>VENTA DE BIENES</v>
          </cell>
          <cell r="K697">
            <v>4659</v>
          </cell>
          <cell r="L697">
            <v>219</v>
          </cell>
          <cell r="M697">
            <v>9060720</v>
          </cell>
        </row>
        <row r="698">
          <cell r="A698">
            <v>901097244</v>
          </cell>
          <cell r="B698" t="str">
            <v>SOLENIUM S.A.S</v>
          </cell>
          <cell r="C698" t="str">
            <v>322 8891705</v>
          </cell>
          <cell r="D698">
            <v>3228891705</v>
          </cell>
          <cell r="E698" t="str">
            <v>gisela@solenium.co</v>
          </cell>
          <cell r="F698" t="str">
            <v>CL 46 70 A 79</v>
          </cell>
          <cell r="G698" t="str">
            <v>05</v>
          </cell>
          <cell r="H698" t="str">
            <v>001</v>
          </cell>
          <cell r="I698" t="str">
            <v>05001</v>
          </cell>
          <cell r="J698" t="str">
            <v>VENTA DE BIENES</v>
          </cell>
          <cell r="K698">
            <v>4659</v>
          </cell>
          <cell r="L698">
            <v>219</v>
          </cell>
          <cell r="M698">
            <v>5516874</v>
          </cell>
        </row>
        <row r="699">
          <cell r="A699">
            <v>901098260</v>
          </cell>
          <cell r="B699" t="str">
            <v>FONDO DE INVERSION COLECTIVA ABIERTO CON PACTO DE PERMANENCIA ALTA RENTA</v>
          </cell>
          <cell r="C699" t="e">
            <v>#N/A</v>
          </cell>
          <cell r="E699" t="e">
            <v>#N/A</v>
          </cell>
          <cell r="F699" t="e">
            <v>#N/A</v>
          </cell>
          <cell r="G699">
            <v>11</v>
          </cell>
          <cell r="H699" t="str">
            <v>001</v>
          </cell>
          <cell r="I699" t="str">
            <v>11001</v>
          </cell>
          <cell r="J699" t="str">
            <v>INTERESES</v>
          </cell>
          <cell r="K699">
            <v>6619</v>
          </cell>
          <cell r="L699">
            <v>402</v>
          </cell>
          <cell r="M699">
            <v>287418</v>
          </cell>
        </row>
        <row r="700">
          <cell r="A700">
            <v>901098364</v>
          </cell>
          <cell r="B700" t="str">
            <v>AJC ENGINEERING SAS</v>
          </cell>
          <cell r="C700" t="str">
            <v>301 3412667</v>
          </cell>
          <cell r="D700">
            <v>3013412667</v>
          </cell>
          <cell r="E700" t="str">
            <v>Proyectos@ajcengineeringsas.com</v>
          </cell>
          <cell r="F700" t="str">
            <v>CR 9 D 37 122</v>
          </cell>
          <cell r="G700" t="str">
            <v>08</v>
          </cell>
          <cell r="H700" t="str">
            <v>001</v>
          </cell>
          <cell r="I700" t="str">
            <v>08001</v>
          </cell>
          <cell r="J700" t="str">
            <v>VENTA DE BIENES</v>
          </cell>
          <cell r="K700">
            <v>4659</v>
          </cell>
          <cell r="L700">
            <v>219</v>
          </cell>
          <cell r="M700">
            <v>1845129</v>
          </cell>
        </row>
        <row r="701">
          <cell r="A701">
            <v>901099743</v>
          </cell>
          <cell r="B701" t="str">
            <v>INSTRUMENTACION &amp; MONTAJES ELECTRICOS SAS</v>
          </cell>
          <cell r="C701" t="str">
            <v>+570000</v>
          </cell>
          <cell r="E701" t="str">
            <v>COMPRAS@INSTRUMELECT.COM.CO</v>
          </cell>
          <cell r="F701" t="str">
            <v>AV TRONCAL DE OCCIDENTE No. 1- 59 Bd 29</v>
          </cell>
          <cell r="G701" t="str">
            <v>25</v>
          </cell>
          <cell r="H701" t="str">
            <v>473</v>
          </cell>
          <cell r="I701" t="str">
            <v>25473</v>
          </cell>
          <cell r="J701" t="str">
            <v>VENTA DE BIENES</v>
          </cell>
          <cell r="K701">
            <v>4659</v>
          </cell>
          <cell r="L701">
            <v>219</v>
          </cell>
          <cell r="M701">
            <v>195508</v>
          </cell>
        </row>
        <row r="702">
          <cell r="A702">
            <v>901099743</v>
          </cell>
          <cell r="B702" t="str">
            <v>INSTRUMENTACION &amp; MONTAJES ELECTRICOS SAS</v>
          </cell>
          <cell r="C702" t="str">
            <v>+570000</v>
          </cell>
          <cell r="E702" t="str">
            <v>COMPRAS@INSTRUMELECT.COM.CO</v>
          </cell>
          <cell r="F702" t="str">
            <v>AV TRONCAL DE OCCIDENTE No. 1- 59 Bd 29</v>
          </cell>
          <cell r="G702" t="str">
            <v>25</v>
          </cell>
          <cell r="H702" t="str">
            <v>473</v>
          </cell>
          <cell r="I702" t="str">
            <v>25473</v>
          </cell>
          <cell r="J702" t="str">
            <v>TRANSPORTE</v>
          </cell>
          <cell r="K702">
            <v>3312</v>
          </cell>
          <cell r="L702">
            <v>334</v>
          </cell>
          <cell r="M702">
            <v>36000</v>
          </cell>
        </row>
        <row r="703">
          <cell r="A703">
            <v>901109360</v>
          </cell>
          <cell r="B703" t="str">
            <v>INTERFLEX SAS</v>
          </cell>
          <cell r="C703" t="str">
            <v>+570000</v>
          </cell>
          <cell r="E703" t="str">
            <v>FACTURACION.INTERFLEXSAS@GMAIL.COM</v>
          </cell>
          <cell r="F703" t="str">
            <v>CR 125 65 A 27</v>
          </cell>
          <cell r="G703" t="str">
            <v>11</v>
          </cell>
          <cell r="H703" t="str">
            <v>001</v>
          </cell>
          <cell r="I703" t="str">
            <v>11001</v>
          </cell>
          <cell r="J703" t="str">
            <v>VENTA DE BIENES</v>
          </cell>
          <cell r="K703">
            <v>4659</v>
          </cell>
          <cell r="L703">
            <v>219</v>
          </cell>
          <cell r="M703">
            <v>350633</v>
          </cell>
        </row>
        <row r="704">
          <cell r="A704">
            <v>901113207</v>
          </cell>
          <cell r="B704" t="str">
            <v>CONVEYOR MANUFACTURE &amp; ENGINEERING SAS</v>
          </cell>
          <cell r="C704" t="str">
            <v>+570000</v>
          </cell>
          <cell r="E704" t="str">
            <v>FACTURACIONELECTRONICA@CMYE.COM.CO</v>
          </cell>
          <cell r="F704" t="str">
            <v>CL 57 B 80 41 SUR</v>
          </cell>
          <cell r="G704" t="str">
            <v>11</v>
          </cell>
          <cell r="H704" t="str">
            <v>001</v>
          </cell>
          <cell r="I704" t="str">
            <v>11001</v>
          </cell>
          <cell r="J704" t="str">
            <v>VENTA DE BIENES</v>
          </cell>
          <cell r="K704">
            <v>4659</v>
          </cell>
          <cell r="L704">
            <v>219</v>
          </cell>
          <cell r="M704">
            <v>1408000</v>
          </cell>
        </row>
        <row r="705">
          <cell r="A705">
            <v>901119356</v>
          </cell>
          <cell r="B705" t="str">
            <v>MECATRONICA DE COLOMBIA S.A.S.</v>
          </cell>
          <cell r="C705" t="str">
            <v>+570000</v>
          </cell>
          <cell r="E705" t="str">
            <v>FACTURAPROVEEDORES@MECATRONICADECOLOMBIA.COM</v>
          </cell>
          <cell r="F705" t="str">
            <v>CR 6 19 36</v>
          </cell>
          <cell r="G705">
            <v>76</v>
          </cell>
          <cell r="H705" t="str">
            <v>001</v>
          </cell>
          <cell r="I705" t="str">
            <v>76001</v>
          </cell>
          <cell r="J705" t="str">
            <v>VENTA DE BIENES</v>
          </cell>
          <cell r="K705">
            <v>4659</v>
          </cell>
          <cell r="L705">
            <v>219</v>
          </cell>
          <cell r="M705">
            <v>20591189</v>
          </cell>
        </row>
        <row r="706">
          <cell r="A706">
            <v>901121179</v>
          </cell>
          <cell r="B706" t="str">
            <v>CANPACK COLOMBIA SAS</v>
          </cell>
          <cell r="C706" t="str">
            <v>+570000</v>
          </cell>
          <cell r="E706" t="str">
            <v>facturascol@canpack.com</v>
          </cell>
          <cell r="F706" t="str">
            <v>KM 5 VIA BRICEÑO-ZIPAQUIRA VDA VERGANSO S TIBITOC</v>
          </cell>
          <cell r="G706" t="str">
            <v>25</v>
          </cell>
          <cell r="H706" t="str">
            <v>817</v>
          </cell>
          <cell r="I706" t="str">
            <v>25817</v>
          </cell>
          <cell r="J706" t="str">
            <v>VENTA DE BIENES</v>
          </cell>
          <cell r="K706">
            <v>4659</v>
          </cell>
          <cell r="L706">
            <v>219</v>
          </cell>
          <cell r="M706">
            <v>5434772</v>
          </cell>
        </row>
        <row r="707">
          <cell r="A707">
            <v>901122559</v>
          </cell>
          <cell r="B707" t="str">
            <v>ESMERALDAS MINING SERVICES S.A.S</v>
          </cell>
          <cell r="C707" t="str">
            <v>+570000</v>
          </cell>
          <cell r="E707" t="str">
            <v>RADICACION.TUFACTURA@COLSEIN.COM.CO</v>
          </cell>
          <cell r="F707" t="str">
            <v>CL 72 7 64 P 6</v>
          </cell>
          <cell r="G707" t="str">
            <v>11</v>
          </cell>
          <cell r="H707" t="str">
            <v>001</v>
          </cell>
          <cell r="I707" t="str">
            <v>11001</v>
          </cell>
          <cell r="J707" t="str">
            <v>VENTA DE BIENES</v>
          </cell>
          <cell r="K707">
            <v>4659</v>
          </cell>
          <cell r="L707">
            <v>219</v>
          </cell>
          <cell r="M707">
            <v>4780601</v>
          </cell>
        </row>
        <row r="708">
          <cell r="A708">
            <v>901123983</v>
          </cell>
          <cell r="B708" t="str">
            <v>DIANA PET FOOD COLOMBIA SAS</v>
          </cell>
          <cell r="C708" t="str">
            <v>+570000</v>
          </cell>
          <cell r="E708" t="str">
            <v>901123983@FACTUREINBOX.CO</v>
          </cell>
          <cell r="F708" t="str">
            <v>CR 21 39 A 69 O F 303</v>
          </cell>
          <cell r="G708" t="str">
            <v>25</v>
          </cell>
          <cell r="H708" t="str">
            <v>817</v>
          </cell>
          <cell r="I708" t="str">
            <v>25817</v>
          </cell>
          <cell r="J708" t="str">
            <v>VENTA DE BIENES</v>
          </cell>
          <cell r="K708">
            <v>4659</v>
          </cell>
          <cell r="L708">
            <v>219</v>
          </cell>
          <cell r="M708">
            <v>61153571</v>
          </cell>
        </row>
        <row r="709">
          <cell r="A709">
            <v>901126044</v>
          </cell>
          <cell r="B709" t="str">
            <v>RED DE SERVICIOS ELECTRICOS AVANZADOS S.A.S.</v>
          </cell>
          <cell r="C709" t="str">
            <v>313 4403776</v>
          </cell>
          <cell r="D709">
            <v>3134403776</v>
          </cell>
          <cell r="E709" t="str">
            <v>cfcadena@rsea.com.co</v>
          </cell>
          <cell r="F709" t="str">
            <v/>
          </cell>
          <cell r="G709" t="str">
            <v>08</v>
          </cell>
          <cell r="H709" t="str">
            <v>001</v>
          </cell>
          <cell r="I709" t="str">
            <v>08001</v>
          </cell>
          <cell r="J709" t="str">
            <v>VENTA DE BIENES</v>
          </cell>
          <cell r="K709">
            <v>4659</v>
          </cell>
          <cell r="L709">
            <v>219</v>
          </cell>
          <cell r="M709">
            <v>18886832</v>
          </cell>
        </row>
        <row r="710">
          <cell r="A710">
            <v>901128047</v>
          </cell>
          <cell r="B710" t="str">
            <v>DOGSY GOURMET SAS</v>
          </cell>
          <cell r="C710" t="str">
            <v>316 4236520</v>
          </cell>
          <cell r="D710">
            <v>3164236520</v>
          </cell>
          <cell r="E710" t="str">
            <v>dogsy.helados@gmail.com</v>
          </cell>
          <cell r="F710" t="str">
            <v>CL 67 # 90 - 23</v>
          </cell>
          <cell r="G710" t="str">
            <v>11</v>
          </cell>
          <cell r="H710" t="str">
            <v>001</v>
          </cell>
          <cell r="I710" t="str">
            <v>11001</v>
          </cell>
          <cell r="J710" t="str">
            <v>VENTA DE BIENES</v>
          </cell>
          <cell r="K710">
            <v>4659</v>
          </cell>
          <cell r="L710">
            <v>219</v>
          </cell>
          <cell r="M710">
            <v>6575585</v>
          </cell>
        </row>
        <row r="711">
          <cell r="A711">
            <v>901131909</v>
          </cell>
          <cell r="B711" t="str">
            <v>TERNIUM DEL ATLÁNTICO S.A.S.</v>
          </cell>
          <cell r="C711" t="str">
            <v>+570000</v>
          </cell>
          <cell r="E711" t="str">
            <v>CUPA_COLOMBIA@TERNIUM.COM.CO</v>
          </cell>
          <cell r="F711" t="str">
            <v>PONEDERA R 25 KM  PR48+600</v>
          </cell>
          <cell r="G711" t="str">
            <v>05</v>
          </cell>
          <cell r="H711" t="str">
            <v>360</v>
          </cell>
          <cell r="I711" t="str">
            <v>05360</v>
          </cell>
          <cell r="J711" t="str">
            <v>VENTA DE BIENES</v>
          </cell>
          <cell r="K711">
            <v>4659</v>
          </cell>
          <cell r="L711">
            <v>219</v>
          </cell>
          <cell r="M711">
            <v>22821605</v>
          </cell>
        </row>
        <row r="712">
          <cell r="A712">
            <v>901133200</v>
          </cell>
          <cell r="B712" t="str">
            <v>COMERCIALIZADORA E IMPORTADORA ELECTRICA INDUSTRIAL S.A.S</v>
          </cell>
          <cell r="C712" t="str">
            <v>4040493</v>
          </cell>
          <cell r="D712" t="str">
            <v>4040493</v>
          </cell>
          <cell r="E712" t="str">
            <v>comercializadoraei@hotmail.com</v>
          </cell>
          <cell r="F712" t="str">
            <v>Carrera 12 No. 15 - 94. Ofc: 504</v>
          </cell>
          <cell r="G712" t="str">
            <v>11</v>
          </cell>
          <cell r="H712" t="str">
            <v>001</v>
          </cell>
          <cell r="I712" t="str">
            <v>11001</v>
          </cell>
          <cell r="J712" t="str">
            <v>VENTA DE BIENES</v>
          </cell>
          <cell r="K712">
            <v>4659</v>
          </cell>
          <cell r="L712">
            <v>219</v>
          </cell>
          <cell r="M712">
            <v>2080027</v>
          </cell>
        </row>
        <row r="713">
          <cell r="A713">
            <v>901134812</v>
          </cell>
          <cell r="B713" t="str">
            <v>ENERGETICA SOLUCIONES INGENIERILES S.A.S.</v>
          </cell>
          <cell r="C713" t="str">
            <v>4119121</v>
          </cell>
          <cell r="D713" t="str">
            <v>4119121</v>
          </cell>
          <cell r="E713" t="str">
            <v>auxiliaradmon@energetica.com.co</v>
          </cell>
          <cell r="F713" t="str">
            <v>Transversal 41 N° 73 - 13</v>
          </cell>
          <cell r="G713" t="str">
            <v>05</v>
          </cell>
          <cell r="H713" t="str">
            <v>001</v>
          </cell>
          <cell r="I713" t="str">
            <v>05001</v>
          </cell>
          <cell r="J713" t="str">
            <v>VENTA DE BIENES</v>
          </cell>
          <cell r="K713">
            <v>4659</v>
          </cell>
          <cell r="L713">
            <v>219</v>
          </cell>
          <cell r="M713">
            <v>657210</v>
          </cell>
        </row>
        <row r="714">
          <cell r="A714">
            <v>901138622</v>
          </cell>
          <cell r="B714" t="str">
            <v>INDUFERCO S.A.S</v>
          </cell>
          <cell r="C714">
            <v>6960295</v>
          </cell>
          <cell r="D714">
            <v>6960295</v>
          </cell>
          <cell r="E714" t="str">
            <v>a.induferco.bucaramanga@hotmail.com</v>
          </cell>
          <cell r="F714" t="str">
            <v>KILOMETRO 2 VEREDA LA MIEL, CALDAS – ANTIOQUIA - PLANTA DE PROCESOS FRIKO</v>
          </cell>
          <cell r="G714" t="str">
            <v>05</v>
          </cell>
          <cell r="H714" t="str">
            <v>129</v>
          </cell>
          <cell r="I714" t="str">
            <v>05129</v>
          </cell>
          <cell r="J714" t="str">
            <v>VENTA DE BIENES</v>
          </cell>
          <cell r="K714">
            <v>4659</v>
          </cell>
          <cell r="L714">
            <v>219</v>
          </cell>
          <cell r="M714">
            <v>1164000</v>
          </cell>
        </row>
        <row r="715">
          <cell r="A715">
            <v>901142449</v>
          </cell>
          <cell r="B715" t="str">
            <v>GRUPO IDSE S.A.S.</v>
          </cell>
          <cell r="C715" t="str">
            <v>+570000</v>
          </cell>
          <cell r="E715" t="str">
            <v>AUX.ADMON.IDSE@GMAIL.COM</v>
          </cell>
          <cell r="F715" t="str">
            <v>CL 79 A 38 42</v>
          </cell>
          <cell r="G715" t="str">
            <v>08</v>
          </cell>
          <cell r="H715" t="str">
            <v>001</v>
          </cell>
          <cell r="I715" t="str">
            <v>08001</v>
          </cell>
          <cell r="J715" t="str">
            <v>VENTA DE BIENES</v>
          </cell>
          <cell r="K715">
            <v>4659</v>
          </cell>
          <cell r="L715">
            <v>219</v>
          </cell>
          <cell r="M715">
            <v>4947156</v>
          </cell>
        </row>
        <row r="716">
          <cell r="A716">
            <v>901144081</v>
          </cell>
          <cell r="B716" t="str">
            <v>TECTONICO ZOMAC S.A.S.</v>
          </cell>
          <cell r="C716" t="str">
            <v>+570000</v>
          </cell>
          <cell r="E716" t="str">
            <v>CONTABILIDAD@TECTONICO.COM.CO</v>
          </cell>
          <cell r="F716" t="str">
            <v>KM 4 VTE TOLU VIEJO SAN ONOFRE</v>
          </cell>
          <cell r="G716" t="str">
            <v>08</v>
          </cell>
          <cell r="H716" t="str">
            <v>421</v>
          </cell>
          <cell r="I716" t="str">
            <v>08421</v>
          </cell>
          <cell r="J716" t="str">
            <v>VENTA DE BIENES</v>
          </cell>
          <cell r="K716">
            <v>4659</v>
          </cell>
          <cell r="L716">
            <v>219</v>
          </cell>
          <cell r="M716">
            <v>3258523</v>
          </cell>
        </row>
        <row r="717">
          <cell r="A717">
            <v>901152991</v>
          </cell>
          <cell r="B717" t="str">
            <v>LEMOR COLOMBIA S.A.S.</v>
          </cell>
          <cell r="C717" t="str">
            <v>314 4145742</v>
          </cell>
          <cell r="D717">
            <v>3144145742</v>
          </cell>
          <cell r="E717" t="str">
            <v>administracion@lemorcolombia.com</v>
          </cell>
          <cell r="F717" t="str">
            <v>Cr 54 D No. 135 15 To 2 Ap 302</v>
          </cell>
          <cell r="G717" t="str">
            <v>11</v>
          </cell>
          <cell r="H717" t="str">
            <v>001</v>
          </cell>
          <cell r="I717" t="str">
            <v>11001</v>
          </cell>
          <cell r="J717" t="str">
            <v>VENTA DE BIENES</v>
          </cell>
          <cell r="K717">
            <v>4659</v>
          </cell>
          <cell r="L717">
            <v>219</v>
          </cell>
          <cell r="M717">
            <v>3353192</v>
          </cell>
        </row>
        <row r="718">
          <cell r="A718">
            <v>901154059</v>
          </cell>
          <cell r="B718" t="str">
            <v>TERMACOL S.A.S</v>
          </cell>
          <cell r="C718" t="str">
            <v>+570000</v>
          </cell>
          <cell r="E718" t="str">
            <v>ADMINISTRATIVO@TERMACOL.CO</v>
          </cell>
          <cell r="F718" t="str">
            <v>AV 3 B BIS 59 NORTE 34 OF 101</v>
          </cell>
          <cell r="G718">
            <v>76</v>
          </cell>
          <cell r="H718" t="str">
            <v>001</v>
          </cell>
          <cell r="I718" t="str">
            <v>76001</v>
          </cell>
          <cell r="J718" t="str">
            <v>VENTA DE BIENES</v>
          </cell>
          <cell r="K718">
            <v>4659</v>
          </cell>
          <cell r="L718">
            <v>219</v>
          </cell>
          <cell r="M718">
            <v>28562053</v>
          </cell>
        </row>
        <row r="719">
          <cell r="A719">
            <v>901159464</v>
          </cell>
          <cell r="B719" t="str">
            <v>PROYECTOS DE INGENIERIA APLICADA S.A.S</v>
          </cell>
          <cell r="C719" t="str">
            <v>+570000</v>
          </cell>
          <cell r="E719" t="str">
            <v>comercial@proyectosia.com</v>
          </cell>
          <cell r="F719" t="str">
            <v>CARRERA 10 A 138  32 INT 10 AP 110</v>
          </cell>
          <cell r="G719">
            <v>11</v>
          </cell>
          <cell r="H719" t="str">
            <v>001</v>
          </cell>
          <cell r="I719" t="str">
            <v>11001</v>
          </cell>
          <cell r="J719" t="str">
            <v>VENTA DE BIENES</v>
          </cell>
          <cell r="K719">
            <v>4659</v>
          </cell>
          <cell r="L719">
            <v>219</v>
          </cell>
          <cell r="M719">
            <v>33564907</v>
          </cell>
        </row>
        <row r="720">
          <cell r="A720">
            <v>901161604</v>
          </cell>
          <cell r="B720" t="str">
            <v>DCA INGENIERIA SAS</v>
          </cell>
          <cell r="C720" t="str">
            <v>+570000</v>
          </cell>
          <cell r="E720" t="str">
            <v>AUXILIAR@DCAINGENIERIA.COM.CO</v>
          </cell>
          <cell r="F720" t="str">
            <v>CL 15 4 A 271 CONJJ BAMBU CA 21</v>
          </cell>
          <cell r="G720">
            <v>66</v>
          </cell>
          <cell r="H720" t="str">
            <v>170</v>
          </cell>
          <cell r="I720" t="str">
            <v>66170</v>
          </cell>
          <cell r="J720" t="str">
            <v>VENTA DE BIENES</v>
          </cell>
          <cell r="K720">
            <v>4659</v>
          </cell>
          <cell r="L720">
            <v>219</v>
          </cell>
          <cell r="M720">
            <v>53922756</v>
          </cell>
        </row>
        <row r="721">
          <cell r="A721">
            <v>901164318</v>
          </cell>
          <cell r="B721" t="str">
            <v>BI-KON SAS</v>
          </cell>
          <cell r="C721" t="str">
            <v>301 3732290</v>
          </cell>
          <cell r="D721">
            <v>3013732290</v>
          </cell>
          <cell r="E721" t="str">
            <v>ivan.fuentes@bi-kon.com</v>
          </cell>
          <cell r="F721" t="str">
            <v/>
          </cell>
          <cell r="G721" t="str">
            <v>76</v>
          </cell>
          <cell r="H721" t="str">
            <v>001</v>
          </cell>
          <cell r="I721" t="str">
            <v>76001</v>
          </cell>
          <cell r="J721" t="str">
            <v>VENTA DE BIENES</v>
          </cell>
          <cell r="K721">
            <v>4659</v>
          </cell>
          <cell r="L721">
            <v>219</v>
          </cell>
          <cell r="M721">
            <v>2697129</v>
          </cell>
        </row>
        <row r="722">
          <cell r="A722">
            <v>901165586</v>
          </cell>
          <cell r="B722" t="str">
            <v>ENG SOLUTIONS S.A.S.</v>
          </cell>
          <cell r="C722" t="str">
            <v>315 2976553</v>
          </cell>
          <cell r="D722">
            <v>3152976553</v>
          </cell>
          <cell r="E722" t="str">
            <v>francisco_riascos@yahoo.com</v>
          </cell>
          <cell r="F722" t="str">
            <v>AV 15 OESTE 19 360 BRR AGUACATAL</v>
          </cell>
          <cell r="G722" t="str">
            <v>76</v>
          </cell>
          <cell r="H722" t="str">
            <v>001</v>
          </cell>
          <cell r="I722" t="str">
            <v>76001</v>
          </cell>
          <cell r="J722" t="str">
            <v>VENTA DE BIENES</v>
          </cell>
          <cell r="K722">
            <v>4659</v>
          </cell>
          <cell r="L722">
            <v>219</v>
          </cell>
          <cell r="M722">
            <v>3024000</v>
          </cell>
        </row>
        <row r="723">
          <cell r="A723">
            <v>901166885</v>
          </cell>
          <cell r="B723" t="str">
            <v>METROSOLUCIONES SAS</v>
          </cell>
          <cell r="C723" t="str">
            <v>+570000</v>
          </cell>
          <cell r="E723" t="str">
            <v>CONTABILIDAD@MSLABORTORIO.COM</v>
          </cell>
          <cell r="F723" t="str">
            <v>CR 6 ESTE 29 C 15</v>
          </cell>
          <cell r="G723" t="str">
            <v>25</v>
          </cell>
          <cell r="H723" t="str">
            <v>754</v>
          </cell>
          <cell r="I723" t="str">
            <v>25754</v>
          </cell>
          <cell r="J723" t="str">
            <v>VENTA DE BIENES</v>
          </cell>
          <cell r="K723">
            <v>4659</v>
          </cell>
          <cell r="L723">
            <v>219</v>
          </cell>
          <cell r="M723">
            <v>734491</v>
          </cell>
        </row>
        <row r="724">
          <cell r="A724">
            <v>901167377</v>
          </cell>
          <cell r="B724" t="str">
            <v>NUEVA GENERACION DE BEBIDAS S.A.S</v>
          </cell>
          <cell r="C724" t="str">
            <v>43119790</v>
          </cell>
          <cell r="D724" t="str">
            <v>43119790</v>
          </cell>
          <cell r="E724" t="str">
            <v>recepcionfe@ngb.com.co</v>
          </cell>
          <cell r="F724" t="str">
            <v>ZN DEL CAUCA PAR INDUSTRIAL Y COMERCIAL VIA GUACHENE</v>
          </cell>
          <cell r="G724">
            <v>19</v>
          </cell>
          <cell r="H724" t="str">
            <v>300</v>
          </cell>
          <cell r="I724" t="str">
            <v>19300</v>
          </cell>
          <cell r="J724" t="str">
            <v>VENTA DE BIENES</v>
          </cell>
          <cell r="K724">
            <v>4659</v>
          </cell>
          <cell r="L724">
            <v>219</v>
          </cell>
          <cell r="M724">
            <v>10706300</v>
          </cell>
        </row>
        <row r="725">
          <cell r="A725">
            <v>901173557</v>
          </cell>
          <cell r="B725" t="str">
            <v>FECON INGENIERIA S.A.S</v>
          </cell>
          <cell r="C725" t="str">
            <v>311 5908633</v>
          </cell>
          <cell r="D725">
            <v>3115908633</v>
          </cell>
          <cell r="E725" t="str">
            <v>William.rosas@fecon.site</v>
          </cell>
          <cell r="F725" t="str">
            <v>Carrera 12 # 6-22</v>
          </cell>
          <cell r="G725" t="str">
            <v>15</v>
          </cell>
          <cell r="H725" t="str">
            <v>759</v>
          </cell>
          <cell r="I725" t="str">
            <v>15759</v>
          </cell>
          <cell r="J725" t="str">
            <v>VENTA DE BIENES</v>
          </cell>
          <cell r="K725">
            <v>4659</v>
          </cell>
          <cell r="L725">
            <v>219</v>
          </cell>
          <cell r="M725">
            <v>2099790</v>
          </cell>
        </row>
        <row r="726">
          <cell r="A726">
            <v>901173879</v>
          </cell>
          <cell r="B726" t="str">
            <v>DEPOSITO Y FERRETERIA J.C JIREH S.A.S</v>
          </cell>
          <cell r="C726" t="str">
            <v>314 5423571</v>
          </cell>
          <cell r="D726">
            <v>3145423571</v>
          </cell>
          <cell r="E726" t="str">
            <v>jirehferreteria1@gmail.com</v>
          </cell>
          <cell r="F726" t="str">
            <v>CL 43 83 60</v>
          </cell>
          <cell r="G726" t="str">
            <v>05</v>
          </cell>
          <cell r="H726">
            <v>212</v>
          </cell>
          <cell r="I726" t="str">
            <v>05212</v>
          </cell>
          <cell r="J726" t="str">
            <v>VENTA DE BIENES</v>
          </cell>
          <cell r="K726">
            <v>4659</v>
          </cell>
          <cell r="L726">
            <v>219</v>
          </cell>
          <cell r="M726">
            <v>680378</v>
          </cell>
        </row>
        <row r="727">
          <cell r="A727">
            <v>901180027</v>
          </cell>
          <cell r="B727" t="str">
            <v>AUTOMATIZACION Y MANTENIMIENTO ELECTROMECANICO SAS</v>
          </cell>
          <cell r="C727" t="str">
            <v>301 5880942</v>
          </cell>
          <cell r="D727">
            <v>3015880942</v>
          </cell>
          <cell r="E727" t="str">
            <v>Facturacionautomatizacion@gmail.com</v>
          </cell>
          <cell r="F727" t="str">
            <v/>
          </cell>
          <cell r="G727" t="str">
            <v>11</v>
          </cell>
          <cell r="H727" t="str">
            <v>001</v>
          </cell>
          <cell r="I727" t="str">
            <v>11001</v>
          </cell>
          <cell r="J727" t="str">
            <v>42 GRAVADOS</v>
          </cell>
          <cell r="K727">
            <v>4659</v>
          </cell>
          <cell r="L727">
            <v>219</v>
          </cell>
          <cell r="M727">
            <v>4884739</v>
          </cell>
        </row>
        <row r="728">
          <cell r="A728">
            <v>901181764</v>
          </cell>
          <cell r="B728" t="str">
            <v>C.I. FLORA FOOD COLOMBIA S.A.S</v>
          </cell>
          <cell r="C728" t="str">
            <v>+570000</v>
          </cell>
          <cell r="E728" t="str">
            <v>ALVARO.MEJIA@UPFIELD.COM</v>
          </cell>
          <cell r="F728" t="str">
            <v>CR 5 52 310</v>
          </cell>
          <cell r="G728">
            <v>76</v>
          </cell>
          <cell r="H728" t="str">
            <v>001</v>
          </cell>
          <cell r="I728" t="str">
            <v>76001</v>
          </cell>
          <cell r="J728" t="str">
            <v>VENTA DE BIENES</v>
          </cell>
          <cell r="K728">
            <v>4659</v>
          </cell>
          <cell r="L728">
            <v>219</v>
          </cell>
          <cell r="M728">
            <v>24141264</v>
          </cell>
        </row>
        <row r="729">
          <cell r="A729">
            <v>901182291</v>
          </cell>
          <cell r="B729" t="str">
            <v>AUTOMATIZAR GD SAS</v>
          </cell>
          <cell r="C729" t="str">
            <v>320 4236348</v>
          </cell>
          <cell r="D729">
            <v>3204236348</v>
          </cell>
          <cell r="E729" t="str">
            <v>Automatizargd@gmail.com</v>
          </cell>
          <cell r="F729" t="str">
            <v>CL 14 B 116 70 BL 11 CA 12</v>
          </cell>
          <cell r="G729" t="str">
            <v>11</v>
          </cell>
          <cell r="H729" t="str">
            <v>001</v>
          </cell>
          <cell r="I729" t="str">
            <v>11001</v>
          </cell>
          <cell r="J729" t="str">
            <v>VENTA DE BIENES</v>
          </cell>
          <cell r="K729">
            <v>4659</v>
          </cell>
          <cell r="L729">
            <v>219</v>
          </cell>
          <cell r="M729">
            <v>516800</v>
          </cell>
        </row>
        <row r="730">
          <cell r="A730">
            <v>901193743</v>
          </cell>
          <cell r="B730" t="str">
            <v xml:space="preserve">WATERCOL S.A.S. </v>
          </cell>
          <cell r="C730" t="str">
            <v>311 8396161</v>
          </cell>
          <cell r="D730">
            <v>3118396161</v>
          </cell>
          <cell r="E730" t="str">
            <v>aux.compras@watercol.com.co</v>
          </cell>
          <cell r="F730" t="str">
            <v>CR 36 10 549 PAR INDUSTRIAL LA FORTALEZA ACOPI YUMBO</v>
          </cell>
          <cell r="G730" t="str">
            <v>76</v>
          </cell>
          <cell r="H730" t="str">
            <v>892</v>
          </cell>
          <cell r="I730" t="str">
            <v>76892</v>
          </cell>
          <cell r="J730" t="str">
            <v>VENTA DE BIENES</v>
          </cell>
          <cell r="K730">
            <v>4659</v>
          </cell>
          <cell r="L730">
            <v>219</v>
          </cell>
          <cell r="M730">
            <v>6467788</v>
          </cell>
        </row>
        <row r="731">
          <cell r="A731">
            <v>901194348</v>
          </cell>
          <cell r="B731" t="str">
            <v>PROELECTRIC VELANDIA SAS</v>
          </cell>
          <cell r="C731" t="str">
            <v>313 4908541</v>
          </cell>
          <cell r="D731">
            <v>3134908541</v>
          </cell>
          <cell r="E731" t="str">
            <v>michael.hernandez@proelectric.com.co</v>
          </cell>
          <cell r="F731" t="str">
            <v>CALLE 8 D 19 A 21 BARRIO BOCHICA</v>
          </cell>
          <cell r="G731" t="str">
            <v>50</v>
          </cell>
          <cell r="H731" t="str">
            <v>001</v>
          </cell>
          <cell r="I731" t="str">
            <v>50001</v>
          </cell>
          <cell r="J731" t="str">
            <v>VENTA DE BIENES</v>
          </cell>
          <cell r="K731">
            <v>4659</v>
          </cell>
          <cell r="L731">
            <v>219</v>
          </cell>
          <cell r="M731">
            <v>23979493</v>
          </cell>
        </row>
        <row r="732">
          <cell r="A732">
            <v>901194531</v>
          </cell>
          <cell r="B732" t="str">
            <v>MEDITECNO SAS BIC</v>
          </cell>
          <cell r="C732" t="str">
            <v>301 4206120</v>
          </cell>
          <cell r="D732">
            <v>3014206120</v>
          </cell>
          <cell r="E732" t="str">
            <v>administracion@meditecno.com.co</v>
          </cell>
          <cell r="F732" t="str">
            <v>CL 64 B 43 34</v>
          </cell>
          <cell r="G732" t="str">
            <v>05</v>
          </cell>
          <cell r="H732" t="str">
            <v>360</v>
          </cell>
          <cell r="I732" t="str">
            <v>05360</v>
          </cell>
          <cell r="J732" t="str">
            <v>VENTA DE BIENES</v>
          </cell>
          <cell r="K732">
            <v>4659</v>
          </cell>
          <cell r="L732">
            <v>219</v>
          </cell>
          <cell r="M732">
            <v>7185313</v>
          </cell>
        </row>
        <row r="733">
          <cell r="A733">
            <v>901198149</v>
          </cell>
          <cell r="B733" t="str">
            <v>INDUSTRIAL DE VENTAS Y SERVICIOS SAS</v>
          </cell>
          <cell r="C733" t="str">
            <v>321 4111969</v>
          </cell>
          <cell r="D733">
            <v>3214111969</v>
          </cell>
          <cell r="E733" t="str">
            <v>ivsventasyservicios@gmail.com</v>
          </cell>
          <cell r="F733" t="str">
            <v>CL 5 69 C 65 P 2</v>
          </cell>
          <cell r="G733" t="str">
            <v>11</v>
          </cell>
          <cell r="H733" t="str">
            <v>001</v>
          </cell>
          <cell r="I733" t="str">
            <v>11001</v>
          </cell>
          <cell r="J733" t="str">
            <v>VENTA DE BIENES</v>
          </cell>
          <cell r="K733">
            <v>4659</v>
          </cell>
          <cell r="L733">
            <v>219</v>
          </cell>
          <cell r="M733">
            <v>12858139</v>
          </cell>
        </row>
        <row r="734">
          <cell r="A734">
            <v>901209021</v>
          </cell>
          <cell r="B734" t="str">
            <v>DEVISAB SAS</v>
          </cell>
          <cell r="C734" t="str">
            <v>323 2527432</v>
          </cell>
          <cell r="D734">
            <v>3232527432</v>
          </cell>
          <cell r="E734" t="str">
            <v>wendy.gonzalez@devisab.com.co</v>
          </cell>
          <cell r="F734" t="str">
            <v/>
          </cell>
          <cell r="G734" t="str">
            <v>11</v>
          </cell>
          <cell r="H734" t="str">
            <v>001</v>
          </cell>
          <cell r="I734" t="str">
            <v>11001</v>
          </cell>
          <cell r="J734" t="str">
            <v>VENTA DE BIENES</v>
          </cell>
          <cell r="K734">
            <v>4659</v>
          </cell>
          <cell r="L734">
            <v>219</v>
          </cell>
          <cell r="M734">
            <v>35256650</v>
          </cell>
        </row>
        <row r="735">
          <cell r="A735">
            <v>901209673</v>
          </cell>
          <cell r="B735" t="str">
            <v>MONTRA COLOMBIA S.A.S.</v>
          </cell>
          <cell r="C735" t="str">
            <v>+570000</v>
          </cell>
          <cell r="E735" t="str">
            <v>JULIAN.MARTINEZ@MONTRASOLUTIONS.COM</v>
          </cell>
          <cell r="F735" t="str">
            <v>CR 49 98 07 OF 101</v>
          </cell>
          <cell r="G735" t="str">
            <v>11</v>
          </cell>
          <cell r="H735" t="str">
            <v>001</v>
          </cell>
          <cell r="I735" t="str">
            <v>11001</v>
          </cell>
          <cell r="J735" t="str">
            <v>VENTA DE BIENES</v>
          </cell>
          <cell r="K735">
            <v>4659</v>
          </cell>
          <cell r="L735">
            <v>219</v>
          </cell>
          <cell r="M735">
            <v>3315200</v>
          </cell>
        </row>
        <row r="736">
          <cell r="A736">
            <v>901213787</v>
          </cell>
          <cell r="B736" t="str">
            <v>ASSOCIATED BRANDS COLOMBIA ZF SAS</v>
          </cell>
          <cell r="C736">
            <v>8966771</v>
          </cell>
          <cell r="D736">
            <v>8966771</v>
          </cell>
          <cell r="E736" t="str">
            <v>almacenrepuestosabc@cansnack.com</v>
          </cell>
          <cell r="F736" t="str">
            <v>KM 1 VÍA SIBERIA – FUNZA ZONA FRANCA INTEXZONA. LT 101.</v>
          </cell>
          <cell r="G736" t="str">
            <v>25</v>
          </cell>
          <cell r="H736" t="str">
            <v>286</v>
          </cell>
          <cell r="I736" t="str">
            <v>25286</v>
          </cell>
          <cell r="J736" t="str">
            <v>VENTA DE BIENES</v>
          </cell>
          <cell r="K736">
            <v>4659</v>
          </cell>
          <cell r="L736">
            <v>219</v>
          </cell>
          <cell r="M736">
            <v>1745640</v>
          </cell>
        </row>
        <row r="737">
          <cell r="A737">
            <v>901214310</v>
          </cell>
          <cell r="B737" t="str">
            <v>PROCESOS AUTOMATICOS DEL CARIBE SAS</v>
          </cell>
          <cell r="C737" t="str">
            <v>+570000</v>
          </cell>
          <cell r="E737" t="str">
            <v>GERENCIA@PROCESOS-AUTOMATICOS.COM</v>
          </cell>
          <cell r="F737" t="str">
            <v>CR 9 B 45 C 1 8 AP 1</v>
          </cell>
          <cell r="G737" t="str">
            <v>08</v>
          </cell>
          <cell r="H737" t="str">
            <v>001</v>
          </cell>
          <cell r="I737" t="str">
            <v>08001</v>
          </cell>
          <cell r="J737" t="str">
            <v>42 GRAVADOS</v>
          </cell>
          <cell r="K737">
            <v>4659</v>
          </cell>
          <cell r="L737">
            <v>219</v>
          </cell>
          <cell r="M737">
            <v>7115184</v>
          </cell>
        </row>
        <row r="738">
          <cell r="A738">
            <v>901219349</v>
          </cell>
          <cell r="B738" t="str">
            <v>LC SUMINISTROS SAS</v>
          </cell>
          <cell r="C738">
            <v>2498311</v>
          </cell>
          <cell r="D738">
            <v>2498311</v>
          </cell>
          <cell r="E738" t="str">
            <v>LCSUMINISTROS@GMAIL.COM</v>
          </cell>
          <cell r="F738" t="str">
            <v>CL 68 C SUR # 76 - 60</v>
          </cell>
          <cell r="G738" t="str">
            <v>11</v>
          </cell>
          <cell r="H738" t="str">
            <v>001</v>
          </cell>
          <cell r="I738" t="str">
            <v>11001</v>
          </cell>
          <cell r="J738" t="str">
            <v>VENTA DE BIENES</v>
          </cell>
          <cell r="K738">
            <v>4659</v>
          </cell>
          <cell r="L738">
            <v>219</v>
          </cell>
          <cell r="M738">
            <v>2378160</v>
          </cell>
        </row>
        <row r="739">
          <cell r="A739">
            <v>901221383</v>
          </cell>
          <cell r="B739" t="str">
            <v>TORQUATI CARROZZERIA SAS</v>
          </cell>
          <cell r="C739" t="str">
            <v>+570000</v>
          </cell>
          <cell r="E739" t="str">
            <v>FACTURACION@TORQUATI.CO</v>
          </cell>
          <cell r="F739" t="str">
            <v>CL 3 4 20</v>
          </cell>
          <cell r="G739" t="str">
            <v>25</v>
          </cell>
          <cell r="H739" t="str">
            <v>473</v>
          </cell>
          <cell r="I739" t="str">
            <v>25473</v>
          </cell>
          <cell r="J739" t="str">
            <v>VENTA DE BIENES</v>
          </cell>
          <cell r="K739">
            <v>4659</v>
          </cell>
          <cell r="L739">
            <v>219</v>
          </cell>
          <cell r="M739">
            <v>1349790</v>
          </cell>
        </row>
        <row r="740">
          <cell r="A740">
            <v>901228288</v>
          </cell>
          <cell r="B740" t="str">
            <v>ENVASES PHOENIX DE CARTAGENA S.A.S.</v>
          </cell>
          <cell r="C740" t="str">
            <v>+570000</v>
          </cell>
          <cell r="E740" t="str">
            <v>EPCPHOENIX_MB@MAILBOX.EDICOMNET.COM</v>
          </cell>
          <cell r="F740" t="str">
            <v>ZF LA CANDELARIA ET 2 KM 9 VIA MAMONAL</v>
          </cell>
          <cell r="G740" t="str">
            <v>13</v>
          </cell>
          <cell r="H740" t="str">
            <v>001</v>
          </cell>
          <cell r="I740" t="str">
            <v>13001</v>
          </cell>
          <cell r="J740" t="str">
            <v>VENTA DE BIENES</v>
          </cell>
          <cell r="K740">
            <v>4659</v>
          </cell>
          <cell r="L740">
            <v>219</v>
          </cell>
          <cell r="M740">
            <v>10664000</v>
          </cell>
        </row>
        <row r="741">
          <cell r="A741">
            <v>901232631</v>
          </cell>
          <cell r="B741" t="str">
            <v>FAREVA VILLA RICA S.A.S.</v>
          </cell>
          <cell r="C741" t="str">
            <v>+570000</v>
          </cell>
          <cell r="E741" t="str">
            <v>CUENTASAPAGAR.VILLARICA@FAREVA.COM</v>
          </cell>
          <cell r="F741" t="str">
            <v>KM 43 VIA PANAMERICANA PARQUE INDUSTRIAL DE CAUCADESA</v>
          </cell>
          <cell r="G741" t="str">
            <v>11</v>
          </cell>
          <cell r="H741" t="str">
            <v>001</v>
          </cell>
          <cell r="I741" t="str">
            <v>11001</v>
          </cell>
          <cell r="J741" t="str">
            <v>VENTA DE BIENES</v>
          </cell>
          <cell r="K741">
            <v>4659</v>
          </cell>
          <cell r="L741">
            <v>219</v>
          </cell>
          <cell r="M741">
            <v>4267680</v>
          </cell>
        </row>
        <row r="742">
          <cell r="A742">
            <v>901238999</v>
          </cell>
          <cell r="B742" t="str">
            <v>CONSORCIO SKF-OMIA</v>
          </cell>
          <cell r="C742">
            <v>3905778</v>
          </cell>
          <cell r="D742">
            <v>3905778</v>
          </cell>
          <cell r="E742" t="str">
            <v>diana.guaitero@ccso.com.co</v>
          </cell>
          <cell r="F742" t="str">
            <v/>
          </cell>
          <cell r="G742">
            <v>11</v>
          </cell>
          <cell r="H742" t="str">
            <v>001</v>
          </cell>
          <cell r="I742" t="str">
            <v>11001</v>
          </cell>
          <cell r="J742" t="str">
            <v>SERV MTTO</v>
          </cell>
          <cell r="K742">
            <v>3312</v>
          </cell>
          <cell r="L742">
            <v>334</v>
          </cell>
          <cell r="M742">
            <v>26035093</v>
          </cell>
        </row>
        <row r="743">
          <cell r="A743">
            <v>901241784</v>
          </cell>
          <cell r="B743" t="str">
            <v>SOLUCIONES TECNOLOGICAS EN RECUBRIMIENTOS SAS</v>
          </cell>
          <cell r="C743" t="str">
            <v>+570000</v>
          </cell>
          <cell r="E743" t="str">
            <v>PROVEEDORES@SOLTRECH.COM</v>
          </cell>
          <cell r="F743" t="str">
            <v>KM 6 VIA MAMONAL</v>
          </cell>
          <cell r="G743" t="str">
            <v>13</v>
          </cell>
          <cell r="H743" t="str">
            <v>001</v>
          </cell>
          <cell r="I743" t="str">
            <v>13001</v>
          </cell>
          <cell r="J743" t="str">
            <v>VENTA DE BIENES</v>
          </cell>
          <cell r="K743">
            <v>4659</v>
          </cell>
          <cell r="L743">
            <v>219</v>
          </cell>
          <cell r="M743">
            <v>4075164</v>
          </cell>
        </row>
        <row r="744">
          <cell r="A744">
            <v>901242347</v>
          </cell>
          <cell r="B744" t="str">
            <v>S.I.A SOLUCIONES S.A.S</v>
          </cell>
          <cell r="C744" t="str">
            <v>318 5039259</v>
          </cell>
          <cell r="D744">
            <v>3185039259</v>
          </cell>
          <cell r="E744" t="str">
            <v>comercial@siasoluciones.net</v>
          </cell>
          <cell r="F744" t="str">
            <v>CL 51 6 158 BG 636 VIA JARDINES</v>
          </cell>
          <cell r="G744" t="str">
            <v>63</v>
          </cell>
          <cell r="H744" t="str">
            <v>059</v>
          </cell>
          <cell r="I744" t="str">
            <v>63059</v>
          </cell>
          <cell r="J744" t="str">
            <v>VENTA DE BIENES</v>
          </cell>
          <cell r="K744">
            <v>4659</v>
          </cell>
          <cell r="L744">
            <v>219</v>
          </cell>
          <cell r="M744">
            <v>1510307</v>
          </cell>
        </row>
        <row r="745">
          <cell r="A745">
            <v>901243162</v>
          </cell>
          <cell r="B745" t="str">
            <v>NEUMATRONICA S.A.S</v>
          </cell>
          <cell r="C745" t="str">
            <v>317 4425267</v>
          </cell>
          <cell r="D745">
            <v>3174425267</v>
          </cell>
          <cell r="E745" t="str">
            <v>neumatronica@gmail.com</v>
          </cell>
          <cell r="F745" t="str">
            <v>CL 49 D SUR 40 A 508 AP 503</v>
          </cell>
          <cell r="G745" t="str">
            <v>05</v>
          </cell>
          <cell r="H745" t="str">
            <v>266</v>
          </cell>
          <cell r="I745" t="str">
            <v>05266</v>
          </cell>
          <cell r="J745" t="str">
            <v>VENTA DE BIENES</v>
          </cell>
          <cell r="K745">
            <v>4659</v>
          </cell>
          <cell r="L745">
            <v>219</v>
          </cell>
          <cell r="M745">
            <v>3610798</v>
          </cell>
        </row>
        <row r="746">
          <cell r="A746">
            <v>901247352</v>
          </cell>
          <cell r="B746" t="str">
            <v>GLOBAL INDUSTRIAL SAS</v>
          </cell>
          <cell r="C746" t="str">
            <v>300 6529224</v>
          </cell>
          <cell r="D746">
            <v>3006529224</v>
          </cell>
          <cell r="E746" t="str">
            <v>gerencia@globalindustrialsas.com</v>
          </cell>
          <cell r="F746" t="str">
            <v>CL 2 73 D 52</v>
          </cell>
          <cell r="G746" t="str">
            <v>11</v>
          </cell>
          <cell r="H746" t="str">
            <v>001</v>
          </cell>
          <cell r="I746" t="str">
            <v>11001</v>
          </cell>
          <cell r="J746" t="str">
            <v>VENTA DE BIENES</v>
          </cell>
          <cell r="K746">
            <v>4659</v>
          </cell>
          <cell r="L746">
            <v>219</v>
          </cell>
          <cell r="M746">
            <v>4174000</v>
          </cell>
        </row>
        <row r="747">
          <cell r="A747">
            <v>901253623</v>
          </cell>
          <cell r="B747" t="str">
            <v>TECNIBAT LATAM SAS</v>
          </cell>
          <cell r="C747" t="str">
            <v>317 4407881</v>
          </cell>
          <cell r="D747">
            <v>3174407881</v>
          </cell>
          <cell r="E747" t="str">
            <v>contabilidad@tecnibatlatam.com</v>
          </cell>
          <cell r="F747" t="str">
            <v>CL 7 2 ESTE 01 PAR INDUSTRIAL ARCAS BG 5</v>
          </cell>
          <cell r="G747" t="str">
            <v>25</v>
          </cell>
          <cell r="H747" t="str">
            <v>175</v>
          </cell>
          <cell r="I747" t="str">
            <v>25175</v>
          </cell>
          <cell r="J747" t="str">
            <v>VENTA DE BIENES</v>
          </cell>
          <cell r="K747">
            <v>4659</v>
          </cell>
          <cell r="L747">
            <v>219</v>
          </cell>
          <cell r="M747">
            <v>2065525</v>
          </cell>
        </row>
        <row r="748">
          <cell r="A748">
            <v>901254047</v>
          </cell>
          <cell r="B748" t="str">
            <v>S&amp;G SOLUCIONES DE INGENIERIA SAS</v>
          </cell>
          <cell r="C748">
            <v>8698789</v>
          </cell>
          <cell r="D748">
            <v>8698789</v>
          </cell>
          <cell r="E748" t="str">
            <v>SYGSOLUCIONESDEINGENIERIA@GMAIL.COM</v>
          </cell>
          <cell r="F748" t="str">
            <v>Carrera 44 #69-80</v>
          </cell>
          <cell r="G748" t="str">
            <v>08</v>
          </cell>
          <cell r="H748" t="str">
            <v>001</v>
          </cell>
          <cell r="I748" t="str">
            <v>08001</v>
          </cell>
          <cell r="J748" t="str">
            <v>VENTA DE BIENES</v>
          </cell>
          <cell r="K748">
            <v>4659</v>
          </cell>
          <cell r="L748">
            <v>219</v>
          </cell>
          <cell r="M748">
            <v>7555745</v>
          </cell>
        </row>
        <row r="749">
          <cell r="A749">
            <v>901257112</v>
          </cell>
          <cell r="B749" t="str">
            <v>GRUPO AMBIENTAL GKL S.A.S</v>
          </cell>
          <cell r="C749" t="str">
            <v>1</v>
          </cell>
          <cell r="E749" t="str">
            <v>grupoambientalgkl@gmail.com</v>
          </cell>
          <cell r="F749" t="str">
            <v/>
          </cell>
          <cell r="G749" t="str">
            <v>05</v>
          </cell>
          <cell r="H749" t="str">
            <v>615</v>
          </cell>
          <cell r="I749" t="str">
            <v>05615</v>
          </cell>
          <cell r="J749" t="str">
            <v>VENTA DE BIENES</v>
          </cell>
          <cell r="K749">
            <v>4659</v>
          </cell>
          <cell r="L749">
            <v>219</v>
          </cell>
          <cell r="M749">
            <v>529999</v>
          </cell>
        </row>
        <row r="750">
          <cell r="A750">
            <v>901257273</v>
          </cell>
          <cell r="B750" t="str">
            <v>INGENIERIA Y SOLUCIONES INDUSTRIALES GROUP S.A.S</v>
          </cell>
          <cell r="C750" t="str">
            <v>316 3236652</v>
          </cell>
          <cell r="D750">
            <v>3163236652</v>
          </cell>
          <cell r="E750" t="str">
            <v>ingenieria@ingesolgroup.com</v>
          </cell>
          <cell r="F750" t="str">
            <v/>
          </cell>
          <cell r="G750" t="str">
            <v>76</v>
          </cell>
          <cell r="H750" t="str">
            <v>001</v>
          </cell>
          <cell r="I750" t="str">
            <v>76001</v>
          </cell>
          <cell r="J750" t="str">
            <v>42 GRAVADOS</v>
          </cell>
          <cell r="K750">
            <v>4659</v>
          </cell>
          <cell r="L750">
            <v>219</v>
          </cell>
          <cell r="M750">
            <v>1161600</v>
          </cell>
        </row>
        <row r="751">
          <cell r="A751">
            <v>901257273</v>
          </cell>
          <cell r="B751" t="str">
            <v>INGENIERIA Y SOLUCIONES INDUSTRIALES GROUP S.A.S</v>
          </cell>
          <cell r="C751" t="str">
            <v>316 3236652</v>
          </cell>
          <cell r="D751">
            <v>3163236652</v>
          </cell>
          <cell r="E751" t="str">
            <v>ingenieria@ingesolgroup.com</v>
          </cell>
          <cell r="F751" t="str">
            <v/>
          </cell>
          <cell r="G751" t="str">
            <v>76</v>
          </cell>
          <cell r="H751" t="str">
            <v>001</v>
          </cell>
          <cell r="I751" t="str">
            <v>76001</v>
          </cell>
          <cell r="J751" t="str">
            <v>VENTA DE BIENES</v>
          </cell>
          <cell r="K751">
            <v>4659</v>
          </cell>
          <cell r="L751">
            <v>219</v>
          </cell>
          <cell r="M751">
            <v>645989</v>
          </cell>
        </row>
        <row r="752">
          <cell r="A752">
            <v>901259368</v>
          </cell>
          <cell r="B752" t="str">
            <v>TOTAL ELECTRICOS INDUSTRIALES S.A.S</v>
          </cell>
          <cell r="E752" t="str">
            <v>totalelectricoseisas@gmail.com</v>
          </cell>
          <cell r="F752" t="str">
            <v>BRR CHIPRE CR 64 31 A 26 CA 4</v>
          </cell>
          <cell r="G752" t="str">
            <v>13</v>
          </cell>
          <cell r="H752" t="str">
            <v>001</v>
          </cell>
          <cell r="I752" t="str">
            <v>13001</v>
          </cell>
          <cell r="J752" t="str">
            <v>VENTA DE BIENES</v>
          </cell>
          <cell r="K752">
            <v>4659</v>
          </cell>
          <cell r="L752">
            <v>219</v>
          </cell>
          <cell r="M752">
            <v>9612907</v>
          </cell>
        </row>
        <row r="753">
          <cell r="A753">
            <v>901275614</v>
          </cell>
          <cell r="B753" t="str">
            <v>GLOBAL INDUSTRIAL FURNACE &amp; PROJECTS S.A.S</v>
          </cell>
          <cell r="C753" t="str">
            <v>+570000</v>
          </cell>
          <cell r="E753" t="str">
            <v>GIFPSAS@GMAIL.COM</v>
          </cell>
          <cell r="F753" t="str">
            <v>CR 30 A 42 51</v>
          </cell>
          <cell r="G753" t="str">
            <v>76</v>
          </cell>
          <cell r="H753" t="str">
            <v>520</v>
          </cell>
          <cell r="I753" t="str">
            <v>76520</v>
          </cell>
          <cell r="J753" t="str">
            <v>VENTA DE BIENES</v>
          </cell>
          <cell r="K753">
            <v>4659</v>
          </cell>
          <cell r="L753">
            <v>219</v>
          </cell>
          <cell r="M753">
            <v>108679673</v>
          </cell>
        </row>
        <row r="754">
          <cell r="A754">
            <v>901275614</v>
          </cell>
          <cell r="B754" t="str">
            <v>GLOBAL INDUSTRIAL FURNACE &amp; PROJECTS S.A.S</v>
          </cell>
          <cell r="C754" t="str">
            <v>+570000</v>
          </cell>
          <cell r="E754" t="str">
            <v>GIFPSAS@GMAIL.COM</v>
          </cell>
          <cell r="F754" t="str">
            <v>CR 30 A 42 51</v>
          </cell>
          <cell r="G754" t="str">
            <v>76</v>
          </cell>
          <cell r="H754" t="str">
            <v>520</v>
          </cell>
          <cell r="I754" t="str">
            <v>76520</v>
          </cell>
          <cell r="J754" t="str">
            <v>42 GRAVADOS</v>
          </cell>
          <cell r="K754">
            <v>4659</v>
          </cell>
          <cell r="L754">
            <v>219</v>
          </cell>
          <cell r="M754">
            <v>2156574</v>
          </cell>
        </row>
        <row r="755">
          <cell r="A755">
            <v>901275615</v>
          </cell>
          <cell r="B755" t="str">
            <v>TERMOVAPOR CALDERAS S.A.S</v>
          </cell>
          <cell r="C755" t="str">
            <v>322 8748991</v>
          </cell>
          <cell r="D755">
            <v>3228748991</v>
          </cell>
          <cell r="E755" t="str">
            <v>compras@termovaporcalderas.com</v>
          </cell>
          <cell r="F755" t="str">
            <v>CL 1 TV 2 199 PARCELACION INDUSTRIAL LA DOLORES</v>
          </cell>
          <cell r="G755" t="str">
            <v>76</v>
          </cell>
          <cell r="H755" t="str">
            <v>520</v>
          </cell>
          <cell r="I755" t="str">
            <v>76520</v>
          </cell>
          <cell r="J755" t="str">
            <v>VENTA DE BIENES</v>
          </cell>
          <cell r="K755">
            <v>4659</v>
          </cell>
          <cell r="L755">
            <v>219</v>
          </cell>
          <cell r="M755">
            <v>122024</v>
          </cell>
        </row>
        <row r="756">
          <cell r="A756">
            <v>901276985</v>
          </cell>
          <cell r="B756" t="str">
            <v>INFODESIGN COLOMBIA SAS</v>
          </cell>
          <cell r="C756" t="str">
            <v>316 5251789</v>
          </cell>
          <cell r="D756">
            <v>3165251789</v>
          </cell>
          <cell r="E756" t="str">
            <v>Sergio@info-design.co</v>
          </cell>
          <cell r="F756" t="str">
            <v>CALLE 106 56 62 OF 503</v>
          </cell>
          <cell r="G756" t="str">
            <v>11</v>
          </cell>
          <cell r="H756" t="str">
            <v>001</v>
          </cell>
          <cell r="I756" t="str">
            <v>11001</v>
          </cell>
          <cell r="J756" t="str">
            <v>VENTA DE BIENES</v>
          </cell>
          <cell r="K756">
            <v>4659</v>
          </cell>
          <cell r="L756">
            <v>219</v>
          </cell>
          <cell r="M756">
            <v>26987730</v>
          </cell>
        </row>
        <row r="757">
          <cell r="A757">
            <v>901299581</v>
          </cell>
          <cell r="B757" t="str">
            <v>PRODUCTOS FAMILIA RIONEGRO S.A.S.</v>
          </cell>
          <cell r="C757">
            <v>5655000</v>
          </cell>
          <cell r="D757">
            <v>5655000</v>
          </cell>
          <cell r="E757" t="str">
            <v>FACTURAZFRN.GF@ESSITY.COM</v>
          </cell>
          <cell r="F757" t="str">
            <v>AUT MEDELLIN-BOGOTA KM 37 900 M</v>
          </cell>
          <cell r="G757" t="str">
            <v>05</v>
          </cell>
          <cell r="H757" t="str">
            <v>615</v>
          </cell>
          <cell r="I757" t="str">
            <v>05615</v>
          </cell>
          <cell r="J757" t="str">
            <v>VENTA DE BIENES</v>
          </cell>
          <cell r="K757">
            <v>4659</v>
          </cell>
          <cell r="L757">
            <v>219</v>
          </cell>
          <cell r="M757">
            <v>1134594</v>
          </cell>
        </row>
        <row r="758">
          <cell r="A758">
            <v>901302033</v>
          </cell>
          <cell r="B758" t="str">
            <v>FERRETERIA INGENIERIA Y SOLUCIONES SAS</v>
          </cell>
          <cell r="C758" t="str">
            <v>314 3010226</v>
          </cell>
          <cell r="D758">
            <v>3143010226</v>
          </cell>
          <cell r="E758" t="str">
            <v>ferreinsolventas@gmail.com</v>
          </cell>
          <cell r="F758" t="str">
            <v>CR 79 B 46 52 SUR BL I AP</v>
          </cell>
          <cell r="G758">
            <v>11</v>
          </cell>
          <cell r="H758" t="str">
            <v>001</v>
          </cell>
          <cell r="I758" t="str">
            <v>11001</v>
          </cell>
          <cell r="J758" t="str">
            <v>VENTA DE BIENES</v>
          </cell>
          <cell r="K758">
            <v>4659</v>
          </cell>
          <cell r="L758">
            <v>219</v>
          </cell>
          <cell r="M758">
            <v>7671000</v>
          </cell>
        </row>
        <row r="759">
          <cell r="A759">
            <v>901309652</v>
          </cell>
          <cell r="B759" t="str">
            <v>MACI INGENIERIA SAS</v>
          </cell>
          <cell r="C759" t="str">
            <v>+570000</v>
          </cell>
          <cell r="E759" t="str">
            <v>CONTABILIDAD@MACIINGENIERIA.COM</v>
          </cell>
          <cell r="F759" t="str">
            <v/>
          </cell>
          <cell r="G759" t="str">
            <v>15</v>
          </cell>
          <cell r="H759" t="str">
            <v>238</v>
          </cell>
          <cell r="I759" t="str">
            <v>15238</v>
          </cell>
          <cell r="J759" t="str">
            <v>VENTA DE BIENES</v>
          </cell>
          <cell r="K759">
            <v>4659</v>
          </cell>
          <cell r="L759">
            <v>219</v>
          </cell>
          <cell r="M759">
            <v>12133448</v>
          </cell>
        </row>
        <row r="760">
          <cell r="A760">
            <v>901315192</v>
          </cell>
          <cell r="B760" t="str">
            <v>MAXINGED S.A.S.</v>
          </cell>
          <cell r="E760" t="str">
            <v>maxinged@gmail.com</v>
          </cell>
          <cell r="F760" t="str">
            <v>CL 95 71 31 TO 2 AP 403</v>
          </cell>
          <cell r="G760" t="str">
            <v>11</v>
          </cell>
          <cell r="H760" t="str">
            <v>001</v>
          </cell>
          <cell r="I760" t="str">
            <v>11001</v>
          </cell>
          <cell r="J760" t="str">
            <v>VENTA DE BIENES</v>
          </cell>
          <cell r="K760">
            <v>4659</v>
          </cell>
          <cell r="L760">
            <v>219</v>
          </cell>
          <cell r="M760">
            <v>1905445</v>
          </cell>
        </row>
        <row r="761">
          <cell r="A761">
            <v>901326481</v>
          </cell>
          <cell r="B761" t="str">
            <v>SIEMENS ENERGY SAS</v>
          </cell>
          <cell r="C761" t="str">
            <v>+570000</v>
          </cell>
          <cell r="E761" t="str">
            <v>FACTURACIONELECTRONICA.COL@SIEMENS-ENERGY.COM</v>
          </cell>
          <cell r="F761" t="str">
            <v>AUT MEDELLIN COSTADO SUR KM 8 5</v>
          </cell>
          <cell r="G761">
            <v>25</v>
          </cell>
          <cell r="H761" t="str">
            <v>799</v>
          </cell>
          <cell r="I761" t="str">
            <v>25799</v>
          </cell>
          <cell r="J761" t="str">
            <v>VENTA DE BIENES</v>
          </cell>
          <cell r="K761">
            <v>4659</v>
          </cell>
          <cell r="L761">
            <v>219</v>
          </cell>
          <cell r="M761">
            <v>6738446</v>
          </cell>
        </row>
        <row r="762">
          <cell r="A762">
            <v>901337193</v>
          </cell>
          <cell r="B762" t="str">
            <v>GLOBAL SUPPLIES SOLUTIONS S.A.S.</v>
          </cell>
          <cell r="C762">
            <v>3425424</v>
          </cell>
          <cell r="D762">
            <v>3425424</v>
          </cell>
          <cell r="E762" t="str">
            <v>cotizaciones@globalsuppliessolutions.com</v>
          </cell>
          <cell r="F762" t="str">
            <v/>
          </cell>
          <cell r="G762" t="str">
            <v>08</v>
          </cell>
          <cell r="H762" t="str">
            <v>001</v>
          </cell>
          <cell r="I762" t="str">
            <v>08001</v>
          </cell>
          <cell r="J762" t="str">
            <v>VENTA DE BIENES</v>
          </cell>
          <cell r="K762">
            <v>4659</v>
          </cell>
          <cell r="L762">
            <v>219</v>
          </cell>
          <cell r="M762">
            <v>543400</v>
          </cell>
        </row>
        <row r="763">
          <cell r="A763">
            <v>901341624</v>
          </cell>
          <cell r="B763" t="str">
            <v>SUELAS E INSUMOS DEL NORTE S.A.S.</v>
          </cell>
          <cell r="C763" t="str">
            <v>314 2174494</v>
          </cell>
          <cell r="D763">
            <v>3142174494</v>
          </cell>
          <cell r="E763" t="str">
            <v>suelaseinsumosdelnorte@gmail.com</v>
          </cell>
          <cell r="F763" t="str">
            <v>AV 17 20 20</v>
          </cell>
          <cell r="G763" t="str">
            <v>54</v>
          </cell>
          <cell r="H763" t="str">
            <v>001</v>
          </cell>
          <cell r="I763" t="str">
            <v>54001</v>
          </cell>
          <cell r="J763" t="str">
            <v>VENTA DE BIENES</v>
          </cell>
          <cell r="K763">
            <v>4659</v>
          </cell>
          <cell r="L763">
            <v>219</v>
          </cell>
          <cell r="M763">
            <v>1905445</v>
          </cell>
        </row>
        <row r="764">
          <cell r="A764">
            <v>901344959</v>
          </cell>
          <cell r="B764" t="str">
            <v>SEFIC ENERGY S.A.S.</v>
          </cell>
          <cell r="C764" t="str">
            <v>310 4050856</v>
          </cell>
          <cell r="D764">
            <v>3104050856</v>
          </cell>
          <cell r="E764" t="str">
            <v>coordinador.proyectos@seficenergy.com</v>
          </cell>
          <cell r="F764" t="str">
            <v>CL 65 A 23 B 50 P 3</v>
          </cell>
          <cell r="G764" t="str">
            <v>17</v>
          </cell>
          <cell r="H764" t="str">
            <v>001</v>
          </cell>
          <cell r="I764" t="str">
            <v>17001</v>
          </cell>
          <cell r="J764" t="str">
            <v>VENTA DE BIENES</v>
          </cell>
          <cell r="K764">
            <v>4659</v>
          </cell>
          <cell r="L764">
            <v>219</v>
          </cell>
          <cell r="M764">
            <v>387195</v>
          </cell>
        </row>
        <row r="765">
          <cell r="A765">
            <v>901355302</v>
          </cell>
          <cell r="B765" t="str">
            <v>MC &amp; I AMERICAS SAS</v>
          </cell>
          <cell r="C765" t="str">
            <v>304 6226914</v>
          </cell>
          <cell r="D765">
            <v>3046226914</v>
          </cell>
          <cell r="E765" t="str">
            <v>administrativabq@mci-americas.com</v>
          </cell>
          <cell r="F765" t="str">
            <v>CL 64 66 38</v>
          </cell>
          <cell r="G765" t="str">
            <v>08</v>
          </cell>
          <cell r="H765" t="str">
            <v>001</v>
          </cell>
          <cell r="I765" t="str">
            <v>08001</v>
          </cell>
          <cell r="J765" t="str">
            <v>VENTA DE BIENES</v>
          </cell>
          <cell r="K765">
            <v>4659</v>
          </cell>
          <cell r="L765">
            <v>219</v>
          </cell>
          <cell r="M765">
            <v>3690258</v>
          </cell>
        </row>
        <row r="766">
          <cell r="A766">
            <v>901364581</v>
          </cell>
          <cell r="B766" t="str">
            <v>FOCUS ING SAS</v>
          </cell>
          <cell r="C766" t="str">
            <v>301 7159747</v>
          </cell>
          <cell r="D766">
            <v>3017159747</v>
          </cell>
          <cell r="E766" t="str">
            <v>contabilidad@focusing.com.co</v>
          </cell>
          <cell r="F766" t="str">
            <v>CL 18 10 33 OF 223 CC GALAXCENTRO</v>
          </cell>
          <cell r="G766" t="str">
            <v>11</v>
          </cell>
          <cell r="H766" t="str">
            <v>001</v>
          </cell>
          <cell r="I766" t="str">
            <v>11001</v>
          </cell>
          <cell r="J766" t="str">
            <v>VENTA DE BIENES</v>
          </cell>
          <cell r="K766">
            <v>4659</v>
          </cell>
          <cell r="L766">
            <v>219</v>
          </cell>
          <cell r="M766">
            <v>1341116</v>
          </cell>
        </row>
        <row r="767">
          <cell r="A767">
            <v>901367494</v>
          </cell>
          <cell r="B767" t="str">
            <v>ILN CONSULTING S.A.S</v>
          </cell>
          <cell r="C767" t="str">
            <v>316 5784474</v>
          </cell>
          <cell r="D767">
            <v>3165784474</v>
          </cell>
          <cell r="E767" t="str">
            <v>romeroja@ilnconsulting.com</v>
          </cell>
          <cell r="F767" t="str">
            <v>CL 49 SUR 45 A 300 OF 2213</v>
          </cell>
          <cell r="G767" t="str">
            <v>05</v>
          </cell>
          <cell r="H767" t="str">
            <v>266</v>
          </cell>
          <cell r="I767" t="str">
            <v>05266</v>
          </cell>
          <cell r="J767" t="str">
            <v>VENTA DE BIENES</v>
          </cell>
          <cell r="K767">
            <v>4659</v>
          </cell>
          <cell r="L767">
            <v>219</v>
          </cell>
          <cell r="M767">
            <v>80823801</v>
          </cell>
        </row>
        <row r="768">
          <cell r="A768">
            <v>901367630</v>
          </cell>
          <cell r="B768" t="str">
            <v>SAFETY ENGINEERING BUREAU SAS</v>
          </cell>
          <cell r="C768" t="str">
            <v>305 4879144</v>
          </cell>
          <cell r="D768">
            <v>3054879144</v>
          </cell>
          <cell r="E768" t="str">
            <v>contacto@sebconsultores.com</v>
          </cell>
          <cell r="F768" t="str">
            <v>BRR LAS GAVIOTAS MZ 71 LT 11 ET 7</v>
          </cell>
          <cell r="G768" t="str">
            <v>13</v>
          </cell>
          <cell r="H768" t="str">
            <v>001</v>
          </cell>
          <cell r="I768" t="str">
            <v>13001</v>
          </cell>
          <cell r="J768" t="str">
            <v>VENTA DE BIENES</v>
          </cell>
          <cell r="K768">
            <v>4659</v>
          </cell>
          <cell r="L768">
            <v>219</v>
          </cell>
          <cell r="M768">
            <v>64600</v>
          </cell>
        </row>
        <row r="769">
          <cell r="A769">
            <v>901368409</v>
          </cell>
          <cell r="B769" t="str">
            <v>JR  POWER QUALITY S.A.S</v>
          </cell>
          <cell r="C769" t="str">
            <v>301 7943300</v>
          </cell>
          <cell r="D769">
            <v>3017943300</v>
          </cell>
          <cell r="E769" t="str">
            <v>administrativo@jrpower.co</v>
          </cell>
          <cell r="F769" t="str">
            <v>CARRERA 43 #75B-185 LOCAL 36</v>
          </cell>
          <cell r="G769" t="str">
            <v>08</v>
          </cell>
          <cell r="H769" t="str">
            <v>001</v>
          </cell>
          <cell r="I769" t="str">
            <v>08001</v>
          </cell>
          <cell r="J769" t="str">
            <v>VENTA DE BIENES</v>
          </cell>
          <cell r="K769">
            <v>4659</v>
          </cell>
          <cell r="L769">
            <v>219</v>
          </cell>
          <cell r="M769">
            <v>3156293</v>
          </cell>
        </row>
        <row r="770">
          <cell r="A770">
            <v>901371194</v>
          </cell>
          <cell r="B770" t="str">
            <v>CONSORCIO COMSA INDUSTRIAL INDRA ITS CONPACIFICO</v>
          </cell>
          <cell r="C770" t="str">
            <v>+570000</v>
          </cell>
          <cell r="E770" t="str">
            <v>COLOMBIA@COMSA.COM</v>
          </cell>
          <cell r="F770" t="str">
            <v>CR 11 A 93 A 62</v>
          </cell>
          <cell r="G770" t="str">
            <v>11</v>
          </cell>
          <cell r="H770" t="str">
            <v>001</v>
          </cell>
          <cell r="I770" t="str">
            <v>11001</v>
          </cell>
          <cell r="J770" t="str">
            <v>VENTA DE BIENES</v>
          </cell>
          <cell r="K770">
            <v>4659</v>
          </cell>
          <cell r="L770">
            <v>219</v>
          </cell>
          <cell r="M770">
            <v>38121386</v>
          </cell>
        </row>
        <row r="771">
          <cell r="A771">
            <v>901380474</v>
          </cell>
          <cell r="B771" t="str">
            <v>SPECIAL GROUP INGENIEROS S.A.S.</v>
          </cell>
          <cell r="C771" t="str">
            <v>313 5368600</v>
          </cell>
          <cell r="D771">
            <v>3135368600</v>
          </cell>
          <cell r="E771" t="str">
            <v>specialgroup.lr@gmail.com</v>
          </cell>
          <cell r="F771" t="str">
            <v>DG 74 C 32 E 35 AP 101</v>
          </cell>
          <cell r="G771" t="str">
            <v>05</v>
          </cell>
          <cell r="H771" t="str">
            <v>001</v>
          </cell>
          <cell r="I771" t="str">
            <v>05001</v>
          </cell>
          <cell r="J771" t="str">
            <v>VENTA DE BIENES</v>
          </cell>
          <cell r="K771">
            <v>4659</v>
          </cell>
          <cell r="L771">
            <v>219</v>
          </cell>
          <cell r="M771">
            <v>3178934</v>
          </cell>
        </row>
        <row r="772">
          <cell r="A772">
            <v>901383974</v>
          </cell>
          <cell r="B772" t="str">
            <v>MONDI CARTAGENA S.A.S.</v>
          </cell>
          <cell r="C772" t="str">
            <v>316 6917069</v>
          </cell>
          <cell r="D772">
            <v>3166917069</v>
          </cell>
          <cell r="E772" t="str">
            <v>RECEPCION.FACTURACTG@MONDIGROUP.COM</v>
          </cell>
          <cell r="F772" t="str">
            <v>LT NO CA 4 ZN FRANCA LA CANDELARIA</v>
          </cell>
          <cell r="G772" t="str">
            <v>13</v>
          </cell>
          <cell r="H772" t="str">
            <v>001</v>
          </cell>
          <cell r="I772" t="str">
            <v>13001</v>
          </cell>
          <cell r="J772" t="str">
            <v>VENTA DE BIENES</v>
          </cell>
          <cell r="K772">
            <v>4659</v>
          </cell>
          <cell r="L772">
            <v>219</v>
          </cell>
          <cell r="M772">
            <v>3025600</v>
          </cell>
        </row>
        <row r="773">
          <cell r="A773">
            <v>901386565</v>
          </cell>
          <cell r="B773" t="str">
            <v>BLC COLOMBIA SAS</v>
          </cell>
          <cell r="C773" t="str">
            <v>+570000</v>
          </cell>
          <cell r="E773" t="str">
            <v>CUENTASAPAGAR@BLCGES.COM</v>
          </cell>
          <cell r="F773" t="str">
            <v>CR 16 93 92 P 5</v>
          </cell>
          <cell r="G773" t="str">
            <v>11</v>
          </cell>
          <cell r="H773" t="str">
            <v>001</v>
          </cell>
          <cell r="I773" t="str">
            <v>11001</v>
          </cell>
          <cell r="J773" t="str">
            <v>VENTA DE BIENES</v>
          </cell>
          <cell r="K773">
            <v>4659</v>
          </cell>
          <cell r="L773">
            <v>219</v>
          </cell>
          <cell r="M773">
            <v>6077509</v>
          </cell>
        </row>
        <row r="774">
          <cell r="A774">
            <v>901387859</v>
          </cell>
          <cell r="B774" t="str">
            <v>BIOENA SAS</v>
          </cell>
          <cell r="C774" t="str">
            <v>310 7402706</v>
          </cell>
          <cell r="D774">
            <v>3107402706</v>
          </cell>
          <cell r="E774" t="str">
            <v>denis.rivera@bioena.co</v>
          </cell>
          <cell r="F774" t="str">
            <v>CR 1 C 22 58 ED BAHIA CENTRO OF 406</v>
          </cell>
          <cell r="G774" t="str">
            <v>47</v>
          </cell>
          <cell r="H774" t="str">
            <v>001</v>
          </cell>
          <cell r="I774" t="str">
            <v>47001</v>
          </cell>
          <cell r="J774" t="str">
            <v>VENTA DE BIENES</v>
          </cell>
          <cell r="K774">
            <v>4659</v>
          </cell>
          <cell r="L774">
            <v>219</v>
          </cell>
          <cell r="M774">
            <v>7213576</v>
          </cell>
        </row>
        <row r="775">
          <cell r="A775">
            <v>901387859</v>
          </cell>
          <cell r="B775" t="str">
            <v>BIOENA SAS</v>
          </cell>
          <cell r="C775" t="str">
            <v>310 7402706</v>
          </cell>
          <cell r="D775">
            <v>3107402706</v>
          </cell>
          <cell r="E775" t="str">
            <v>denis.rivera@bioena.co</v>
          </cell>
          <cell r="F775" t="str">
            <v>CR 1 C 22 58 ED BAHIA CENTRO OF 406</v>
          </cell>
          <cell r="G775" t="str">
            <v>47</v>
          </cell>
          <cell r="H775" t="str">
            <v>001</v>
          </cell>
          <cell r="I775" t="str">
            <v>47001</v>
          </cell>
          <cell r="J775" t="str">
            <v>TRANSPORTE</v>
          </cell>
          <cell r="K775">
            <v>3312</v>
          </cell>
          <cell r="L775">
            <v>334</v>
          </cell>
          <cell r="M775">
            <v>152000</v>
          </cell>
        </row>
        <row r="776">
          <cell r="A776">
            <v>901393818</v>
          </cell>
          <cell r="B776" t="str">
            <v>CALOM SOLAR SAS</v>
          </cell>
          <cell r="E776" t="str">
            <v>empresa@calomsolar.com</v>
          </cell>
          <cell r="F776" t="str">
            <v/>
          </cell>
          <cell r="G776" t="str">
            <v>11</v>
          </cell>
          <cell r="H776" t="str">
            <v>001</v>
          </cell>
          <cell r="I776" t="str">
            <v>11001</v>
          </cell>
          <cell r="J776" t="str">
            <v>VENTA DE BIENES</v>
          </cell>
          <cell r="K776">
            <v>4659</v>
          </cell>
          <cell r="L776">
            <v>219</v>
          </cell>
          <cell r="M776">
            <v>1310142</v>
          </cell>
        </row>
        <row r="777">
          <cell r="A777">
            <v>901408875</v>
          </cell>
          <cell r="B777" t="str">
            <v>CONTROLGEN SAS</v>
          </cell>
          <cell r="C777" t="str">
            <v>+570000</v>
          </cell>
          <cell r="E777" t="str">
            <v>CONTACTO@CONTROLGEN.CO</v>
          </cell>
          <cell r="F777" t="str">
            <v>CR 1 SUR 10 09</v>
          </cell>
          <cell r="G777" t="str">
            <v>25</v>
          </cell>
          <cell r="H777" t="str">
            <v>269</v>
          </cell>
          <cell r="I777" t="str">
            <v>25269</v>
          </cell>
          <cell r="J777" t="str">
            <v>42 GRAVADOS</v>
          </cell>
          <cell r="K777">
            <v>4659</v>
          </cell>
          <cell r="L777">
            <v>219</v>
          </cell>
          <cell r="M777">
            <v>1498131</v>
          </cell>
        </row>
        <row r="778">
          <cell r="A778">
            <v>901409625</v>
          </cell>
          <cell r="B778" t="str">
            <v>DERIVADOS LÀCTEOS QBCO S.A.S</v>
          </cell>
          <cell r="C778">
            <v>2384452</v>
          </cell>
          <cell r="D778">
            <v>2384452</v>
          </cell>
          <cell r="E778" t="str">
            <v>contacto@qbco.biz</v>
          </cell>
          <cell r="F778" t="str">
            <v/>
          </cell>
          <cell r="G778" t="str">
            <v>25</v>
          </cell>
          <cell r="H778" t="str">
            <v>817</v>
          </cell>
          <cell r="I778" t="str">
            <v>25817</v>
          </cell>
          <cell r="J778" t="str">
            <v>VENTA DE BIENES</v>
          </cell>
          <cell r="K778">
            <v>4659</v>
          </cell>
          <cell r="L778">
            <v>219</v>
          </cell>
          <cell r="M778">
            <v>2572800</v>
          </cell>
        </row>
        <row r="779">
          <cell r="A779">
            <v>901420616</v>
          </cell>
          <cell r="B779" t="str">
            <v>ELECTROINDUSTRIALES M. T. S.A.S</v>
          </cell>
          <cell r="C779" t="str">
            <v>321 3331031</v>
          </cell>
          <cell r="D779">
            <v>3213331031</v>
          </cell>
          <cell r="E779" t="str">
            <v>area.ventas.mt@gmail.com</v>
          </cell>
          <cell r="F779" t="str">
            <v/>
          </cell>
          <cell r="G779" t="str">
            <v>11</v>
          </cell>
          <cell r="H779" t="str">
            <v>001</v>
          </cell>
          <cell r="I779" t="str">
            <v>11001</v>
          </cell>
          <cell r="J779" t="str">
            <v>VENTA DE BIENES</v>
          </cell>
          <cell r="K779">
            <v>4659</v>
          </cell>
          <cell r="L779">
            <v>219</v>
          </cell>
          <cell r="M779">
            <v>724800</v>
          </cell>
        </row>
        <row r="780">
          <cell r="A780">
            <v>901430445</v>
          </cell>
          <cell r="B780" t="str">
            <v>COLSEMAQ SAS</v>
          </cell>
          <cell r="C780" t="str">
            <v>+570000</v>
          </cell>
          <cell r="E780" t="str">
            <v>FEPROVEEDOR@COLSEMAQ.COM.CO</v>
          </cell>
          <cell r="F780" t="str">
            <v>VDA TIBITO PARQUE INDUSTRIAL GRAN SABANA ED 32</v>
          </cell>
          <cell r="G780" t="str">
            <v>25</v>
          </cell>
          <cell r="H780" t="str">
            <v>817</v>
          </cell>
          <cell r="I780" t="str">
            <v>25817</v>
          </cell>
          <cell r="J780" t="str">
            <v>42 GRAVADOS</v>
          </cell>
          <cell r="K780">
            <v>4659</v>
          </cell>
          <cell r="L780">
            <v>219</v>
          </cell>
          <cell r="M780">
            <v>91199826</v>
          </cell>
        </row>
        <row r="781">
          <cell r="A781">
            <v>901430445</v>
          </cell>
          <cell r="B781" t="str">
            <v>COLSEMAQ SAS</v>
          </cell>
          <cell r="C781" t="str">
            <v>+570000</v>
          </cell>
          <cell r="E781" t="str">
            <v>FEPROVEEDOR@COLSEMAQ.COM.CO</v>
          </cell>
          <cell r="F781" t="str">
            <v>VDA TIBITO PARQUE INDUSTRIAL GRAN SABANA ED 32</v>
          </cell>
          <cell r="G781" t="str">
            <v>25</v>
          </cell>
          <cell r="H781" t="str">
            <v>817</v>
          </cell>
          <cell r="I781" t="str">
            <v>25817</v>
          </cell>
          <cell r="J781" t="str">
            <v>ARRENDAMIENTO</v>
          </cell>
          <cell r="K781">
            <v>7730</v>
          </cell>
          <cell r="L781">
            <v>334</v>
          </cell>
          <cell r="M781">
            <v>4213800</v>
          </cell>
        </row>
        <row r="782">
          <cell r="A782">
            <v>901430445</v>
          </cell>
          <cell r="B782" t="str">
            <v>COLSEMAQ SAS</v>
          </cell>
          <cell r="C782" t="str">
            <v>+570000</v>
          </cell>
          <cell r="E782" t="str">
            <v>FEPROVEEDOR@COLSEMAQ.COM.CO</v>
          </cell>
          <cell r="F782" t="str">
            <v>VDA TIBITO PARQUE INDUSTRIAL GRAN SABANA ED 32</v>
          </cell>
          <cell r="G782" t="str">
            <v>25</v>
          </cell>
          <cell r="H782" t="str">
            <v>817</v>
          </cell>
          <cell r="I782" t="str">
            <v>25817</v>
          </cell>
          <cell r="J782" t="str">
            <v>SERV ADMON</v>
          </cell>
          <cell r="K782">
            <v>3312</v>
          </cell>
          <cell r="L782">
            <v>334</v>
          </cell>
          <cell r="M782">
            <v>8846441</v>
          </cell>
        </row>
        <row r="783">
          <cell r="A783">
            <v>901432582</v>
          </cell>
          <cell r="B783" t="str">
            <v>EVOLTI COMPANY SAS BIC</v>
          </cell>
          <cell r="C783" t="str">
            <v>317 3569497</v>
          </cell>
          <cell r="D783">
            <v>3173569497</v>
          </cell>
          <cell r="E783" t="str">
            <v>CONTABILIDAD@EVOLTI.CO</v>
          </cell>
          <cell r="F783" t="str">
            <v>CL 21 29 70 BRR LAS CUADRAS</v>
          </cell>
          <cell r="G783">
            <v>52</v>
          </cell>
          <cell r="H783" t="str">
            <v>001</v>
          </cell>
          <cell r="I783" t="str">
            <v>52001</v>
          </cell>
          <cell r="J783" t="str">
            <v>VENTA DE BIENES</v>
          </cell>
          <cell r="K783">
            <v>4659</v>
          </cell>
          <cell r="L783">
            <v>219</v>
          </cell>
          <cell r="M783">
            <v>14011260</v>
          </cell>
        </row>
        <row r="784">
          <cell r="A784">
            <v>901433247</v>
          </cell>
          <cell r="B784" t="str">
            <v>SKANHAWK SAS</v>
          </cell>
          <cell r="C784" t="str">
            <v>314 3592520</v>
          </cell>
          <cell r="D784">
            <v>3143592520</v>
          </cell>
          <cell r="E784" t="str">
            <v>facturacion@skanhawk.com</v>
          </cell>
          <cell r="F784" t="str">
            <v>CR 11 A 97 A 19</v>
          </cell>
          <cell r="G784" t="str">
            <v>11</v>
          </cell>
          <cell r="H784" t="str">
            <v>001</v>
          </cell>
          <cell r="I784" t="str">
            <v>11001</v>
          </cell>
          <cell r="J784" t="str">
            <v>VENTA DE BIENES</v>
          </cell>
          <cell r="K784">
            <v>4659</v>
          </cell>
          <cell r="L784">
            <v>219</v>
          </cell>
          <cell r="M784">
            <v>1776000</v>
          </cell>
        </row>
        <row r="785">
          <cell r="A785">
            <v>901436272</v>
          </cell>
          <cell r="B785" t="str">
            <v>INOXMAQUINAS SAS</v>
          </cell>
          <cell r="C785" t="str">
            <v>+570000</v>
          </cell>
          <cell r="E785" t="str">
            <v>INOXMAQUINASSAS@GMAIL.COM</v>
          </cell>
          <cell r="F785" t="str">
            <v>CR 32 A 2 12</v>
          </cell>
          <cell r="G785" t="str">
            <v>11</v>
          </cell>
          <cell r="H785" t="str">
            <v>001</v>
          </cell>
          <cell r="I785" t="str">
            <v>11001</v>
          </cell>
          <cell r="J785" t="str">
            <v>VENTA DE BIENES</v>
          </cell>
          <cell r="K785">
            <v>4659</v>
          </cell>
          <cell r="L785">
            <v>219</v>
          </cell>
          <cell r="M785">
            <v>13606103</v>
          </cell>
        </row>
        <row r="786">
          <cell r="A786">
            <v>901438495</v>
          </cell>
          <cell r="B786" t="str">
            <v>FRIO &amp; CONTROL SAS</v>
          </cell>
          <cell r="C786" t="str">
            <v>315 5529837</v>
          </cell>
          <cell r="D786">
            <v>3155529837</v>
          </cell>
          <cell r="E786" t="str">
            <v>facturacion@frioycontrol.com</v>
          </cell>
          <cell r="F786" t="str">
            <v>CR 51 12BS 90</v>
          </cell>
          <cell r="G786" t="str">
            <v>05</v>
          </cell>
          <cell r="H786" t="str">
            <v>001</v>
          </cell>
          <cell r="I786" t="str">
            <v>05001</v>
          </cell>
          <cell r="J786" t="str">
            <v>VENTA DE BIENES</v>
          </cell>
          <cell r="K786">
            <v>4659</v>
          </cell>
          <cell r="L786">
            <v>219</v>
          </cell>
          <cell r="M786">
            <v>43419404</v>
          </cell>
        </row>
        <row r="787">
          <cell r="A787">
            <v>901441661</v>
          </cell>
          <cell r="B787" t="str">
            <v>INDUSTRIAL IOT STUDIO SAS</v>
          </cell>
          <cell r="C787" t="str">
            <v>313 4998766</v>
          </cell>
          <cell r="D787">
            <v>3134998766</v>
          </cell>
          <cell r="E787" t="str">
            <v>contacto@dymetek.com</v>
          </cell>
          <cell r="F787" t="str">
            <v>CL 74 15 13 OF 201</v>
          </cell>
          <cell r="G787" t="str">
            <v>11</v>
          </cell>
          <cell r="H787" t="str">
            <v>001</v>
          </cell>
          <cell r="I787" t="str">
            <v>11001</v>
          </cell>
          <cell r="J787" t="str">
            <v>VENTA DE BIENES</v>
          </cell>
          <cell r="K787">
            <v>4659</v>
          </cell>
          <cell r="L787">
            <v>219</v>
          </cell>
          <cell r="M787">
            <v>10095677</v>
          </cell>
        </row>
        <row r="788">
          <cell r="A788">
            <v>901445213</v>
          </cell>
          <cell r="B788" t="str">
            <v>SENERC SAS</v>
          </cell>
          <cell r="C788" t="str">
            <v>+570000</v>
          </cell>
          <cell r="E788" t="str">
            <v>ADMINISTRACION@SENERC.COM.CO</v>
          </cell>
          <cell r="F788" t="str">
            <v>CARRERA 67 10A 95</v>
          </cell>
          <cell r="G788" t="str">
            <v>11</v>
          </cell>
          <cell r="H788" t="str">
            <v>001</v>
          </cell>
          <cell r="I788" t="str">
            <v>11001</v>
          </cell>
          <cell r="J788" t="str">
            <v>VENTA DE BIENES</v>
          </cell>
          <cell r="K788">
            <v>4659</v>
          </cell>
          <cell r="L788">
            <v>219</v>
          </cell>
          <cell r="M788">
            <v>2550400</v>
          </cell>
        </row>
        <row r="789">
          <cell r="A789">
            <v>901449755</v>
          </cell>
          <cell r="B789" t="str">
            <v>DISEÑOS ELECTRICOS Y ELECTRONICOS SAS</v>
          </cell>
          <cell r="C789" t="str">
            <v>+570000</v>
          </cell>
          <cell r="E789" t="str">
            <v>LUISRENGIFO84@HOTMAIL.COM</v>
          </cell>
          <cell r="F789" t="str">
            <v>CR 49 A 18 55 BRR SAN JUDAS</v>
          </cell>
          <cell r="G789" t="str">
            <v>76</v>
          </cell>
          <cell r="H789" t="str">
            <v>001</v>
          </cell>
          <cell r="I789" t="str">
            <v>76001</v>
          </cell>
          <cell r="J789" t="str">
            <v>VENTA DE BIENES</v>
          </cell>
          <cell r="K789">
            <v>4659</v>
          </cell>
          <cell r="L789">
            <v>219</v>
          </cell>
          <cell r="M789">
            <v>1000598</v>
          </cell>
        </row>
        <row r="790">
          <cell r="A790">
            <v>901449821</v>
          </cell>
          <cell r="B790" t="str">
            <v>SOLARSYS S.A.S</v>
          </cell>
          <cell r="E790" t="str">
            <v>asistente.solarsys@gmail.com</v>
          </cell>
          <cell r="F790" t="str">
            <v/>
          </cell>
          <cell r="G790" t="str">
            <v>17</v>
          </cell>
          <cell r="H790" t="str">
            <v>001</v>
          </cell>
          <cell r="I790" t="str">
            <v>17001</v>
          </cell>
          <cell r="J790" t="str">
            <v>VENTA DE BIENES</v>
          </cell>
          <cell r="K790">
            <v>4659</v>
          </cell>
          <cell r="L790">
            <v>219</v>
          </cell>
          <cell r="M790">
            <v>1752872</v>
          </cell>
        </row>
        <row r="791">
          <cell r="A791">
            <v>901458968</v>
          </cell>
          <cell r="B791" t="str">
            <v>SOLUCIONES PLASTICAS CARIBE S.A.S.</v>
          </cell>
          <cell r="C791" t="str">
            <v>+570000</v>
          </cell>
          <cell r="E791" t="str">
            <v>901458968@factureinbox.co</v>
          </cell>
          <cell r="F791" t="str">
            <v>KM 6 379 SEC PARQUIMERICA MZ F LC 1 A</v>
          </cell>
          <cell r="G791" t="str">
            <v>13</v>
          </cell>
          <cell r="H791" t="str">
            <v>001</v>
          </cell>
          <cell r="I791" t="str">
            <v>13001</v>
          </cell>
          <cell r="J791" t="str">
            <v>VENTA DE BIENES</v>
          </cell>
          <cell r="K791">
            <v>4659</v>
          </cell>
          <cell r="L791">
            <v>219</v>
          </cell>
          <cell r="M791">
            <v>2270400</v>
          </cell>
        </row>
        <row r="792">
          <cell r="A792">
            <v>901463091</v>
          </cell>
          <cell r="B792" t="str">
            <v>GOTRON MOTIONS S.A.S</v>
          </cell>
          <cell r="C792" t="str">
            <v>2452509</v>
          </cell>
          <cell r="E792" t="str">
            <v>soporte@gotronmotions.com</v>
          </cell>
          <cell r="F792" t="str">
            <v>CRA 54 A 61 76</v>
          </cell>
          <cell r="G792" t="str">
            <v>11</v>
          </cell>
          <cell r="H792" t="str">
            <v>001</v>
          </cell>
          <cell r="I792" t="str">
            <v>11001</v>
          </cell>
          <cell r="J792" t="str">
            <v>VENTA DE BIENES</v>
          </cell>
          <cell r="K792">
            <v>4659</v>
          </cell>
          <cell r="L792">
            <v>219</v>
          </cell>
          <cell r="M792">
            <v>6152000</v>
          </cell>
        </row>
        <row r="793">
          <cell r="A793">
            <v>901463091</v>
          </cell>
          <cell r="B793" t="str">
            <v>GOTRON MOTIONS S.A.S</v>
          </cell>
          <cell r="C793" t="str">
            <v>2452509</v>
          </cell>
          <cell r="E793" t="str">
            <v>soporte@gotronmotions.com</v>
          </cell>
          <cell r="F793" t="str">
            <v>CRA 54 A 61 76</v>
          </cell>
          <cell r="G793" t="str">
            <v>11</v>
          </cell>
          <cell r="H793" t="str">
            <v>001</v>
          </cell>
          <cell r="I793" t="str">
            <v>11001</v>
          </cell>
          <cell r="J793" t="str">
            <v>42 GRAVADOS</v>
          </cell>
          <cell r="K793">
            <v>4659</v>
          </cell>
          <cell r="L793">
            <v>219</v>
          </cell>
          <cell r="M793">
            <v>675003</v>
          </cell>
        </row>
        <row r="794">
          <cell r="A794">
            <v>901468001</v>
          </cell>
          <cell r="B794" t="str">
            <v>INGENIERIA Y MONTAJES INDUSTRIALES INGEMONTIN SAS</v>
          </cell>
          <cell r="C794" t="str">
            <v>+570000</v>
          </cell>
          <cell r="E794" t="str">
            <v>INGEMONTINSAS@HOTMAIL.COM</v>
          </cell>
          <cell r="F794" t="str">
            <v>DG 17 B 88 77 TO 1 OF 704</v>
          </cell>
          <cell r="G794" t="str">
            <v>11</v>
          </cell>
          <cell r="H794" t="str">
            <v>001</v>
          </cell>
          <cell r="I794" t="str">
            <v>11001</v>
          </cell>
          <cell r="J794" t="str">
            <v>42 GRAVADOS</v>
          </cell>
          <cell r="K794">
            <v>4659</v>
          </cell>
          <cell r="L794">
            <v>219</v>
          </cell>
          <cell r="M794">
            <v>400</v>
          </cell>
        </row>
        <row r="795">
          <cell r="A795">
            <v>901471921</v>
          </cell>
          <cell r="B795" t="str">
            <v>NUTTRE &amp; CO S.A.S</v>
          </cell>
          <cell r="C795" t="str">
            <v>324 6714728</v>
          </cell>
          <cell r="D795">
            <v>3246714728</v>
          </cell>
          <cell r="E795" t="str">
            <v>planeador.mantenimiento@nuttre.co</v>
          </cell>
          <cell r="F795" t="str">
            <v>VEREDA LA PRIMAVERA ANTIGUA CENTRAL DE SACRIFICIO</v>
          </cell>
          <cell r="G795" t="str">
            <v>63</v>
          </cell>
          <cell r="H795" t="str">
            <v>130</v>
          </cell>
          <cell r="I795" t="str">
            <v>63130</v>
          </cell>
          <cell r="J795" t="str">
            <v>VENTA DE BIENES</v>
          </cell>
          <cell r="K795">
            <v>4659</v>
          </cell>
          <cell r="L795">
            <v>219</v>
          </cell>
          <cell r="M795">
            <v>6972800</v>
          </cell>
        </row>
        <row r="796">
          <cell r="A796">
            <v>901475898</v>
          </cell>
          <cell r="B796" t="str">
            <v>HIPER SUMINISTROS E IMPORTACIONES S.A.S.</v>
          </cell>
          <cell r="C796" t="str">
            <v>316 5386585</v>
          </cell>
          <cell r="D796">
            <v>3165386585</v>
          </cell>
          <cell r="E796" t="str">
            <v>pahiper@hipersuministros.co</v>
          </cell>
          <cell r="F796" t="str">
            <v>URB PARQUE HEREDIA ED CANDIL TO 8 AP 303</v>
          </cell>
          <cell r="G796" t="str">
            <v>13</v>
          </cell>
          <cell r="H796" t="str">
            <v>001</v>
          </cell>
          <cell r="I796" t="str">
            <v>13001</v>
          </cell>
          <cell r="J796" t="str">
            <v>VENTA DE BIENES</v>
          </cell>
          <cell r="K796">
            <v>4659</v>
          </cell>
          <cell r="L796">
            <v>219</v>
          </cell>
          <cell r="M796">
            <v>1365422</v>
          </cell>
        </row>
        <row r="797">
          <cell r="A797">
            <v>901480503</v>
          </cell>
          <cell r="B797" t="str">
            <v>PEPSICO ALIMENTOS ANTIOQUIA LTDA</v>
          </cell>
          <cell r="C797" t="str">
            <v>310 3478697</v>
          </cell>
          <cell r="D797">
            <v>3103478697</v>
          </cell>
          <cell r="E797" t="str">
            <v>leidy.agudelo@pepsico.com</v>
          </cell>
          <cell r="F797" t="str">
            <v>KM 28 500 AUT MEDELLIN BOGOTA VDA LA MOSCA</v>
          </cell>
          <cell r="G797" t="str">
            <v>05</v>
          </cell>
          <cell r="H797" t="str">
            <v>318</v>
          </cell>
          <cell r="I797" t="str">
            <v>05318</v>
          </cell>
          <cell r="J797" t="str">
            <v>VENTA DE BIENES</v>
          </cell>
          <cell r="K797">
            <v>4659</v>
          </cell>
          <cell r="L797">
            <v>219</v>
          </cell>
          <cell r="M797">
            <v>26368600</v>
          </cell>
        </row>
        <row r="798">
          <cell r="A798">
            <v>901487581</v>
          </cell>
          <cell r="B798" t="str">
            <v>DISTRIBUCIONES ELECTRICAS NB S.A.S.</v>
          </cell>
          <cell r="C798" t="str">
            <v>+570000</v>
          </cell>
          <cell r="E798" t="str">
            <v>contabilidad2803@gmail.com</v>
          </cell>
          <cell r="F798" t="str">
            <v>CR 80 B 2 C BIS 03</v>
          </cell>
          <cell r="G798">
            <v>76</v>
          </cell>
          <cell r="H798" t="str">
            <v>001</v>
          </cell>
          <cell r="I798" t="str">
            <v>76001</v>
          </cell>
          <cell r="J798" t="str">
            <v>VENTA DE BIENES</v>
          </cell>
          <cell r="K798">
            <v>4659</v>
          </cell>
          <cell r="L798">
            <v>219</v>
          </cell>
          <cell r="M798">
            <v>7476151</v>
          </cell>
        </row>
        <row r="799">
          <cell r="A799">
            <v>901495452</v>
          </cell>
          <cell r="B799" t="str">
            <v>CRISTAR TABLETOP S.A.S.</v>
          </cell>
          <cell r="C799" t="str">
            <v>318 7306304</v>
          </cell>
          <cell r="D799">
            <v>3187306304</v>
          </cell>
          <cell r="E799" t="str">
            <v>mayra.ramos@cristar.com.co</v>
          </cell>
          <cell r="F799" t="str">
            <v>CL 1 SUR 18 89</v>
          </cell>
          <cell r="G799">
            <v>76</v>
          </cell>
          <cell r="H799" t="str">
            <v>111</v>
          </cell>
          <cell r="I799" t="str">
            <v>76111</v>
          </cell>
          <cell r="J799" t="str">
            <v>VENTA DE BIENES</v>
          </cell>
          <cell r="K799">
            <v>4659</v>
          </cell>
          <cell r="L799">
            <v>219</v>
          </cell>
          <cell r="M799">
            <v>55162978</v>
          </cell>
        </row>
        <row r="800">
          <cell r="A800">
            <v>901498268</v>
          </cell>
          <cell r="B800" t="str">
            <v>ARTE Y EMPAQUE SAS</v>
          </cell>
          <cell r="C800" t="str">
            <v>315 3948323</v>
          </cell>
          <cell r="D800">
            <v>3153948323</v>
          </cell>
          <cell r="E800" t="str">
            <v>artepack@artepack.com.co</v>
          </cell>
          <cell r="F800" t="str">
            <v>Ak 30 No. 4 49</v>
          </cell>
          <cell r="G800" t="str">
            <v>11</v>
          </cell>
          <cell r="H800" t="str">
            <v>001</v>
          </cell>
          <cell r="I800" t="str">
            <v>11001</v>
          </cell>
          <cell r="J800" t="str">
            <v>VENTA DE BIENES</v>
          </cell>
          <cell r="K800">
            <v>4659</v>
          </cell>
          <cell r="L800">
            <v>219</v>
          </cell>
          <cell r="M800">
            <v>404236</v>
          </cell>
        </row>
        <row r="801">
          <cell r="A801">
            <v>901498530</v>
          </cell>
          <cell r="B801" t="str">
            <v>CONSORCIO MEDELLIN AL MAR</v>
          </cell>
          <cell r="C801" t="str">
            <v>+570000</v>
          </cell>
          <cell r="E801" t="str">
            <v>RADICACION.TUFACTURA@COLSEIN.COM.CO</v>
          </cell>
          <cell r="F801" t="str">
            <v>CR 49 A 91 85</v>
          </cell>
          <cell r="G801" t="str">
            <v>11</v>
          </cell>
          <cell r="H801" t="str">
            <v>001</v>
          </cell>
          <cell r="I801" t="str">
            <v>11001</v>
          </cell>
          <cell r="J801" t="str">
            <v>VENTA DE BIENES</v>
          </cell>
          <cell r="K801">
            <v>4659</v>
          </cell>
          <cell r="L801">
            <v>219</v>
          </cell>
          <cell r="M801">
            <v>4357362</v>
          </cell>
        </row>
        <row r="802">
          <cell r="A802">
            <v>901501355</v>
          </cell>
          <cell r="B802" t="str">
            <v>PROCESES ENGINEERING -TECH-RESPONSE-AUTOMATION-PETRA SERVICES-SAS</v>
          </cell>
          <cell r="C802" t="str">
            <v>311 5870775</v>
          </cell>
          <cell r="D802">
            <v>3115870775</v>
          </cell>
          <cell r="E802" t="str">
            <v>gerencia@petraservices.co</v>
          </cell>
          <cell r="F802" t="str">
            <v>CR 4 T A CL 16 CON ALTOS DEL MORAL MZ C CA 4</v>
          </cell>
          <cell r="G802" t="str">
            <v>50</v>
          </cell>
          <cell r="H802" t="str">
            <v>006</v>
          </cell>
          <cell r="I802" t="str">
            <v>50006</v>
          </cell>
          <cell r="J802" t="str">
            <v>VENTA DE BIENES</v>
          </cell>
          <cell r="K802">
            <v>4659</v>
          </cell>
          <cell r="L802">
            <v>219</v>
          </cell>
          <cell r="M802">
            <v>40129236</v>
          </cell>
        </row>
        <row r="803">
          <cell r="A803">
            <v>901504227</v>
          </cell>
          <cell r="B803" t="str">
            <v>CLAUGER COLOMBIA SAS</v>
          </cell>
          <cell r="C803" t="str">
            <v>310 3998383</v>
          </cell>
          <cell r="D803">
            <v>3103998383</v>
          </cell>
          <cell r="E803" t="str">
            <v>facturacion@clauger.com.co</v>
          </cell>
          <cell r="F803" t="str">
            <v>CL 26 92 32 OF 03 151 BL G 3 G 2 ED WEWORK - CONNECTA</v>
          </cell>
          <cell r="G803" t="str">
            <v>11</v>
          </cell>
          <cell r="H803" t="str">
            <v>001</v>
          </cell>
          <cell r="I803" t="str">
            <v>11001</v>
          </cell>
          <cell r="J803" t="str">
            <v>VENTA DE BIENES</v>
          </cell>
          <cell r="K803">
            <v>4659</v>
          </cell>
          <cell r="L803">
            <v>219</v>
          </cell>
          <cell r="M803">
            <v>9405800</v>
          </cell>
        </row>
        <row r="804">
          <cell r="A804">
            <v>901518855</v>
          </cell>
          <cell r="B804" t="str">
            <v>PROYECTOS INCO SAS</v>
          </cell>
          <cell r="E804" t="str">
            <v>jose.baquero@inco-sas.com</v>
          </cell>
          <cell r="F804" t="str">
            <v/>
          </cell>
          <cell r="G804" t="str">
            <v>11</v>
          </cell>
          <cell r="H804" t="str">
            <v>001</v>
          </cell>
          <cell r="I804" t="str">
            <v>11001</v>
          </cell>
          <cell r="J804" t="str">
            <v>VENTA DE BIENES</v>
          </cell>
          <cell r="K804">
            <v>4659</v>
          </cell>
          <cell r="L804">
            <v>219</v>
          </cell>
          <cell r="M804">
            <v>2222240</v>
          </cell>
        </row>
        <row r="805">
          <cell r="A805">
            <v>901552350</v>
          </cell>
          <cell r="B805" t="str">
            <v>CONSORCIO ANTIOQUIA AL MAR</v>
          </cell>
          <cell r="C805">
            <v>5330033</v>
          </cell>
          <cell r="D805">
            <v>5330033</v>
          </cell>
          <cell r="E805" t="str">
            <v>colombia@comsa.com</v>
          </cell>
          <cell r="F805" t="str">
            <v>CR 49 A 91 85 LA CASTELLANA</v>
          </cell>
          <cell r="G805" t="str">
            <v>11</v>
          </cell>
          <cell r="H805" t="str">
            <v>001</v>
          </cell>
          <cell r="I805" t="str">
            <v>11001</v>
          </cell>
          <cell r="J805" t="str">
            <v>VENTA DE BIENES</v>
          </cell>
          <cell r="K805">
            <v>4659</v>
          </cell>
          <cell r="L805">
            <v>219</v>
          </cell>
          <cell r="M805">
            <v>77309121</v>
          </cell>
        </row>
        <row r="806">
          <cell r="A806">
            <v>901558442</v>
          </cell>
          <cell r="B806" t="str">
            <v>VFD INGENIERIA SAS</v>
          </cell>
          <cell r="C806" t="str">
            <v>+570000</v>
          </cell>
          <cell r="E806" t="str">
            <v>FACTURACION@VFDING.COM</v>
          </cell>
          <cell r="F806" t="str">
            <v>CL 2 C 60 40</v>
          </cell>
          <cell r="G806" t="str">
            <v>08</v>
          </cell>
          <cell r="H806" t="str">
            <v>296</v>
          </cell>
          <cell r="I806" t="str">
            <v>08296</v>
          </cell>
          <cell r="J806" t="str">
            <v>VENTA DE BIENES</v>
          </cell>
          <cell r="K806">
            <v>4659</v>
          </cell>
          <cell r="L806">
            <v>219</v>
          </cell>
          <cell r="M806">
            <v>17151338</v>
          </cell>
        </row>
        <row r="807">
          <cell r="A807">
            <v>901573798</v>
          </cell>
          <cell r="B807" t="str">
            <v>INGENIERIA INTELYAN SAS</v>
          </cell>
          <cell r="C807" t="str">
            <v>320 7711242</v>
          </cell>
          <cell r="D807">
            <v>3207711242</v>
          </cell>
          <cell r="E807" t="str">
            <v>facturacion@ingenieriaintelyan.co</v>
          </cell>
          <cell r="F807" t="str">
            <v>CR 3 10 41</v>
          </cell>
          <cell r="G807" t="str">
            <v>76</v>
          </cell>
          <cell r="H807" t="str">
            <v>001</v>
          </cell>
          <cell r="I807" t="str">
            <v>76001</v>
          </cell>
          <cell r="J807" t="str">
            <v>VENTA DE BIENES</v>
          </cell>
          <cell r="K807">
            <v>4659</v>
          </cell>
          <cell r="L807">
            <v>219</v>
          </cell>
          <cell r="M807">
            <v>6581600</v>
          </cell>
        </row>
        <row r="808">
          <cell r="A808">
            <v>901573798</v>
          </cell>
          <cell r="B808" t="str">
            <v>INGENIERIA INTELYAN SAS</v>
          </cell>
          <cell r="C808" t="str">
            <v>320 7711242</v>
          </cell>
          <cell r="D808">
            <v>3207711242</v>
          </cell>
          <cell r="E808" t="str">
            <v>facturacion@ingenieriaintelyan.co</v>
          </cell>
          <cell r="F808" t="str">
            <v>CR 3 10 41</v>
          </cell>
          <cell r="G808" t="str">
            <v>76</v>
          </cell>
          <cell r="H808" t="str">
            <v>001</v>
          </cell>
          <cell r="I808" t="str">
            <v>76001</v>
          </cell>
          <cell r="J808" t="str">
            <v>TRANSPORTE</v>
          </cell>
          <cell r="K808">
            <v>3312</v>
          </cell>
          <cell r="L808">
            <v>334</v>
          </cell>
          <cell r="M808">
            <v>192900</v>
          </cell>
        </row>
        <row r="809">
          <cell r="A809">
            <v>901582696</v>
          </cell>
          <cell r="B809" t="str">
            <v>SOLCOR COLOMBIA S.A.S.</v>
          </cell>
          <cell r="C809" t="str">
            <v>304 4644317</v>
          </cell>
          <cell r="D809">
            <v>3044644317</v>
          </cell>
          <cell r="E809" t="str">
            <v>d.acevedo@solcor.com.co</v>
          </cell>
          <cell r="F809" t="str">
            <v>CR 13 90 17</v>
          </cell>
          <cell r="G809" t="str">
            <v>11</v>
          </cell>
          <cell r="H809" t="str">
            <v>001</v>
          </cell>
          <cell r="I809" t="str">
            <v>11001</v>
          </cell>
          <cell r="J809" t="str">
            <v>VENTA DE BIENES</v>
          </cell>
          <cell r="K809">
            <v>4659</v>
          </cell>
          <cell r="L809">
            <v>219</v>
          </cell>
          <cell r="M809">
            <v>8764362</v>
          </cell>
        </row>
        <row r="810">
          <cell r="A810">
            <v>901590350</v>
          </cell>
          <cell r="B810" t="str">
            <v>U TRAFFIC SAS</v>
          </cell>
          <cell r="E810" t="str">
            <v>facturas@utraffic.co</v>
          </cell>
          <cell r="F810" t="str">
            <v>CR 13 98 70 OF 603</v>
          </cell>
          <cell r="G810" t="str">
            <v>11</v>
          </cell>
          <cell r="H810" t="str">
            <v>001</v>
          </cell>
          <cell r="I810" t="str">
            <v>11001</v>
          </cell>
          <cell r="J810" t="str">
            <v>VENTA DE BIENES</v>
          </cell>
          <cell r="K810">
            <v>4659</v>
          </cell>
          <cell r="L810">
            <v>219</v>
          </cell>
          <cell r="M810">
            <v>59434512</v>
          </cell>
        </row>
        <row r="811">
          <cell r="A811">
            <v>901603096</v>
          </cell>
          <cell r="B811" t="str">
            <v>EYPM PACIFICO S.A.S.</v>
          </cell>
          <cell r="C811" t="str">
            <v>310 7861857</v>
          </cell>
          <cell r="D811">
            <v>3107861857</v>
          </cell>
          <cell r="E811" t="str">
            <v>alexander.reyes@eypmpacifico.co</v>
          </cell>
          <cell r="F811" t="str">
            <v>CR 55 152 B 68 TO A OF 502</v>
          </cell>
          <cell r="G811" t="str">
            <v>11</v>
          </cell>
          <cell r="H811" t="str">
            <v>001</v>
          </cell>
          <cell r="I811" t="str">
            <v>11001</v>
          </cell>
          <cell r="J811" t="str">
            <v>VENTA DE BIENES</v>
          </cell>
          <cell r="K811">
            <v>4659</v>
          </cell>
          <cell r="L811">
            <v>219</v>
          </cell>
          <cell r="M811">
            <v>710400</v>
          </cell>
        </row>
        <row r="812">
          <cell r="A812">
            <v>901603096</v>
          </cell>
          <cell r="B812" t="str">
            <v>EYPM PACIFICO S.A.S.</v>
          </cell>
          <cell r="C812" t="str">
            <v>310 7861857</v>
          </cell>
          <cell r="D812">
            <v>3107861857</v>
          </cell>
          <cell r="E812" t="str">
            <v>alexander.reyes@eypmpacifico.co</v>
          </cell>
          <cell r="F812" t="str">
            <v>CR 55 152 B 68 TO A OF 502</v>
          </cell>
          <cell r="G812" t="str">
            <v>11</v>
          </cell>
          <cell r="H812" t="str">
            <v>001</v>
          </cell>
          <cell r="I812" t="str">
            <v>11001</v>
          </cell>
          <cell r="J812" t="str">
            <v>42 GRAVADOS</v>
          </cell>
          <cell r="K812">
            <v>4659</v>
          </cell>
          <cell r="L812">
            <v>219</v>
          </cell>
          <cell r="M812">
            <v>642</v>
          </cell>
        </row>
        <row r="813">
          <cell r="A813">
            <v>901605775</v>
          </cell>
          <cell r="B813" t="str">
            <v>SEIC SERVICIOS ESPECIALIZADOS DE INGENIERIA Y CONSULTORIA S.A.S</v>
          </cell>
          <cell r="C813" t="str">
            <v>318 2254647</v>
          </cell>
          <cell r="D813">
            <v>3182254647</v>
          </cell>
          <cell r="E813" t="str">
            <v>recep.factura@seic.com.co</v>
          </cell>
          <cell r="F813" t="str">
            <v>CL 43 10 A 224</v>
          </cell>
          <cell r="G813" t="str">
            <v>15</v>
          </cell>
          <cell r="H813" t="str">
            <v>759</v>
          </cell>
          <cell r="I813" t="str">
            <v>15759</v>
          </cell>
          <cell r="J813" t="str">
            <v>VENTA DE BIENES</v>
          </cell>
          <cell r="K813">
            <v>4659</v>
          </cell>
          <cell r="L813">
            <v>219</v>
          </cell>
          <cell r="M813">
            <v>1163375</v>
          </cell>
        </row>
        <row r="814">
          <cell r="A814">
            <v>901608985</v>
          </cell>
          <cell r="B814" t="str">
            <v>BREM SAS</v>
          </cell>
          <cell r="C814" t="str">
            <v>304 3497906</v>
          </cell>
          <cell r="D814">
            <v>3043497906</v>
          </cell>
          <cell r="E814" t="str">
            <v>bremsascomercial@gmail.com</v>
          </cell>
          <cell r="F814" t="str">
            <v>CL 21 20- 92 BRR LA PANADERIA</v>
          </cell>
          <cell r="G814">
            <v>52</v>
          </cell>
          <cell r="H814" t="str">
            <v>001</v>
          </cell>
          <cell r="I814" t="str">
            <v>52001</v>
          </cell>
          <cell r="J814" t="str">
            <v>VENTA DE BIENES</v>
          </cell>
          <cell r="K814">
            <v>4659</v>
          </cell>
          <cell r="L814">
            <v>219</v>
          </cell>
          <cell r="M814">
            <v>6920983</v>
          </cell>
        </row>
        <row r="815">
          <cell r="A815">
            <v>901617158</v>
          </cell>
          <cell r="B815" t="str">
            <v>INVERSIONES XPARTS SAS</v>
          </cell>
          <cell r="C815" t="str">
            <v>301 5659166</v>
          </cell>
          <cell r="D815">
            <v>3015659166</v>
          </cell>
          <cell r="E815" t="str">
            <v>diegoa.romeroc@utadeo.edu.co</v>
          </cell>
          <cell r="F815" t="str">
            <v>CL 5 NO. 1 B 72 CA 93</v>
          </cell>
          <cell r="G815" t="str">
            <v>25</v>
          </cell>
          <cell r="H815" t="str">
            <v>175</v>
          </cell>
          <cell r="I815" t="str">
            <v>25175</v>
          </cell>
          <cell r="J815" t="str">
            <v>VENTA DE BIENES</v>
          </cell>
          <cell r="K815">
            <v>4659</v>
          </cell>
          <cell r="L815">
            <v>219</v>
          </cell>
          <cell r="M815">
            <v>101273</v>
          </cell>
        </row>
        <row r="816">
          <cell r="A816">
            <v>901652239</v>
          </cell>
          <cell r="B816" t="str">
            <v>ARBEZ INGENIERIA SAS</v>
          </cell>
          <cell r="C816" t="str">
            <v>321 8642941</v>
          </cell>
          <cell r="D816">
            <v>3218642941</v>
          </cell>
          <cell r="E816" t="str">
            <v>contabilidad@arbez.co</v>
          </cell>
          <cell r="F816" t="str">
            <v>Carrera 28 #3-83, Barrio Pisa, La Nueva Italia</v>
          </cell>
          <cell r="G816" t="str">
            <v>76</v>
          </cell>
          <cell r="H816" t="str">
            <v>520</v>
          </cell>
          <cell r="I816" t="str">
            <v>76520</v>
          </cell>
          <cell r="J816" t="str">
            <v>VENTA DE BIENES</v>
          </cell>
          <cell r="K816">
            <v>4659</v>
          </cell>
          <cell r="L816">
            <v>219</v>
          </cell>
          <cell r="M816">
            <v>7119124</v>
          </cell>
        </row>
        <row r="817">
          <cell r="A817">
            <v>901659507</v>
          </cell>
          <cell r="B817" t="str">
            <v>VAVIEKA INSTRUMENTS AND CONTROL SAS</v>
          </cell>
          <cell r="C817" t="str">
            <v>304 3762551</v>
          </cell>
          <cell r="D817">
            <v>3043762551</v>
          </cell>
          <cell r="E817" t="str">
            <v>facturacion@instrumentosycontrol.com.co</v>
          </cell>
          <cell r="F817" t="str">
            <v>CR 79 C 42 B 27 SUR</v>
          </cell>
          <cell r="G817" t="str">
            <v>11</v>
          </cell>
          <cell r="H817" t="str">
            <v>001</v>
          </cell>
          <cell r="I817" t="str">
            <v>11001</v>
          </cell>
          <cell r="J817" t="str">
            <v>VENTA DE BIENES</v>
          </cell>
          <cell r="K817">
            <v>4659</v>
          </cell>
          <cell r="L817">
            <v>219</v>
          </cell>
          <cell r="M817">
            <v>2013120</v>
          </cell>
        </row>
        <row r="818">
          <cell r="A818">
            <v>901677480</v>
          </cell>
          <cell r="B818" t="str">
            <v>INGENIERÍA Y PRODUCCIONES MECÁNICAS S.A.S.</v>
          </cell>
          <cell r="C818" t="str">
            <v>301 7481191</v>
          </cell>
          <cell r="D818">
            <v>3017481191</v>
          </cell>
          <cell r="E818" t="str">
            <v>inpromec3d@gmail.com</v>
          </cell>
          <cell r="F818" t="str">
            <v>CL 25 BIS 15 20 BRR CENTENARIO</v>
          </cell>
          <cell r="G818" t="str">
            <v>66</v>
          </cell>
          <cell r="H818" t="str">
            <v>001</v>
          </cell>
          <cell r="I818" t="str">
            <v>66001</v>
          </cell>
          <cell r="J818" t="str">
            <v>42 GRAVADOS</v>
          </cell>
          <cell r="K818">
            <v>4659</v>
          </cell>
          <cell r="L818">
            <v>219</v>
          </cell>
          <cell r="M818">
            <v>5342</v>
          </cell>
        </row>
        <row r="819">
          <cell r="A819">
            <v>901703671</v>
          </cell>
          <cell r="B819" t="str">
            <v>UNION TEMPORAL SCC - SITS 2023</v>
          </cell>
          <cell r="E819" t="str">
            <v>aperez@skgtecnologia.com</v>
          </cell>
          <cell r="F819" t="str">
            <v>CARRERA 45 108 27 TORRE 3 PISO 14</v>
          </cell>
          <cell r="G819">
            <v>11</v>
          </cell>
          <cell r="H819" t="str">
            <v>001</v>
          </cell>
          <cell r="I819" t="str">
            <v>11001</v>
          </cell>
          <cell r="J819" t="str">
            <v>VENTA DE BIENES</v>
          </cell>
          <cell r="K819">
            <v>4659</v>
          </cell>
          <cell r="L819">
            <v>219</v>
          </cell>
          <cell r="M819">
            <v>4422213</v>
          </cell>
        </row>
        <row r="820">
          <cell r="A820">
            <v>901707026</v>
          </cell>
          <cell r="B820" t="str">
            <v>CENTRAL TERMOCARTAGENA SAS ESP</v>
          </cell>
          <cell r="C820">
            <v>6315910</v>
          </cell>
          <cell r="D820">
            <v>6315910</v>
          </cell>
          <cell r="E820" t="str">
            <v>info@termocartagena.com</v>
          </cell>
          <cell r="F820" t="str">
            <v>Km 4 vía Mamonal, Cartagena de Indias</v>
          </cell>
          <cell r="G820">
            <v>13</v>
          </cell>
          <cell r="H820" t="str">
            <v>001</v>
          </cell>
          <cell r="I820" t="str">
            <v>13001</v>
          </cell>
          <cell r="J820" t="str">
            <v>VENTA DE BIENES</v>
          </cell>
          <cell r="K820">
            <v>4659</v>
          </cell>
          <cell r="L820">
            <v>219</v>
          </cell>
          <cell r="M820">
            <v>5085445</v>
          </cell>
        </row>
        <row r="821">
          <cell r="A821">
            <v>901712798</v>
          </cell>
          <cell r="B821" t="str">
            <v>OMNIA OMEGA PACKING SAS</v>
          </cell>
          <cell r="C821" t="str">
            <v>301 6411965</v>
          </cell>
          <cell r="D821">
            <v>3016411965</v>
          </cell>
          <cell r="E821" t="str">
            <v>valentina@omegapacking.com</v>
          </cell>
          <cell r="F821" t="str">
            <v>CR 25 NO 1 A SUR 155 ED PLATINIUM SUPERIOR OF 1244</v>
          </cell>
          <cell r="G821" t="str">
            <v>05</v>
          </cell>
          <cell r="H821" t="str">
            <v>001</v>
          </cell>
          <cell r="I821" t="str">
            <v>05001</v>
          </cell>
          <cell r="J821" t="str">
            <v>VENTA DE BIENES</v>
          </cell>
          <cell r="K821">
            <v>4659</v>
          </cell>
          <cell r="L821">
            <v>219</v>
          </cell>
          <cell r="M821">
            <v>4680000</v>
          </cell>
        </row>
        <row r="822">
          <cell r="A822">
            <v>901715260</v>
          </cell>
          <cell r="B822" t="str">
            <v>SEGURITY CONTROLES S.A.S.</v>
          </cell>
          <cell r="C822" t="str">
            <v>322 5237390</v>
          </cell>
          <cell r="D822">
            <v>3225237390</v>
          </cell>
          <cell r="E822" t="str">
            <v>SEGURITYCONTROLES@GMAIL.COM</v>
          </cell>
          <cell r="F822" t="str">
            <v/>
          </cell>
          <cell r="G822" t="str">
            <v>76</v>
          </cell>
          <cell r="H822" t="str">
            <v>001</v>
          </cell>
          <cell r="I822" t="str">
            <v>76001</v>
          </cell>
          <cell r="J822" t="str">
            <v>VENTA DE BIENES</v>
          </cell>
          <cell r="K822">
            <v>4659</v>
          </cell>
          <cell r="L822">
            <v>219</v>
          </cell>
          <cell r="M822">
            <v>4868519</v>
          </cell>
        </row>
        <row r="823">
          <cell r="A823">
            <v>901721755</v>
          </cell>
          <cell r="B823" t="str">
            <v>CAV AUTOMATION - ROBOTICA E INTRALOGISTICA SAS</v>
          </cell>
          <cell r="C823" t="str">
            <v>310 8736629</v>
          </cell>
          <cell r="D823">
            <v>3108736629</v>
          </cell>
          <cell r="E823" t="str">
            <v>diseno.mecanico.02@cavrobotics.com.co</v>
          </cell>
          <cell r="F823" t="str">
            <v>KM 1 VIA SIBERIA FUNZA ZONA FRANCA PERMANENTE INTEXZONA BODEGA 90 2</v>
          </cell>
          <cell r="G823">
            <v>25</v>
          </cell>
          <cell r="H823" t="str">
            <v>214</v>
          </cell>
          <cell r="I823" t="str">
            <v>25214</v>
          </cell>
          <cell r="J823" t="str">
            <v>VENTA DE BIENES</v>
          </cell>
          <cell r="K823">
            <v>4659</v>
          </cell>
          <cell r="L823">
            <v>219</v>
          </cell>
          <cell r="M823">
            <v>170175440</v>
          </cell>
        </row>
        <row r="824">
          <cell r="A824">
            <v>901723812</v>
          </cell>
          <cell r="B824" t="str">
            <v>FERRETERIA Y TUBERIAS DEL VALLE S.A.S.</v>
          </cell>
          <cell r="E824" t="str">
            <v>FERRETERIAYTUBERIASDELVALLE@HOTMAIL.COM</v>
          </cell>
          <cell r="F824" t="str">
            <v/>
          </cell>
          <cell r="G824" t="str">
            <v>76</v>
          </cell>
          <cell r="H824" t="str">
            <v>001</v>
          </cell>
          <cell r="I824" t="str">
            <v>76001</v>
          </cell>
          <cell r="J824" t="str">
            <v>VENTA DE BIENES</v>
          </cell>
          <cell r="K824">
            <v>4659</v>
          </cell>
          <cell r="L824">
            <v>219</v>
          </cell>
          <cell r="M824">
            <v>6510400</v>
          </cell>
        </row>
        <row r="825">
          <cell r="A825">
            <v>901750309</v>
          </cell>
          <cell r="B825" t="str">
            <v>IGPS COLOMBIA SAS</v>
          </cell>
          <cell r="C825" t="str">
            <v>320 2721551</v>
          </cell>
          <cell r="D825">
            <v>3202721551</v>
          </cell>
          <cell r="E825" t="str">
            <v>jdcaicedo@grupo-igps.com</v>
          </cell>
          <cell r="F825" t="str">
            <v/>
          </cell>
          <cell r="G825" t="str">
            <v>25</v>
          </cell>
          <cell r="H825" t="str">
            <v>175</v>
          </cell>
          <cell r="I825" t="str">
            <v>25175</v>
          </cell>
          <cell r="J825" t="str">
            <v>42 GRAVADOS</v>
          </cell>
          <cell r="K825">
            <v>4659</v>
          </cell>
          <cell r="L825">
            <v>219</v>
          </cell>
          <cell r="M825">
            <v>10636</v>
          </cell>
        </row>
        <row r="826">
          <cell r="A826">
            <v>901760184</v>
          </cell>
          <cell r="B826" t="str">
            <v>TORNILLERIA DE LA SABANA SAS</v>
          </cell>
          <cell r="C826" t="str">
            <v>310 3440245</v>
          </cell>
          <cell r="D826">
            <v>3103440245</v>
          </cell>
          <cell r="E826" t="str">
            <v>TORNILLERIADELASABANA@HOTMAIL.COM</v>
          </cell>
          <cell r="F826" t="str">
            <v>CR 5 NO. 5 82 BRR BRICEÑO</v>
          </cell>
          <cell r="G826" t="str">
            <v>25</v>
          </cell>
          <cell r="H826" t="str">
            <v>758</v>
          </cell>
          <cell r="I826" t="str">
            <v>25758</v>
          </cell>
          <cell r="J826" t="str">
            <v>VENTA DE BIENES</v>
          </cell>
          <cell r="K826">
            <v>4659</v>
          </cell>
          <cell r="L826">
            <v>219</v>
          </cell>
          <cell r="M826">
            <v>758377</v>
          </cell>
        </row>
        <row r="827">
          <cell r="A827">
            <v>901772911</v>
          </cell>
          <cell r="B827" t="str">
            <v>PRODIMEL INGENIERIA S.A.S</v>
          </cell>
          <cell r="C827" t="str">
            <v>310 3446787</v>
          </cell>
          <cell r="D827">
            <v>3103446787</v>
          </cell>
          <cell r="E827" t="str">
            <v>CONTABILIDAD@PRODIMEL.COM</v>
          </cell>
          <cell r="F827" t="str">
            <v>Calle 3 # 66 - 23 barrio Galán</v>
          </cell>
          <cell r="G827" t="str">
            <v>11</v>
          </cell>
          <cell r="H827" t="str">
            <v>001</v>
          </cell>
          <cell r="I827" t="str">
            <v>11001</v>
          </cell>
          <cell r="J827" t="str">
            <v>VENTA DE BIENES</v>
          </cell>
          <cell r="K827">
            <v>4659</v>
          </cell>
          <cell r="L827">
            <v>219</v>
          </cell>
          <cell r="M827">
            <v>1786355</v>
          </cell>
        </row>
        <row r="828">
          <cell r="A828">
            <v>901776815</v>
          </cell>
          <cell r="B828" t="str">
            <v>AL INDUSTRY SAS</v>
          </cell>
          <cell r="C828" t="str">
            <v>318 6522854</v>
          </cell>
          <cell r="D828">
            <v>3186522854</v>
          </cell>
          <cell r="E828" t="str">
            <v>ALINDUSTRY.CO@GMAIL.COM</v>
          </cell>
          <cell r="F828" t="str">
            <v/>
          </cell>
          <cell r="G828" t="str">
            <v>11</v>
          </cell>
          <cell r="H828" t="str">
            <v>001</v>
          </cell>
          <cell r="I828" t="str">
            <v>11001</v>
          </cell>
          <cell r="J828" t="str">
            <v>VENTA DE BIENES</v>
          </cell>
          <cell r="K828">
            <v>4659</v>
          </cell>
          <cell r="L828">
            <v>219</v>
          </cell>
          <cell r="M828">
            <v>61740000</v>
          </cell>
        </row>
        <row r="829">
          <cell r="A829">
            <v>901782993</v>
          </cell>
          <cell r="B829" t="str">
            <v>CONSORCIO LA FLORA 2023</v>
          </cell>
          <cell r="C829" t="str">
            <v>315 5663659</v>
          </cell>
          <cell r="D829">
            <v>3155663659</v>
          </cell>
          <cell r="E829" t="str">
            <v>facturacionconsorciolaflora@gmail.com</v>
          </cell>
          <cell r="F829" t="str">
            <v>AV 1  1  73 ED EL VERGEL P 3 BRR LLERAS RESTREPO</v>
          </cell>
          <cell r="G829" t="str">
            <v>54</v>
          </cell>
          <cell r="H829" t="str">
            <v>001</v>
          </cell>
          <cell r="I829" t="str">
            <v>54001</v>
          </cell>
          <cell r="J829" t="str">
            <v>VENTA DE BIENES</v>
          </cell>
          <cell r="K829">
            <v>4659</v>
          </cell>
          <cell r="L829">
            <v>219</v>
          </cell>
          <cell r="M829">
            <v>28382454</v>
          </cell>
        </row>
        <row r="830">
          <cell r="A830">
            <v>901818967</v>
          </cell>
          <cell r="B830" t="str">
            <v>CEGA TECNOLOGIA DE LA AUTOMATIZACION SAS</v>
          </cell>
          <cell r="C830" t="str">
            <v>312 5119393</v>
          </cell>
          <cell r="D830">
            <v>3125119393</v>
          </cell>
          <cell r="E830" t="str">
            <v>CEGATECSAS@GMAIL.COM</v>
          </cell>
          <cell r="F830" t="str">
            <v>CR 108 NO. 71 B 66</v>
          </cell>
          <cell r="G830" t="str">
            <v>11</v>
          </cell>
          <cell r="H830" t="str">
            <v>001</v>
          </cell>
          <cell r="I830" t="str">
            <v>11001</v>
          </cell>
          <cell r="J830" t="str">
            <v>VENTA DE BIENES</v>
          </cell>
          <cell r="K830">
            <v>4659</v>
          </cell>
          <cell r="L830">
            <v>219</v>
          </cell>
          <cell r="M830">
            <v>152000</v>
          </cell>
        </row>
        <row r="831">
          <cell r="A831">
            <v>901840058</v>
          </cell>
          <cell r="B831" t="str">
            <v>MAPA SERVICE SAS</v>
          </cell>
          <cell r="C831" t="str">
            <v>300 7946846</v>
          </cell>
          <cell r="D831">
            <v>3007946846</v>
          </cell>
          <cell r="E831" t="str">
            <v>MAPA.SERVICE@OUTLOOK.COM</v>
          </cell>
          <cell r="F831" t="str">
            <v>CALLE 11B NRO.11-09</v>
          </cell>
          <cell r="G831" t="str">
            <v>25</v>
          </cell>
          <cell r="H831" t="str">
            <v>269</v>
          </cell>
          <cell r="I831" t="str">
            <v>25269</v>
          </cell>
          <cell r="J831" t="str">
            <v>SERV MTTO</v>
          </cell>
          <cell r="K831">
            <v>3312</v>
          </cell>
          <cell r="L831">
            <v>334</v>
          </cell>
          <cell r="M831">
            <v>199740</v>
          </cell>
        </row>
        <row r="832">
          <cell r="A832">
            <v>901840058</v>
          </cell>
          <cell r="B832" t="str">
            <v>MAPA SERVICE SAS</v>
          </cell>
          <cell r="C832" t="str">
            <v>300 7946846</v>
          </cell>
          <cell r="D832">
            <v>3007946846</v>
          </cell>
          <cell r="E832" t="str">
            <v>MAPA.SERVICE@OUTLOOK.COM</v>
          </cell>
          <cell r="F832" t="str">
            <v>CALLE 11B NRO.11-09</v>
          </cell>
          <cell r="G832" t="str">
            <v>25</v>
          </cell>
          <cell r="H832" t="str">
            <v>269</v>
          </cell>
          <cell r="I832" t="str">
            <v>25269</v>
          </cell>
          <cell r="J832" t="str">
            <v>VENTA DE BIENES</v>
          </cell>
          <cell r="K832">
            <v>4659</v>
          </cell>
          <cell r="L832">
            <v>219</v>
          </cell>
          <cell r="M832">
            <v>11410921</v>
          </cell>
        </row>
        <row r="833">
          <cell r="A833">
            <v>901842186</v>
          </cell>
          <cell r="B833" t="str">
            <v>MAQUINANDO CONTROLS S.A.S.</v>
          </cell>
          <cell r="C833" t="str">
            <v>311 3499541</v>
          </cell>
          <cell r="D833">
            <v>3113499541</v>
          </cell>
          <cell r="E833" t="str">
            <v>jaime.patino.patino@gmail.com</v>
          </cell>
          <cell r="F833" t="str">
            <v>CL 9B 1F 80</v>
          </cell>
          <cell r="G833" t="str">
            <v>17</v>
          </cell>
          <cell r="H833" t="str">
            <v>001</v>
          </cell>
          <cell r="I833" t="str">
            <v>17001</v>
          </cell>
          <cell r="J833" t="str">
            <v>VENTA DE BIENES</v>
          </cell>
          <cell r="K833">
            <v>4659</v>
          </cell>
          <cell r="L833">
            <v>219</v>
          </cell>
          <cell r="M833">
            <v>1960239150</v>
          </cell>
        </row>
        <row r="834">
          <cell r="A834">
            <v>901842222</v>
          </cell>
          <cell r="B834" t="str">
            <v>NEXU LOGISTICS SAS</v>
          </cell>
          <cell r="C834" t="str">
            <v>314 6227155</v>
          </cell>
          <cell r="D834">
            <v>3146227155</v>
          </cell>
          <cell r="E834" t="str">
            <v>ISABELCL@BYCSA.CO</v>
          </cell>
          <cell r="F834" t="str">
            <v>KM 9 VIA MAMONAL LT 12 13</v>
          </cell>
          <cell r="G834" t="str">
            <v>13</v>
          </cell>
          <cell r="H834" t="str">
            <v>001</v>
          </cell>
          <cell r="I834" t="str">
            <v>13001</v>
          </cell>
          <cell r="J834" t="str">
            <v>VENTA DE BIENES</v>
          </cell>
          <cell r="K834">
            <v>4659</v>
          </cell>
          <cell r="L834">
            <v>219</v>
          </cell>
          <cell r="M834">
            <v>3325600</v>
          </cell>
        </row>
        <row r="835">
          <cell r="A835">
            <v>901847883</v>
          </cell>
          <cell r="B835" t="str">
            <v>IA4 SAS</v>
          </cell>
          <cell r="C835" t="str">
            <v>315 8630690</v>
          </cell>
          <cell r="D835">
            <v>3158630690</v>
          </cell>
          <cell r="E835" t="str">
            <v>CONTABILIDAD@ATICA.CO</v>
          </cell>
          <cell r="F835" t="str">
            <v/>
          </cell>
          <cell r="G835" t="str">
            <v>25</v>
          </cell>
          <cell r="H835" t="str">
            <v>473</v>
          </cell>
          <cell r="I835" t="str">
            <v>25473</v>
          </cell>
          <cell r="J835" t="str">
            <v>VENTA DE BIENES</v>
          </cell>
          <cell r="K835">
            <v>4659</v>
          </cell>
          <cell r="L835">
            <v>219</v>
          </cell>
          <cell r="M835">
            <v>16283960</v>
          </cell>
        </row>
        <row r="836">
          <cell r="A836">
            <v>901862068</v>
          </cell>
          <cell r="B836" t="str">
            <v>POWER NOVA SAS</v>
          </cell>
          <cell r="C836" t="str">
            <v>312 4346798</v>
          </cell>
          <cell r="D836">
            <v>3124346798</v>
          </cell>
          <cell r="E836" t="str">
            <v>gerencia@power-nova.com</v>
          </cell>
          <cell r="F836" t="str">
            <v>AC 24 81 C 70</v>
          </cell>
          <cell r="G836" t="str">
            <v>11</v>
          </cell>
          <cell r="H836" t="str">
            <v>001</v>
          </cell>
          <cell r="I836" t="str">
            <v>11001</v>
          </cell>
          <cell r="J836" t="str">
            <v>VENTA DE BIENES</v>
          </cell>
          <cell r="K836">
            <v>4659</v>
          </cell>
          <cell r="L836">
            <v>219</v>
          </cell>
          <cell r="M836">
            <v>94603897</v>
          </cell>
        </row>
        <row r="837">
          <cell r="A837">
            <v>901872751</v>
          </cell>
          <cell r="B837" t="str">
            <v>GRUPO INTEGRATIVO S.A.S.</v>
          </cell>
          <cell r="C837" t="str">
            <v>315 5752479</v>
          </cell>
          <cell r="D837">
            <v>3155752479</v>
          </cell>
          <cell r="E837" t="str">
            <v>grupointegrativosas@gmail.com</v>
          </cell>
          <cell r="F837" t="str">
            <v>Cra 21 #28-20 CENTRO</v>
          </cell>
          <cell r="G837" t="str">
            <v>17</v>
          </cell>
          <cell r="H837" t="str">
            <v>001</v>
          </cell>
          <cell r="I837" t="str">
            <v>17001</v>
          </cell>
          <cell r="J837" t="str">
            <v>VENTA DE BIENES</v>
          </cell>
          <cell r="K837">
            <v>4659</v>
          </cell>
          <cell r="L837">
            <v>219</v>
          </cell>
          <cell r="M837">
            <v>3447037</v>
          </cell>
        </row>
        <row r="838">
          <cell r="A838">
            <v>901892151</v>
          </cell>
          <cell r="B838" t="str">
            <v>SOLUCIONES INTEGRALES ELECTRICAS Y DE COMUNICACIONES SAS</v>
          </cell>
          <cell r="E838" t="str">
            <v>ENCOLSOLUTIONSSAS@GMAIL.COM</v>
          </cell>
          <cell r="F838" t="str">
            <v>CR 28 12 A 09</v>
          </cell>
          <cell r="G838" t="str">
            <v>50</v>
          </cell>
          <cell r="H838" t="str">
            <v>006</v>
          </cell>
          <cell r="I838" t="str">
            <v>50006</v>
          </cell>
          <cell r="J838" t="str">
            <v>VENTA DE BIENES</v>
          </cell>
          <cell r="K838">
            <v>4659</v>
          </cell>
          <cell r="L838">
            <v>219</v>
          </cell>
          <cell r="M838">
            <v>2523428</v>
          </cell>
        </row>
        <row r="839">
          <cell r="A839">
            <v>901908360</v>
          </cell>
          <cell r="B839" t="str">
            <v>FERRO GLOBAL S.A.S</v>
          </cell>
          <cell r="C839" t="str">
            <v>319 3078926</v>
          </cell>
          <cell r="D839">
            <v>3193078926</v>
          </cell>
          <cell r="E839" t="str">
            <v>compras.ferroglobalsas@gmail.com</v>
          </cell>
          <cell r="F839" t="str">
            <v>CARRERA 73 F 62 D 11</v>
          </cell>
          <cell r="G839" t="str">
            <v>11</v>
          </cell>
          <cell r="H839" t="str">
            <v>001</v>
          </cell>
          <cell r="I839" t="str">
            <v>11001</v>
          </cell>
          <cell r="J839" t="str">
            <v>VENTA DE BIENES</v>
          </cell>
          <cell r="K839">
            <v>4659</v>
          </cell>
          <cell r="L839">
            <v>219</v>
          </cell>
          <cell r="M839">
            <v>1076780</v>
          </cell>
        </row>
        <row r="840">
          <cell r="A840">
            <v>901911220</v>
          </cell>
          <cell r="B840" t="str">
            <v>SAMCO SAFETY S.A.S.</v>
          </cell>
          <cell r="E840" t="str">
            <v>VRESTREPO@SAMCOINGENIERIA.COM</v>
          </cell>
          <cell r="F840" t="str">
            <v>CR 69 NO. 32 B 39</v>
          </cell>
          <cell r="G840" t="str">
            <v>05</v>
          </cell>
          <cell r="H840" t="str">
            <v>001</v>
          </cell>
          <cell r="I840" t="str">
            <v>05001</v>
          </cell>
          <cell r="J840" t="str">
            <v>VENTA DE BIENES</v>
          </cell>
          <cell r="K840">
            <v>4659</v>
          </cell>
          <cell r="L840">
            <v>219</v>
          </cell>
          <cell r="M840">
            <v>58142919</v>
          </cell>
        </row>
        <row r="841">
          <cell r="A841">
            <v>901927628</v>
          </cell>
          <cell r="B841" t="str">
            <v>AUTOMATECH INGENIERIA SAS</v>
          </cell>
          <cell r="C841" t="str">
            <v>320 7408447</v>
          </cell>
          <cell r="D841">
            <v>3207408447</v>
          </cell>
          <cell r="E841" t="str">
            <v>linaccg05@gmail.com</v>
          </cell>
          <cell r="F841" t="str">
            <v>CALLE 54 # 34-32</v>
          </cell>
          <cell r="G841" t="str">
            <v>17</v>
          </cell>
          <cell r="H841" t="str">
            <v>001</v>
          </cell>
          <cell r="I841" t="str">
            <v>17001</v>
          </cell>
          <cell r="J841" t="str">
            <v>VENTA DE BIENES</v>
          </cell>
          <cell r="K841">
            <v>4659</v>
          </cell>
          <cell r="L841">
            <v>219</v>
          </cell>
          <cell r="M841">
            <v>504800</v>
          </cell>
        </row>
        <row r="842">
          <cell r="A842">
            <v>901993003</v>
          </cell>
          <cell r="B842" t="str">
            <v>UNIÓN TEMPORAL SCADA ALBONAR 2025</v>
          </cell>
          <cell r="C842" t="str">
            <v>316381571</v>
          </cell>
          <cell r="D842" t="str">
            <v>316381571</v>
          </cell>
          <cell r="E842" t="str">
            <v>scadalbonar2025@gmail.com</v>
          </cell>
          <cell r="F842" t="str">
            <v>CR 44 A 10 73</v>
          </cell>
          <cell r="G842" t="str">
            <v>76</v>
          </cell>
          <cell r="H842" t="str">
            <v>001</v>
          </cell>
          <cell r="I842" t="str">
            <v>76001</v>
          </cell>
          <cell r="J842" t="str">
            <v>VENTA DE BIENES</v>
          </cell>
          <cell r="K842">
            <v>4659</v>
          </cell>
          <cell r="L842">
            <v>219</v>
          </cell>
          <cell r="M842">
            <v>28283225</v>
          </cell>
        </row>
        <row r="843">
          <cell r="A843">
            <v>980646420</v>
          </cell>
          <cell r="B843" t="str">
            <v>ELINCA ELECTRONIC CORPORATION</v>
          </cell>
          <cell r="C843" t="str">
            <v>N/A</v>
          </cell>
          <cell r="E843" t="str">
            <v>N/A</v>
          </cell>
          <cell r="F843" t="str">
            <v>Parque Industrial Gran Sabana, Edificio 32</v>
          </cell>
          <cell r="G843">
            <v>25</v>
          </cell>
          <cell r="H843">
            <v>817</v>
          </cell>
          <cell r="I843" t="str">
            <v>25817</v>
          </cell>
          <cell r="J843" t="str">
            <v>VENTA DE BIENES</v>
          </cell>
          <cell r="K843">
            <v>4659</v>
          </cell>
          <cell r="L843">
            <v>219</v>
          </cell>
          <cell r="M843">
            <v>443024519</v>
          </cell>
        </row>
        <row r="844">
          <cell r="A844">
            <v>1013364717</v>
          </cell>
          <cell r="B844" t="str">
            <v>DIAZ SALAZAR ALFREDO ALEJANDRO</v>
          </cell>
          <cell r="C844" t="str">
            <v>300 5144859</v>
          </cell>
          <cell r="D844">
            <v>3005144859</v>
          </cell>
          <cell r="E844" t="str">
            <v>ads.electronica1@gmail.com</v>
          </cell>
          <cell r="F844" t="str">
            <v>CR 53 50 51 L C 211 C 1</v>
          </cell>
          <cell r="G844" t="str">
            <v>05</v>
          </cell>
          <cell r="H844" t="str">
            <v>001</v>
          </cell>
          <cell r="I844" t="str">
            <v>05001</v>
          </cell>
          <cell r="J844" t="str">
            <v>42 GRAVADOS</v>
          </cell>
          <cell r="K844">
            <v>4659</v>
          </cell>
          <cell r="L844">
            <v>219</v>
          </cell>
          <cell r="M844">
            <v>2605755</v>
          </cell>
        </row>
        <row r="845">
          <cell r="A845">
            <v>1071940531</v>
          </cell>
          <cell r="B845" t="str">
            <v>MARROQUIN GACHA FABIAN RICARDO</v>
          </cell>
          <cell r="C845" t="str">
            <v>320 4836664</v>
          </cell>
          <cell r="D845">
            <v>3204836664</v>
          </cell>
          <cell r="E845" t="str">
            <v>marroquinfabian193@gmail.com</v>
          </cell>
          <cell r="F845" t="str">
            <v>CLL 7 0 23 BRR LA CONCEPCION</v>
          </cell>
          <cell r="G845" t="str">
            <v>25</v>
          </cell>
          <cell r="H845" t="str">
            <v>899</v>
          </cell>
          <cell r="I845" t="str">
            <v>25899</v>
          </cell>
          <cell r="J845" t="str">
            <v>VENTA DE ACTIVOS</v>
          </cell>
          <cell r="K845">
            <v>4659</v>
          </cell>
          <cell r="L845">
            <v>219</v>
          </cell>
          <cell r="M845">
            <v>16000000</v>
          </cell>
        </row>
        <row r="846">
          <cell r="A846">
            <v>1106453320</v>
          </cell>
          <cell r="B846" t="str">
            <v xml:space="preserve">CARDOZO BUITRAGO DANIELA </v>
          </cell>
          <cell r="C846" t="str">
            <v>322 8034242</v>
          </cell>
          <cell r="D846" t="str">
            <v>322 8034242</v>
          </cell>
          <cell r="E846" t="str">
            <v>ocdiversion@gmail.com</v>
          </cell>
          <cell r="F846" t="str">
            <v>CALLE  11  11 57 piso 2</v>
          </cell>
          <cell r="G846" t="str">
            <v>11</v>
          </cell>
          <cell r="H846" t="str">
            <v>001</v>
          </cell>
          <cell r="I846" t="str">
            <v>11001</v>
          </cell>
          <cell r="J846" t="str">
            <v>42 GRAVADOS</v>
          </cell>
          <cell r="K846">
            <v>4659</v>
          </cell>
          <cell r="L846">
            <v>219</v>
          </cell>
          <cell r="M846">
            <v>2782</v>
          </cell>
        </row>
        <row r="847">
          <cell r="A847">
            <v>1116235216</v>
          </cell>
          <cell r="B847" t="str">
            <v xml:space="preserve">GUERRA ORTIZ EDGAR </v>
          </cell>
          <cell r="C847" t="str">
            <v>321 7563999</v>
          </cell>
          <cell r="D847">
            <v>3217563999</v>
          </cell>
          <cell r="E847" t="str">
            <v>edgarortiz052016@gmail.com</v>
          </cell>
          <cell r="F847" t="str">
            <v>CL 58 #98- 45 AP 408 TO 1</v>
          </cell>
          <cell r="G847" t="str">
            <v>76</v>
          </cell>
          <cell r="H847" t="str">
            <v>001</v>
          </cell>
          <cell r="I847" t="str">
            <v>76001</v>
          </cell>
          <cell r="J847" t="str">
            <v>VENTA DE BIENES</v>
          </cell>
          <cell r="K847">
            <v>4659</v>
          </cell>
          <cell r="L847">
            <v>219</v>
          </cell>
          <cell r="M847">
            <v>17739066</v>
          </cell>
        </row>
        <row r="848">
          <cell r="A848">
            <v>1791345223001</v>
          </cell>
          <cell r="B848" t="str">
            <v>AGROPLASTICOS CIA LTDA</v>
          </cell>
          <cell r="C848" t="str">
            <v>7305900</v>
          </cell>
          <cell r="D848" t="str">
            <v>7305900</v>
          </cell>
          <cell r="E848" t="str">
            <v>rfe_agroplasticos@agro-plasticos.com</v>
          </cell>
          <cell r="F848" t="str">
            <v>Parque Industrial Gran Sabana, Edificio 32</v>
          </cell>
          <cell r="G848">
            <v>25</v>
          </cell>
          <cell r="H848">
            <v>817</v>
          </cell>
          <cell r="I848" t="str">
            <v>25817</v>
          </cell>
          <cell r="J848" t="str">
            <v>NO GRAVADOS</v>
          </cell>
          <cell r="K848">
            <v>4659</v>
          </cell>
          <cell r="L848">
            <v>219</v>
          </cell>
          <cell r="M848">
            <v>11890317</v>
          </cell>
        </row>
        <row r="849">
          <cell r="A849" t="str">
            <v>79834716</v>
          </cell>
          <cell r="B849" t="str">
            <v>FONSECA CASTAÑEDA JHON ALEXANDER</v>
          </cell>
          <cell r="C849">
            <v>3173433134</v>
          </cell>
          <cell r="D849">
            <v>3173433134</v>
          </cell>
          <cell r="E849" t="str">
            <v>jhonf_co@outlook.com</v>
          </cell>
          <cell r="F849" t="str">
            <v>Cra 116A 82 54 quintas de santa barbara 2 casa exterior</v>
          </cell>
          <cell r="G849">
            <v>11</v>
          </cell>
          <cell r="H849" t="str">
            <v>001</v>
          </cell>
          <cell r="I849" t="str">
            <v>11001</v>
          </cell>
          <cell r="J849" t="str">
            <v>VENTA DE BIENES</v>
          </cell>
          <cell r="K849">
            <v>4659</v>
          </cell>
          <cell r="L849">
            <v>219</v>
          </cell>
          <cell r="M849">
            <v>1556600</v>
          </cell>
        </row>
        <row r="850">
          <cell r="A850" t="str">
            <v>A87304655</v>
          </cell>
          <cell r="B850" t="str">
            <v xml:space="preserve">LACROIX CITY MADRID SA </v>
          </cell>
          <cell r="C850" t="str">
            <v>N/A</v>
          </cell>
          <cell r="E850" t="str">
            <v>f.sala@lacroix.group</v>
          </cell>
          <cell r="F850" t="str">
            <v>Parque Industrial Gran Sabana, Edificio 32</v>
          </cell>
          <cell r="G850">
            <v>25</v>
          </cell>
          <cell r="H850">
            <v>817</v>
          </cell>
          <cell r="I850" t="str">
            <v>25817</v>
          </cell>
          <cell r="J850" t="str">
            <v>NO GRAVADOS</v>
          </cell>
          <cell r="K850">
            <v>4659</v>
          </cell>
          <cell r="L850">
            <v>219</v>
          </cell>
          <cell r="M850">
            <v>150681142</v>
          </cell>
        </row>
        <row r="851">
          <cell r="A851" t="str">
            <v>DE141989858</v>
          </cell>
          <cell r="B851" t="str">
            <v>SICK AG</v>
          </cell>
          <cell r="C851" t="str">
            <v>N/A</v>
          </cell>
          <cell r="E851" t="str">
            <v>N/A</v>
          </cell>
          <cell r="F851" t="str">
            <v>Parque Industrial Gran Sabana, Edificio 32</v>
          </cell>
          <cell r="G851">
            <v>25</v>
          </cell>
          <cell r="H851">
            <v>817</v>
          </cell>
          <cell r="I851" t="str">
            <v>25817</v>
          </cell>
          <cell r="J851" t="str">
            <v>42 GRAVADOS</v>
          </cell>
          <cell r="K851">
            <v>4659</v>
          </cell>
          <cell r="L851">
            <v>219</v>
          </cell>
          <cell r="M851">
            <v>1219661</v>
          </cell>
        </row>
        <row r="852">
          <cell r="A852" t="str">
            <v>J297822348</v>
          </cell>
          <cell r="B852" t="str">
            <v>ACICA AUTOMATIZACION Y CONTROL INDUSTRIAL C.A.</v>
          </cell>
          <cell r="C852" t="str">
            <v>4122387616</v>
          </cell>
          <cell r="D852" t="str">
            <v>4122387616</v>
          </cell>
          <cell r="E852" t="str">
            <v>jenny.martinez@acica-automatizacion.com</v>
          </cell>
          <cell r="F852" t="str">
            <v>Parque Industrial Gran Sabana, Edificio 32</v>
          </cell>
          <cell r="G852">
            <v>25</v>
          </cell>
          <cell r="H852">
            <v>817</v>
          </cell>
          <cell r="I852" t="str">
            <v>25817</v>
          </cell>
          <cell r="J852" t="str">
            <v>NO GRAVADOS</v>
          </cell>
          <cell r="K852">
            <v>4659</v>
          </cell>
          <cell r="L852">
            <v>219</v>
          </cell>
          <cell r="M852">
            <v>10816810</v>
          </cell>
        </row>
        <row r="853">
          <cell r="A853" t="str">
            <v>J307826002</v>
          </cell>
          <cell r="B853" t="str">
            <v>AVA INGENIERIA C.A</v>
          </cell>
          <cell r="C853" t="str">
            <v>N/A</v>
          </cell>
          <cell r="E853" t="str">
            <v>N/A</v>
          </cell>
          <cell r="F853" t="str">
            <v>Parque Industrial Gran Sabana, Edificio 32</v>
          </cell>
          <cell r="G853">
            <v>25</v>
          </cell>
          <cell r="H853">
            <v>817</v>
          </cell>
          <cell r="I853" t="str">
            <v>25817</v>
          </cell>
          <cell r="J853" t="str">
            <v>VENTA DE BIENES</v>
          </cell>
          <cell r="K853">
            <v>4659</v>
          </cell>
          <cell r="L853">
            <v>219</v>
          </cell>
          <cell r="M853">
            <v>3136580</v>
          </cell>
        </row>
        <row r="854">
          <cell r="A854" t="str">
            <v>P16000065311</v>
          </cell>
          <cell r="B854" t="str">
            <v>RFID PROCESS INTEGRATION INC</v>
          </cell>
          <cell r="C854" t="str">
            <v>N/A</v>
          </cell>
          <cell r="E854" t="str">
            <v>midanyela.gomez@serviciosrfid.com</v>
          </cell>
          <cell r="F854" t="str">
            <v>Parque Industrial Gran Sabana, Edificio 32</v>
          </cell>
          <cell r="G854">
            <v>25</v>
          </cell>
          <cell r="H854">
            <v>817</v>
          </cell>
          <cell r="I854" t="str">
            <v>25817</v>
          </cell>
          <cell r="J854" t="str">
            <v>NO GRAVADOS</v>
          </cell>
          <cell r="K854">
            <v>4659</v>
          </cell>
          <cell r="L854">
            <v>219</v>
          </cell>
          <cell r="M854">
            <v>164766517</v>
          </cell>
        </row>
        <row r="855">
          <cell r="A855" t="str">
            <v>SE556093571901</v>
          </cell>
          <cell r="B855" t="str">
            <v>TROAX AB</v>
          </cell>
          <cell r="C855" t="str">
            <v>N/A</v>
          </cell>
          <cell r="E855" t="str">
            <v>N/A</v>
          </cell>
          <cell r="F855" t="str">
            <v>Parque Industrial Gran Sabana, Edificio 32</v>
          </cell>
          <cell r="G855">
            <v>25</v>
          </cell>
          <cell r="H855">
            <v>817</v>
          </cell>
          <cell r="I855" t="str">
            <v>25817</v>
          </cell>
          <cell r="J855" t="str">
            <v>42 GRAVADOS</v>
          </cell>
          <cell r="K855">
            <v>4659</v>
          </cell>
          <cell r="L855">
            <v>219</v>
          </cell>
          <cell r="M855">
            <v>7799</v>
          </cell>
        </row>
      </sheetData>
      <sheetData sheetId="6"/>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97"/>
  <sheetViews>
    <sheetView tabSelected="1" workbookViewId="0">
      <selection activeCell="H7" sqref="H7:H59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3145</v>
      </c>
      <c r="C7" s="6">
        <v>0</v>
      </c>
      <c r="D7" s="7" t="s">
        <v>2389</v>
      </c>
      <c r="E7" s="6" t="s">
        <v>2720</v>
      </c>
      <c r="F7" s="16" t="s">
        <v>1259</v>
      </c>
      <c r="G7" s="6">
        <v>221040123.22</v>
      </c>
      <c r="H7" s="6">
        <v>219</v>
      </c>
    </row>
    <row r="8" spans="1:8" x14ac:dyDescent="0.25">
      <c r="A8" s="6">
        <v>860513290</v>
      </c>
      <c r="B8" s="6" t="str">
        <f>VLOOKUP(A8,'[1]DEPURACION FINAL TRAB'!$A$1:$N$855,2,0)</f>
        <v>SILGAN PROENFAR S.A.S</v>
      </c>
      <c r="C8" s="6">
        <v>0</v>
      </c>
      <c r="D8" s="6" t="s">
        <v>2646</v>
      </c>
      <c r="E8" s="6" t="s">
        <v>3076</v>
      </c>
      <c r="F8" s="16" t="s">
        <v>419</v>
      </c>
      <c r="G8" s="6">
        <v>3727800</v>
      </c>
      <c r="H8" s="6">
        <v>219</v>
      </c>
    </row>
    <row r="9" spans="1:8" x14ac:dyDescent="0.25">
      <c r="A9" s="6">
        <v>900531210</v>
      </c>
      <c r="B9" s="6" t="str">
        <f>VLOOKUP(A9,'[1]DEPURACION FINAL TRAB'!$A$1:$N$855,2,0)</f>
        <v>CENIT TRANSPORTE Y LOGISTICA DE HIDROCARBUROS S.A.S</v>
      </c>
      <c r="C9" s="6">
        <v>0</v>
      </c>
      <c r="D9" s="6" t="s">
        <v>2340</v>
      </c>
      <c r="E9" s="6" t="s">
        <v>2791</v>
      </c>
      <c r="F9" s="16" t="s">
        <v>419</v>
      </c>
      <c r="G9" s="6">
        <v>3728159.34</v>
      </c>
      <c r="H9" s="6">
        <v>219</v>
      </c>
    </row>
    <row r="10" spans="1:8" x14ac:dyDescent="0.25">
      <c r="A10" s="6">
        <v>900489213</v>
      </c>
      <c r="B10" s="6" t="str">
        <f>VLOOKUP(A10,'[1]DEPURACION FINAL TRAB'!$A$1:$N$855,2,0)</f>
        <v>INSTRUMENTACION MEDICION Y CONTROL S.A.S.</v>
      </c>
      <c r="C10" s="6" t="str">
        <f>VLOOKUP(A10,'[1]DEPURACION FINAL TRAB'!$1:$1048576,3,0)</f>
        <v>318 2151574</v>
      </c>
      <c r="D10" s="6" t="s">
        <v>2523</v>
      </c>
      <c r="E10" s="6" t="s">
        <v>2965</v>
      </c>
      <c r="F10" s="16" t="s">
        <v>344</v>
      </c>
      <c r="G10" s="6">
        <v>3741000</v>
      </c>
      <c r="H10" s="6">
        <v>219</v>
      </c>
    </row>
    <row r="11" spans="1:8" x14ac:dyDescent="0.25">
      <c r="A11" s="6">
        <v>860005050</v>
      </c>
      <c r="B11" s="6" t="str">
        <f>VLOOKUP(A11,'[1]DEPURACION FINAL TRAB'!$A$1:$N$855,2,0)</f>
        <v>MEXICHEM COLOMBIA SAS</v>
      </c>
      <c r="C11" s="6">
        <v>0</v>
      </c>
      <c r="D11" s="6" t="s">
        <v>2281</v>
      </c>
      <c r="E11" s="6" t="s">
        <v>2994</v>
      </c>
      <c r="F11" s="16" t="s">
        <v>419</v>
      </c>
      <c r="G11" s="6">
        <v>3755682.7600000002</v>
      </c>
      <c r="H11" s="6">
        <v>219</v>
      </c>
    </row>
    <row r="12" spans="1:8" x14ac:dyDescent="0.25">
      <c r="A12" s="6">
        <v>830136854</v>
      </c>
      <c r="B12" s="6" t="str">
        <f>VLOOKUP(A12,'[1]DEPURACION FINAL TRAB'!$A$1:$N$855,2,0)</f>
        <v>CONTROL Y AUTOMATIZACION VIRTUAL S.A.S</v>
      </c>
      <c r="C12" s="6">
        <v>0</v>
      </c>
      <c r="D12" s="6" t="s">
        <v>2380</v>
      </c>
      <c r="E12" s="6" t="s">
        <v>2831</v>
      </c>
      <c r="F12" s="16" t="s">
        <v>419</v>
      </c>
      <c r="G12" s="6">
        <v>3780000</v>
      </c>
      <c r="H12" s="6">
        <v>219</v>
      </c>
    </row>
    <row r="13" spans="1:8" x14ac:dyDescent="0.25">
      <c r="A13" s="6">
        <v>900079775</v>
      </c>
      <c r="B13" s="6" t="str">
        <f>VLOOKUP(A13,'[1]DEPURACION FINAL TRAB'!$A$1:$N$855,2,0)</f>
        <v>GOLOSINAS TRULULU S.A</v>
      </c>
      <c r="C13" s="6">
        <v>0</v>
      </c>
      <c r="D13" s="6" t="s">
        <v>2470</v>
      </c>
      <c r="E13" s="6" t="s">
        <v>2913</v>
      </c>
      <c r="F13" s="16" t="s">
        <v>783</v>
      </c>
      <c r="G13" s="6">
        <v>3818880</v>
      </c>
      <c r="H13" s="6">
        <v>219</v>
      </c>
    </row>
    <row r="14" spans="1:8" x14ac:dyDescent="0.25">
      <c r="A14" s="6">
        <v>830006735</v>
      </c>
      <c r="B14" s="6" t="str">
        <f>VLOOKUP(A14,'[1]DEPURACION FINAL TRAB'!$A$1:$N$855,2,0)</f>
        <v>ALIMENTOS POLAR COLOMBIA S.A.S.</v>
      </c>
      <c r="C14" s="6">
        <v>0</v>
      </c>
      <c r="D14" s="6" t="s">
        <v>2280</v>
      </c>
      <c r="E14" s="6" t="s">
        <v>2735</v>
      </c>
      <c r="F14" s="16" t="s">
        <v>419</v>
      </c>
      <c r="G14" s="6">
        <v>3862600</v>
      </c>
      <c r="H14" s="6">
        <v>219</v>
      </c>
    </row>
    <row r="15" spans="1:8" x14ac:dyDescent="0.25">
      <c r="A15" s="6">
        <v>900362965</v>
      </c>
      <c r="B15" s="6" t="str">
        <f>VLOOKUP(A15,'[1]DEPURACION FINAL TRAB'!$A$1:$N$855,2,0)</f>
        <v>MEDICABLES S.A.S.</v>
      </c>
      <c r="C15" s="6" t="str">
        <f>VLOOKUP(A15,'[1]DEPURACION FINAL TRAB'!$1:$1048576,3,0)</f>
        <v>3377342</v>
      </c>
      <c r="D15" s="6" t="s">
        <v>2554</v>
      </c>
      <c r="E15" s="6" t="s">
        <v>2991</v>
      </c>
      <c r="F15" s="16" t="s">
        <v>2205</v>
      </c>
      <c r="G15" s="6">
        <v>3892665.42</v>
      </c>
      <c r="H15" s="6">
        <v>219</v>
      </c>
    </row>
    <row r="16" spans="1:8" x14ac:dyDescent="0.25">
      <c r="A16" s="6">
        <v>860530547</v>
      </c>
      <c r="B16" s="6" t="str">
        <f>VLOOKUP(A16,'[1]DEPURACION FINAL TRAB'!$A$1:$N$855,2,0)</f>
        <v>MULTIDIMENSIONALES SAS</v>
      </c>
      <c r="C16" s="6" t="str">
        <f>VLOOKUP(A16,'[1]DEPURACION FINAL TRAB'!$1:$1048576,3,0)</f>
        <v>4222000</v>
      </c>
      <c r="D16" s="6" t="s">
        <v>2563</v>
      </c>
      <c r="E16" s="6" t="s">
        <v>2999</v>
      </c>
      <c r="F16" s="16" t="s">
        <v>419</v>
      </c>
      <c r="G16" s="6">
        <v>3904719.2399999998</v>
      </c>
      <c r="H16" s="6">
        <v>219</v>
      </c>
    </row>
    <row r="17" spans="1:8" x14ac:dyDescent="0.25">
      <c r="A17" s="6">
        <v>901430445</v>
      </c>
      <c r="B17" s="6" t="str">
        <f>VLOOKUP(A17,'[1]DEPURACION FINAL TRAB'!$A$1:$N$855,2,0)</f>
        <v>COLSEMAQ SAS</v>
      </c>
      <c r="C17" s="6">
        <v>0</v>
      </c>
      <c r="D17" s="6" t="s">
        <v>2355</v>
      </c>
      <c r="E17" s="6" t="s">
        <v>2806</v>
      </c>
      <c r="F17" s="16" t="s">
        <v>1259</v>
      </c>
      <c r="G17" s="6">
        <v>3907800</v>
      </c>
      <c r="H17" s="6">
        <v>219</v>
      </c>
    </row>
    <row r="18" spans="1:8" x14ac:dyDescent="0.25">
      <c r="A18" s="6">
        <v>900080956</v>
      </c>
      <c r="B18" s="6" t="str">
        <f>VLOOKUP(A18,'[1]DEPURACION FINAL TRAB'!$A$1:$N$855,2,0)</f>
        <v>AGUAS KAPITAL CUCUTA SA E.S.P.</v>
      </c>
      <c r="C18" s="6">
        <f>VLOOKUP(A18,'[1]DEPURACION FINAL TRAB'!$1:$1048576,3,0)</f>
        <v>0</v>
      </c>
      <c r="D18" s="6" t="s">
        <v>2272</v>
      </c>
      <c r="E18" s="6" t="s">
        <v>2726</v>
      </c>
      <c r="F18" s="16" t="s">
        <v>1739</v>
      </c>
      <c r="G18" s="6">
        <v>3922716</v>
      </c>
      <c r="H18" s="6">
        <v>219</v>
      </c>
    </row>
    <row r="19" spans="1:8" x14ac:dyDescent="0.25">
      <c r="A19" s="6">
        <v>800256178</v>
      </c>
      <c r="B19" s="6" t="str">
        <f>VLOOKUP(A19,'[1]DEPURACION FINAL TRAB'!$A$1:$N$855,2,0)</f>
        <v>INGENIERIA DE SERVICIOS Y CONTROL LTDA</v>
      </c>
      <c r="C19" s="6">
        <f>VLOOKUP(A19,'[1]DEPURACION FINAL TRAB'!$1:$1048576,3,0)</f>
        <v>0</v>
      </c>
      <c r="D19" s="6" t="s">
        <v>2511</v>
      </c>
      <c r="E19" s="6" t="s">
        <v>2955</v>
      </c>
      <c r="F19" s="16" t="s">
        <v>374</v>
      </c>
      <c r="G19" s="6">
        <v>3925197.9000000004</v>
      </c>
      <c r="H19" s="6">
        <v>219</v>
      </c>
    </row>
    <row r="20" spans="1:8" x14ac:dyDescent="0.25">
      <c r="A20" s="6">
        <v>860534244</v>
      </c>
      <c r="B20" s="6" t="str">
        <f>VLOOKUP(A20,'[1]DEPURACION FINAL TRAB'!$A$1:$N$855,2,0)</f>
        <v>ATLAS COPCO COLOMBIA LTDA</v>
      </c>
      <c r="C20" s="6">
        <f>VLOOKUP(A20,'[1]DEPURACION FINAL TRAB'!$1:$1048576,3,0)</f>
        <v>4199200</v>
      </c>
      <c r="D20" s="6" t="s">
        <v>2292</v>
      </c>
      <c r="E20" s="6" t="s">
        <v>2745</v>
      </c>
      <c r="F20" s="16" t="s">
        <v>419</v>
      </c>
      <c r="G20" s="6">
        <v>3935757.6</v>
      </c>
      <c r="H20" s="6">
        <v>219</v>
      </c>
    </row>
    <row r="21" spans="1:8" ht="15.75" customHeight="1" x14ac:dyDescent="0.25">
      <c r="A21" s="6">
        <v>900163354</v>
      </c>
      <c r="B21" s="6" t="str">
        <f>VLOOKUP(A21,'[1]DEPURACION FINAL TRAB'!$A$1:$N$855,2,0)</f>
        <v>ARROCERA FORMOSA SAS</v>
      </c>
      <c r="C21" s="6" t="str">
        <f>VLOOKUP(A21,'[1]DEPURACION FINAL TRAB'!$1:$1048576,3,0)</f>
        <v>321 7997242</v>
      </c>
      <c r="D21" s="6" t="s">
        <v>2288</v>
      </c>
      <c r="E21" s="6" t="s">
        <v>2742</v>
      </c>
      <c r="F21" s="16" t="s">
        <v>2052</v>
      </c>
      <c r="G21" s="6">
        <v>3937914</v>
      </c>
      <c r="H21" s="6">
        <v>219</v>
      </c>
    </row>
    <row r="22" spans="1:8" ht="15.75" customHeight="1" x14ac:dyDescent="0.25">
      <c r="A22" s="6">
        <v>891900129</v>
      </c>
      <c r="B22" s="6" t="str">
        <f>VLOOKUP(A22,'[1]DEPURACION FINAL TRAB'!$A$1:$N$855,2,0)</f>
        <v>CARLOS SARMIENTO L Y CIA INGENIO SAN CARLOS S.A.</v>
      </c>
      <c r="C22" s="6">
        <v>0</v>
      </c>
      <c r="D22" s="6" t="s">
        <v>2329</v>
      </c>
      <c r="E22" s="6" t="s">
        <v>2781</v>
      </c>
      <c r="F22" s="16" t="s">
        <v>2167</v>
      </c>
      <c r="G22" s="6">
        <v>3950424</v>
      </c>
      <c r="H22" s="6">
        <v>219</v>
      </c>
    </row>
    <row r="23" spans="1:8" ht="15.75" customHeight="1" x14ac:dyDescent="0.25">
      <c r="A23" s="6">
        <v>830080201</v>
      </c>
      <c r="B23" s="6" t="str">
        <f>VLOOKUP(A23,'[1]DEPURACION FINAL TRAB'!$A$1:$N$855,2,0)</f>
        <v>POINTER INSTRUMENT SERVICES S.A.S</v>
      </c>
      <c r="C23" s="6">
        <v>0</v>
      </c>
      <c r="D23" s="6" t="s">
        <v>2591</v>
      </c>
      <c r="E23" s="6" t="s">
        <v>2730</v>
      </c>
      <c r="F23" s="16" t="s">
        <v>419</v>
      </c>
      <c r="G23" s="6">
        <v>3958546.1</v>
      </c>
      <c r="H23" s="6">
        <v>219</v>
      </c>
    </row>
    <row r="24" spans="1:8" ht="15.75" customHeight="1" x14ac:dyDescent="0.25">
      <c r="A24" s="6">
        <v>800221724</v>
      </c>
      <c r="B24" s="6" t="str">
        <f>VLOOKUP(A24,'[1]DEPURACION FINAL TRAB'!$A$1:$N$855,2,0)</f>
        <v>PRODUCTORA DE INSUMOS AGROPECUARIOS, SOMEX S.A.S</v>
      </c>
      <c r="C24" s="6">
        <v>0</v>
      </c>
      <c r="D24" s="6" t="s">
        <v>2602</v>
      </c>
      <c r="E24" s="6" t="s">
        <v>3037</v>
      </c>
      <c r="F24" s="16" t="s">
        <v>352</v>
      </c>
      <c r="G24" s="6">
        <v>4025600</v>
      </c>
      <c r="H24" s="6">
        <v>219</v>
      </c>
    </row>
    <row r="25" spans="1:8" ht="15.75" customHeight="1" x14ac:dyDescent="0.25">
      <c r="A25" s="6">
        <v>860063875</v>
      </c>
      <c r="B25" s="6" t="str">
        <f>VLOOKUP(A25,'[1]DEPURACION FINAL TRAB'!$A$1:$N$855,2,0)</f>
        <v>ENEL COLOMBIA SA E.S.P</v>
      </c>
      <c r="C25" s="6">
        <f>VLOOKUP(A25,'[1]DEPURACION FINAL TRAB'!$1:$1048576,3,0)</f>
        <v>0</v>
      </c>
      <c r="D25" s="6" t="s">
        <v>2424</v>
      </c>
      <c r="E25" s="6" t="s">
        <v>2870</v>
      </c>
      <c r="F25" s="16" t="s">
        <v>419</v>
      </c>
      <c r="G25" s="6">
        <v>4035717.84</v>
      </c>
      <c r="H25" s="6">
        <v>334</v>
      </c>
    </row>
    <row r="26" spans="1:8" ht="15.75" customHeight="1" x14ac:dyDescent="0.25">
      <c r="A26" s="6">
        <v>900910840</v>
      </c>
      <c r="B26" s="6" t="str">
        <f>VLOOKUP(A26,'[1]DEPURACION FINAL TRAB'!$A$1:$N$855,2,0)</f>
        <v>MONTAJES ELECTRICOS Y DE TELECOMUNICACIONES SAS</v>
      </c>
      <c r="C26" s="6">
        <v>0</v>
      </c>
      <c r="D26" s="6" t="s">
        <v>2561</v>
      </c>
      <c r="E26" s="6" t="s">
        <v>2997</v>
      </c>
      <c r="F26" s="16" t="s">
        <v>374</v>
      </c>
      <c r="G26" s="6">
        <v>4039020.36</v>
      </c>
      <c r="H26" s="6">
        <v>219</v>
      </c>
    </row>
    <row r="27" spans="1:8" ht="15.75" customHeight="1" x14ac:dyDescent="0.25">
      <c r="A27" s="6">
        <v>901241784</v>
      </c>
      <c r="B27" s="6" t="str">
        <f>VLOOKUP(A27,'[1]DEPURACION FINAL TRAB'!$A$1:$N$855,2,0)</f>
        <v>SOLUCIONES TECNOLOGICAS EN RECUBRIMIENTOS SAS</v>
      </c>
      <c r="C27" s="6">
        <v>0</v>
      </c>
      <c r="D27" s="6" t="s">
        <v>2660</v>
      </c>
      <c r="E27" s="6" t="s">
        <v>3091</v>
      </c>
      <c r="F27" s="16" t="s">
        <v>439</v>
      </c>
      <c r="G27" s="6">
        <v>4075164.26</v>
      </c>
      <c r="H27" s="6">
        <v>219</v>
      </c>
    </row>
    <row r="28" spans="1:8" ht="15.75" customHeight="1" x14ac:dyDescent="0.25">
      <c r="A28" s="6">
        <v>901079460</v>
      </c>
      <c r="B28" s="6" t="str">
        <f>VLOOKUP(A28,'[1]DEPURACION FINAL TRAB'!$A$1:$N$855,2,0)</f>
        <v>ZONA FRANCA CENTRAL CERVECERA SAS</v>
      </c>
      <c r="C28" s="6">
        <f>VLOOKUP(A28,'[1]DEPURACION FINAL TRAB'!$1:$1048576,3,0)</f>
        <v>4823650</v>
      </c>
      <c r="D28" s="6" t="s">
        <v>2715</v>
      </c>
      <c r="E28" s="6" t="s">
        <v>3141</v>
      </c>
      <c r="F28" s="16" t="s">
        <v>1124</v>
      </c>
      <c r="G28" s="6">
        <v>4097680</v>
      </c>
      <c r="H28" s="6">
        <v>219</v>
      </c>
    </row>
    <row r="29" spans="1:8" ht="15.75" customHeight="1" x14ac:dyDescent="0.25">
      <c r="A29" s="6">
        <v>800002482</v>
      </c>
      <c r="B29" s="6" t="str">
        <f>VLOOKUP(A29,'[1]DEPURACION FINAL TRAB'!$A$1:$N$855,2,0)</f>
        <v>VARIADORES S.A.S</v>
      </c>
      <c r="C29" s="6">
        <v>0</v>
      </c>
      <c r="D29" s="6" t="s">
        <v>2705</v>
      </c>
      <c r="E29" s="6" t="s">
        <v>3131</v>
      </c>
      <c r="F29" s="16" t="s">
        <v>419</v>
      </c>
      <c r="G29" s="6">
        <v>4107045.89</v>
      </c>
      <c r="H29" s="6">
        <v>219</v>
      </c>
    </row>
    <row r="30" spans="1:8" ht="15.75" customHeight="1" x14ac:dyDescent="0.25">
      <c r="A30" s="6">
        <v>901652239</v>
      </c>
      <c r="B30" s="6" t="str">
        <f>VLOOKUP(A30,'[1]DEPURACION FINAL TRAB'!$A$1:$N$855,2,0)</f>
        <v>ARBEZ INGENIERIA SAS</v>
      </c>
      <c r="C30" s="6" t="str">
        <f>VLOOKUP(A30,'[1]DEPURACION FINAL TRAB'!$1:$1048576,3,0)</f>
        <v>321 8642941</v>
      </c>
      <c r="D30" s="6" t="s">
        <v>2287</v>
      </c>
      <c r="E30" s="6" t="s">
        <v>2741</v>
      </c>
      <c r="F30" s="16" t="s">
        <v>2216</v>
      </c>
      <c r="G30" s="6">
        <v>4129138.7199999997</v>
      </c>
      <c r="H30" s="6">
        <v>219</v>
      </c>
    </row>
    <row r="31" spans="1:8" ht="15.75" customHeight="1" x14ac:dyDescent="0.25">
      <c r="A31" s="6">
        <v>901247352</v>
      </c>
      <c r="B31" s="6" t="str">
        <f>VLOOKUP(A31,'[1]DEPURACION FINAL TRAB'!$A$1:$N$855,2,0)</f>
        <v>GLOBAL INDUSTRIAL SAS</v>
      </c>
      <c r="C31" s="6" t="str">
        <f>VLOOKUP(A31,'[1]DEPURACION FINAL TRAB'!$1:$1048576,3,0)</f>
        <v>300 6529224</v>
      </c>
      <c r="D31" s="6" t="s">
        <v>2469</v>
      </c>
      <c r="E31" s="6" t="s">
        <v>2912</v>
      </c>
      <c r="F31" s="16" t="s">
        <v>419</v>
      </c>
      <c r="G31" s="6">
        <v>4174000</v>
      </c>
      <c r="H31" s="6">
        <v>219</v>
      </c>
    </row>
    <row r="32" spans="1:8" ht="15.75" customHeight="1" x14ac:dyDescent="0.25">
      <c r="A32" s="6">
        <v>800208785</v>
      </c>
      <c r="B32" s="6" t="str">
        <f>VLOOKUP(A32,'[1]DEPURACION FINAL TRAB'!$A$1:$N$855,2,0)</f>
        <v>CONGELADOS AGRICOLAS S.A.</v>
      </c>
      <c r="C32" s="6">
        <v>0</v>
      </c>
      <c r="D32" s="6" t="s">
        <v>2372</v>
      </c>
      <c r="E32" s="6" t="s">
        <v>2823</v>
      </c>
      <c r="F32" s="16" t="s">
        <v>419</v>
      </c>
      <c r="G32" s="6">
        <v>4204240</v>
      </c>
      <c r="H32" s="6">
        <v>219</v>
      </c>
    </row>
    <row r="33" spans="1:8" ht="15.75" customHeight="1" x14ac:dyDescent="0.25">
      <c r="A33" s="6">
        <v>900684305</v>
      </c>
      <c r="B33" s="6" t="str">
        <f>VLOOKUP(A33,'[1]DEPURACION FINAL TRAB'!$A$1:$N$855,2,0)</f>
        <v>KATARA SAS</v>
      </c>
      <c r="C33" s="6" t="str">
        <f>VLOOKUP(A33,'[1]DEPURACION FINAL TRAB'!$1:$1048576,3,0)</f>
        <v>318 5214674</v>
      </c>
      <c r="D33" s="6" t="s">
        <v>2530</v>
      </c>
      <c r="E33" s="6" t="s">
        <v>2971</v>
      </c>
      <c r="F33" s="16" t="s">
        <v>1259</v>
      </c>
      <c r="G33" s="6">
        <v>4228195</v>
      </c>
      <c r="H33" s="6">
        <v>219</v>
      </c>
    </row>
    <row r="34" spans="1:8" ht="15.75" customHeight="1" x14ac:dyDescent="0.25">
      <c r="A34" s="6">
        <v>900628124</v>
      </c>
      <c r="B34" s="6" t="str">
        <f>VLOOKUP(A34,'[1]DEPURACION FINAL TRAB'!$A$1:$N$855,2,0)</f>
        <v>SAVAN S.A.S</v>
      </c>
      <c r="C34" s="6">
        <f>VLOOKUP(A34,'[1]DEPURACION FINAL TRAB'!$1:$1048576,3,0)</f>
        <v>0</v>
      </c>
      <c r="D34" s="6" t="s">
        <v>2632</v>
      </c>
      <c r="E34" s="6" t="s">
        <v>2971</v>
      </c>
      <c r="F34" s="16" t="s">
        <v>1259</v>
      </c>
      <c r="G34" s="6">
        <v>4228195</v>
      </c>
      <c r="H34" s="6">
        <v>219</v>
      </c>
    </row>
    <row r="35" spans="1:8" ht="15.75" customHeight="1" x14ac:dyDescent="0.25">
      <c r="A35" s="6">
        <v>890903939</v>
      </c>
      <c r="B35" s="6" t="str">
        <f>VLOOKUP(A35,'[1]DEPURACION FINAL TRAB'!$A$1:$N$855,2,0)</f>
        <v>POSTOBON S.A.</v>
      </c>
      <c r="C35" s="6">
        <v>0</v>
      </c>
      <c r="D35" s="6" t="s">
        <v>2594</v>
      </c>
      <c r="E35" s="6" t="s">
        <v>3029</v>
      </c>
      <c r="F35" s="16" t="s">
        <v>352</v>
      </c>
      <c r="G35" s="6">
        <v>4242420</v>
      </c>
      <c r="H35" s="6">
        <v>219</v>
      </c>
    </row>
    <row r="36" spans="1:8" ht="15.75" customHeight="1" x14ac:dyDescent="0.25">
      <c r="A36" s="6">
        <v>901232631</v>
      </c>
      <c r="B36" s="6" t="str">
        <f>VLOOKUP(A36,'[1]DEPURACION FINAL TRAB'!$A$1:$N$855,2,0)</f>
        <v>FAREVA VILLA RICA S.A.S.</v>
      </c>
      <c r="C36" s="6">
        <v>0</v>
      </c>
      <c r="D36" s="6" t="s">
        <v>2439</v>
      </c>
      <c r="E36" s="6" t="s">
        <v>2886</v>
      </c>
      <c r="F36" s="16" t="s">
        <v>419</v>
      </c>
      <c r="G36" s="6">
        <v>4267680</v>
      </c>
      <c r="H36" s="6">
        <v>219</v>
      </c>
    </row>
    <row r="37" spans="1:8" ht="15.75" customHeight="1" x14ac:dyDescent="0.25">
      <c r="A37" s="6">
        <v>900830360</v>
      </c>
      <c r="B37" s="6" t="str">
        <f>VLOOKUP(A37,'[1]DEPURACION FINAL TRAB'!$A$1:$N$855,2,0)</f>
        <v>SISTEMAS AUTOMATICOS DE CONTROL S.A.S</v>
      </c>
      <c r="C37" s="6">
        <v>0</v>
      </c>
      <c r="D37" s="6" t="s">
        <v>2649</v>
      </c>
      <c r="E37" s="6" t="s">
        <v>3079</v>
      </c>
      <c r="F37" s="16" t="s">
        <v>2205</v>
      </c>
      <c r="G37" s="6">
        <v>4284475.0200000005</v>
      </c>
      <c r="H37" s="6">
        <v>219</v>
      </c>
    </row>
    <row r="38" spans="1:8" ht="15.75" customHeight="1" x14ac:dyDescent="0.25">
      <c r="A38" s="6">
        <v>900221155</v>
      </c>
      <c r="B38" s="6" t="str">
        <f>VLOOKUP(A38,'[1]DEPURACION FINAL TRAB'!$A$1:$N$855,2,0)</f>
        <v>EMPRENDER SOLUCIONES LTDA</v>
      </c>
      <c r="C38" s="6">
        <v>0</v>
      </c>
      <c r="D38" s="6" t="s">
        <v>2418</v>
      </c>
      <c r="E38" s="6" t="s">
        <v>2730</v>
      </c>
      <c r="F38" s="16" t="s">
        <v>1945</v>
      </c>
      <c r="G38" s="6">
        <v>4321843</v>
      </c>
      <c r="H38" s="6">
        <v>219</v>
      </c>
    </row>
    <row r="39" spans="1:8" ht="15.75" customHeight="1" x14ac:dyDescent="0.25">
      <c r="A39" s="6">
        <v>901498530</v>
      </c>
      <c r="B39" s="6" t="str">
        <f>VLOOKUP(A39,'[1]DEPURACION FINAL TRAB'!$A$1:$N$855,2,0)</f>
        <v>CONSORCIO MEDELLIN AL MAR</v>
      </c>
      <c r="C39" s="6">
        <v>0</v>
      </c>
      <c r="D39" s="6" t="s">
        <v>2281</v>
      </c>
      <c r="E39" s="6" t="s">
        <v>2827</v>
      </c>
      <c r="F39" s="16" t="s">
        <v>419</v>
      </c>
      <c r="G39" s="6">
        <v>4357362</v>
      </c>
      <c r="H39" s="6">
        <v>219</v>
      </c>
    </row>
    <row r="40" spans="1:8" ht="15.75" customHeight="1" x14ac:dyDescent="0.25">
      <c r="A40" s="6">
        <v>900830360</v>
      </c>
      <c r="B40" s="6" t="str">
        <f>VLOOKUP(A40,'[1]DEPURACION FINAL TRAB'!$A$1:$N$855,2,0)</f>
        <v>SISTEMAS AUTOMATICOS DE CONTROL S.A.S</v>
      </c>
      <c r="C40" s="6">
        <v>0</v>
      </c>
      <c r="D40" s="6" t="s">
        <v>2649</v>
      </c>
      <c r="E40" s="6" t="s">
        <v>3079</v>
      </c>
      <c r="F40" s="16" t="s">
        <v>2205</v>
      </c>
      <c r="G40" s="6">
        <v>4370000</v>
      </c>
      <c r="H40" s="6">
        <v>219</v>
      </c>
    </row>
    <row r="41" spans="1:8" ht="15.75" customHeight="1" x14ac:dyDescent="0.25">
      <c r="A41" s="6">
        <v>900742771</v>
      </c>
      <c r="B41" s="6" t="str">
        <f>VLOOKUP(A41,'[1]DEPURACION FINAL TRAB'!$A$1:$N$855,2,0)</f>
        <v>BERHLAN DE COLOMBIA S.A.S</v>
      </c>
      <c r="C41" s="6">
        <v>0</v>
      </c>
      <c r="D41" s="6" t="s">
        <v>2315</v>
      </c>
      <c r="E41" s="6" t="s">
        <v>2767</v>
      </c>
      <c r="F41" s="16" t="s">
        <v>376</v>
      </c>
      <c r="G41" s="6">
        <v>4375000</v>
      </c>
      <c r="H41" s="6">
        <v>219</v>
      </c>
    </row>
    <row r="42" spans="1:8" ht="15.75" customHeight="1" x14ac:dyDescent="0.25">
      <c r="A42" s="6">
        <v>901707026</v>
      </c>
      <c r="B42" s="6" t="str">
        <f>VLOOKUP(A42,'[1]DEPURACION FINAL TRAB'!$A$1:$N$855,2,0)</f>
        <v>CENTRAL TERMOCARTAGENA SAS ESP</v>
      </c>
      <c r="C42" s="6">
        <f>VLOOKUP(A42,'[1]DEPURACION FINAL TRAB'!$1:$1048576,3,0)</f>
        <v>6315910</v>
      </c>
      <c r="D42" s="6" t="s">
        <v>2342</v>
      </c>
      <c r="E42" s="6" t="s">
        <v>2792</v>
      </c>
      <c r="F42" s="16" t="s">
        <v>439</v>
      </c>
      <c r="G42" s="6">
        <v>4377400</v>
      </c>
      <c r="H42" s="6">
        <v>219</v>
      </c>
    </row>
    <row r="43" spans="1:8" ht="15.75" customHeight="1" x14ac:dyDescent="0.25">
      <c r="A43" s="6">
        <v>860003831</v>
      </c>
      <c r="B43" s="6" t="str">
        <f>VLOOKUP(A43,'[1]DEPURACION FINAL TRAB'!$A$1:$N$855,2,0)</f>
        <v>PRODUCTOS RAMO SAS</v>
      </c>
      <c r="C43" s="6">
        <v>0</v>
      </c>
      <c r="D43" s="6" t="s">
        <v>2605</v>
      </c>
      <c r="E43" s="6" t="s">
        <v>3041</v>
      </c>
      <c r="F43" s="16" t="s">
        <v>1275</v>
      </c>
      <c r="G43" s="6">
        <v>4393030</v>
      </c>
      <c r="H43" s="6">
        <v>219</v>
      </c>
    </row>
    <row r="44" spans="1:8" ht="15" customHeight="1" x14ac:dyDescent="0.25">
      <c r="A44">
        <v>899999068</v>
      </c>
      <c r="B44" t="str">
        <f>VLOOKUP(A44,'[1]DEPURACION FINAL TRAB'!$A$1:$N$855,2,0)</f>
        <v>ECOPETROL S.A.</v>
      </c>
      <c r="C44">
        <v>0</v>
      </c>
      <c r="D44" t="s">
        <v>2281</v>
      </c>
      <c r="E44" t="s">
        <v>2857</v>
      </c>
      <c r="F44" s="17" t="s">
        <v>1932</v>
      </c>
      <c r="G44">
        <v>4403050</v>
      </c>
      <c r="H44">
        <v>219</v>
      </c>
    </row>
    <row r="45" spans="1:8" ht="15" customHeight="1" x14ac:dyDescent="0.25">
      <c r="A45">
        <v>860451201</v>
      </c>
      <c r="B45" t="str">
        <f>VLOOKUP(A45,'[1]DEPURACION FINAL TRAB'!$A$1:$N$855,2,0)</f>
        <v>INDUSTRIAS ASOCIADAS S.A.S.</v>
      </c>
      <c r="C45" t="str">
        <f>VLOOKUP(A45,'[1]DEPURACION FINAL TRAB'!$1:$1048576,3,0)</f>
        <v>320 8550744</v>
      </c>
      <c r="D45" t="s">
        <v>2503</v>
      </c>
      <c r="E45" t="s">
        <v>2947</v>
      </c>
      <c r="F45" s="17" t="s">
        <v>419</v>
      </c>
      <c r="G45">
        <v>4412800</v>
      </c>
      <c r="H45">
        <v>219</v>
      </c>
    </row>
    <row r="46" spans="1:8" ht="15" customHeight="1" x14ac:dyDescent="0.25">
      <c r="A46">
        <v>1116235216</v>
      </c>
      <c r="B46" t="str">
        <f>VLOOKUP(A46,'[1]DEPURACION FINAL TRAB'!$A$1:$N$855,2,0)</f>
        <v xml:space="preserve">GUERRA ORTIZ EDGAR </v>
      </c>
      <c r="C46" t="str">
        <f>VLOOKUP(A46,'[1]DEPURACION FINAL TRAB'!$1:$1048576,3,0)</f>
        <v>321 7563999</v>
      </c>
      <c r="D46" t="s">
        <v>2478</v>
      </c>
      <c r="E46" t="s">
        <v>2921</v>
      </c>
      <c r="F46" s="17" t="s">
        <v>2205</v>
      </c>
      <c r="G46">
        <v>4414537.7700000005</v>
      </c>
      <c r="H46">
        <v>219</v>
      </c>
    </row>
    <row r="47" spans="1:8" ht="15" customHeight="1" x14ac:dyDescent="0.25">
      <c r="A47">
        <v>900349378</v>
      </c>
      <c r="B47" t="str">
        <f>VLOOKUP(A47,'[1]DEPURACION FINAL TRAB'!$A$1:$N$855,2,0)</f>
        <v>INVERSIONES KASSEL NAVAS SAS</v>
      </c>
      <c r="C47">
        <v>0</v>
      </c>
      <c r="D47" t="s">
        <v>2526</v>
      </c>
      <c r="E47" t="s">
        <v>2968</v>
      </c>
      <c r="F47" s="17" t="s">
        <v>1259</v>
      </c>
      <c r="G47">
        <v>4417814.26</v>
      </c>
      <c r="H47">
        <v>219</v>
      </c>
    </row>
    <row r="48" spans="1:8" ht="15" customHeight="1" x14ac:dyDescent="0.25">
      <c r="A48">
        <v>901703671</v>
      </c>
      <c r="B48" t="str">
        <f>VLOOKUP(A48,'[1]DEPURACION FINAL TRAB'!$A$1:$N$855,2,0)</f>
        <v>UNION TEMPORAL SCC - SITS 2023</v>
      </c>
      <c r="C48">
        <f>VLOOKUP(A48,'[1]DEPURACION FINAL TRAB'!$1:$1048576,3,0)</f>
        <v>0</v>
      </c>
      <c r="D48" t="s">
        <v>2699</v>
      </c>
      <c r="E48" t="s">
        <v>3126</v>
      </c>
      <c r="F48" s="17" t="s">
        <v>419</v>
      </c>
      <c r="G48">
        <v>4422213.6100000003</v>
      </c>
      <c r="H48">
        <v>219</v>
      </c>
    </row>
    <row r="49" spans="1:8" ht="15" customHeight="1" x14ac:dyDescent="0.25">
      <c r="A49">
        <v>804016072</v>
      </c>
      <c r="B49" t="str">
        <f>VLOOKUP(A49,'[1]DEPURACION FINAL TRAB'!$A$1:$N$855,2,0)</f>
        <v>ADIPACK LTDA</v>
      </c>
      <c r="C49">
        <v>0</v>
      </c>
      <c r="D49" t="s">
        <v>2269</v>
      </c>
      <c r="E49" t="s">
        <v>2724</v>
      </c>
      <c r="F49" s="17" t="s">
        <v>1945</v>
      </c>
      <c r="G49">
        <v>4423960</v>
      </c>
      <c r="H49">
        <v>219</v>
      </c>
    </row>
    <row r="50" spans="1:8" ht="15" customHeight="1" x14ac:dyDescent="0.25">
      <c r="A50">
        <v>900388600</v>
      </c>
      <c r="B50" t="str">
        <f>VLOOKUP(A50,'[1]DEPURACION FINAL TRAB'!$A$1:$N$855,2,0)</f>
        <v>CLARIOS ANDINA SAS</v>
      </c>
      <c r="C50">
        <v>0</v>
      </c>
      <c r="D50" t="s">
        <v>2346</v>
      </c>
      <c r="E50" t="s">
        <v>2796</v>
      </c>
      <c r="F50" s="17" t="s">
        <v>2222</v>
      </c>
      <c r="G50">
        <v>4431963.12</v>
      </c>
      <c r="H50">
        <v>219</v>
      </c>
    </row>
    <row r="51" spans="1:8" ht="15" customHeight="1" x14ac:dyDescent="0.25">
      <c r="A51">
        <v>900407987</v>
      </c>
      <c r="B51" t="str">
        <f>VLOOKUP(A51,'[1]DEPURACION FINAL TRAB'!$A$1:$N$855,2,0)</f>
        <v>GUACAMAYA ENERGY SERVICES S A S</v>
      </c>
      <c r="C51">
        <f>VLOOKUP(A51,'[1]DEPURACION FINAL TRAB'!$1:$1048576,3,0)</f>
        <v>0</v>
      </c>
      <c r="D51" t="s">
        <v>2477</v>
      </c>
      <c r="E51" t="s">
        <v>2920</v>
      </c>
      <c r="F51" s="17" t="s">
        <v>419</v>
      </c>
      <c r="G51">
        <v>4434000</v>
      </c>
      <c r="H51">
        <v>219</v>
      </c>
    </row>
    <row r="52" spans="1:8" ht="15" customHeight="1" x14ac:dyDescent="0.25">
      <c r="A52">
        <v>860076598</v>
      </c>
      <c r="B52" t="str">
        <f>VLOOKUP(A52,'[1]DEPURACION FINAL TRAB'!$A$1:$N$855,2,0)</f>
        <v>ELECTRO ALIANZA SAS</v>
      </c>
      <c r="C52">
        <v>0</v>
      </c>
      <c r="D52" t="s">
        <v>2412</v>
      </c>
      <c r="E52" t="s">
        <v>2860</v>
      </c>
      <c r="F52" s="17" t="s">
        <v>419</v>
      </c>
      <c r="G52">
        <v>4504899.5</v>
      </c>
      <c r="H52">
        <v>219</v>
      </c>
    </row>
    <row r="53" spans="1:8" ht="15" customHeight="1" x14ac:dyDescent="0.25">
      <c r="A53">
        <v>860006160</v>
      </c>
      <c r="B53" t="str">
        <f>VLOOKUP(A53,'[1]DEPURACION FINAL TRAB'!$A$1:$N$855,2,0)</f>
        <v xml:space="preserve">PLASTILENE SAS </v>
      </c>
      <c r="C53" t="str">
        <f>VLOOKUP(A53,'[1]DEPURACION FINAL TRAB'!$1:$1048576,3,0)</f>
        <v>7305900</v>
      </c>
      <c r="D53" t="s">
        <v>2590</v>
      </c>
      <c r="E53" t="s">
        <v>3026</v>
      </c>
      <c r="F53" s="17" t="s">
        <v>419</v>
      </c>
      <c r="G53">
        <v>4541587.2</v>
      </c>
      <c r="H53">
        <v>219</v>
      </c>
    </row>
    <row r="54" spans="1:8" ht="15" customHeight="1" x14ac:dyDescent="0.25">
      <c r="A54">
        <v>900552027</v>
      </c>
      <c r="B54" t="str">
        <f>VLOOKUP(A54,'[1]DEPURACION FINAL TRAB'!$A$1:$N$855,2,0)</f>
        <v>CONSTRUCCIONES ARCUES S.A.S.</v>
      </c>
      <c r="C54">
        <f>VLOOKUP(A54,'[1]DEPURACION FINAL TRAB'!$1:$1048576,3,0)</f>
        <v>6799663</v>
      </c>
      <c r="D54" t="s">
        <v>2376</v>
      </c>
      <c r="E54" t="s">
        <v>2828</v>
      </c>
      <c r="F54" s="17" t="s">
        <v>439</v>
      </c>
      <c r="G54">
        <v>4584240</v>
      </c>
      <c r="H54">
        <v>219</v>
      </c>
    </row>
    <row r="55" spans="1:8" ht="15" customHeight="1" x14ac:dyDescent="0.25">
      <c r="A55">
        <v>900149460</v>
      </c>
      <c r="B55" t="str">
        <f>VLOOKUP(A55,'[1]DEPURACION FINAL TRAB'!$A$1:$N$855,2,0)</f>
        <v>GYPLAC S.A</v>
      </c>
      <c r="C55">
        <v>0</v>
      </c>
      <c r="D55" t="s">
        <v>2479</v>
      </c>
      <c r="E55" t="s">
        <v>2922</v>
      </c>
      <c r="F55" s="17" t="s">
        <v>439</v>
      </c>
      <c r="G55">
        <v>4611571.1999999993</v>
      </c>
      <c r="H55">
        <v>219</v>
      </c>
    </row>
    <row r="56" spans="1:8" ht="15" customHeight="1" x14ac:dyDescent="0.25">
      <c r="A56">
        <v>900875272</v>
      </c>
      <c r="B56" t="str">
        <f>VLOOKUP(A56,'[1]DEPURACION FINAL TRAB'!$A$1:$N$855,2,0)</f>
        <v>BEMA SAS</v>
      </c>
      <c r="C56" t="str">
        <f>VLOOKUP(A56,'[1]DEPURACION FINAL TRAB'!$1:$1048576,3,0)</f>
        <v>316 8339822</v>
      </c>
      <c r="D56" t="s">
        <v>2314</v>
      </c>
      <c r="E56" t="s">
        <v>2766</v>
      </c>
      <c r="F56" s="17" t="s">
        <v>419</v>
      </c>
      <c r="G56">
        <v>4617346.88</v>
      </c>
      <c r="H56">
        <v>219</v>
      </c>
    </row>
    <row r="57" spans="1:8" ht="15" customHeight="1" x14ac:dyDescent="0.25">
      <c r="A57">
        <v>900413008</v>
      </c>
      <c r="B57" t="str">
        <f>VLOOKUP(A57,'[1]DEPURACION FINAL TRAB'!$A$1:$N$855,2,0)</f>
        <v>SUMINISTROS Y SERVICIOS PETROLEROS SAS</v>
      </c>
      <c r="C57">
        <v>0</v>
      </c>
      <c r="D57" t="s">
        <v>2665</v>
      </c>
      <c r="E57" t="s">
        <v>3096</v>
      </c>
      <c r="F57" s="17" t="s">
        <v>419</v>
      </c>
      <c r="G57">
        <v>4639060.8</v>
      </c>
      <c r="H57">
        <v>219</v>
      </c>
    </row>
    <row r="58" spans="1:8" ht="15" customHeight="1" x14ac:dyDescent="0.25">
      <c r="A58">
        <v>890907163</v>
      </c>
      <c r="B58" t="str">
        <f>VLOOKUP(A58,'[1]DEPURACION FINAL TRAB'!$A$1:$N$855,2,0)</f>
        <v>COMPAÑIA INDUSTRIAL DE PRODUCTOS AGROPECUARIOS SA</v>
      </c>
      <c r="C58" t="str">
        <f>VLOOKUP(A58,'[1]DEPURACION FINAL TRAB'!$1:$1048576,3,0)</f>
        <v>5200950</v>
      </c>
      <c r="D58" t="s">
        <v>2366</v>
      </c>
      <c r="E58" t="s">
        <v>2817</v>
      </c>
      <c r="F58" s="17" t="s">
        <v>419</v>
      </c>
      <c r="G58">
        <v>4653214.72</v>
      </c>
      <c r="H58">
        <v>219</v>
      </c>
    </row>
    <row r="59" spans="1:8" ht="15" customHeight="1" x14ac:dyDescent="0.25">
      <c r="A59">
        <v>901712798</v>
      </c>
      <c r="B59" t="str">
        <f>VLOOKUP(A59,'[1]DEPURACION FINAL TRAB'!$A$1:$N$855,2,0)</f>
        <v>OMNIA OMEGA PACKING SAS</v>
      </c>
      <c r="C59" t="str">
        <f>VLOOKUP(A59,'[1]DEPURACION FINAL TRAB'!$1:$1048576,3,0)</f>
        <v>301 6411965</v>
      </c>
      <c r="D59" t="s">
        <v>2572</v>
      </c>
      <c r="E59" t="s">
        <v>3009</v>
      </c>
      <c r="F59" s="17" t="s">
        <v>352</v>
      </c>
      <c r="G59">
        <v>4680000</v>
      </c>
      <c r="H59">
        <v>219</v>
      </c>
    </row>
    <row r="60" spans="1:8" ht="15" customHeight="1" x14ac:dyDescent="0.25">
      <c r="A60">
        <v>900872171</v>
      </c>
      <c r="B60" t="str">
        <f>VLOOKUP(A60,'[1]DEPURACION FINAL TRAB'!$A$1:$N$855,2,0)</f>
        <v>SEG ENERGY GROUP SAS</v>
      </c>
      <c r="C60">
        <v>0</v>
      </c>
      <c r="D60" t="s">
        <v>2638</v>
      </c>
      <c r="E60" t="s">
        <v>2730</v>
      </c>
      <c r="F60" s="17" t="s">
        <v>2205</v>
      </c>
      <c r="G60">
        <v>4686907.09</v>
      </c>
      <c r="H60">
        <v>219</v>
      </c>
    </row>
    <row r="61" spans="1:8" ht="15" customHeight="1" x14ac:dyDescent="0.25">
      <c r="A61">
        <v>805007650</v>
      </c>
      <c r="B61" t="str">
        <f>VLOOKUP(A61,'[1]DEPURACION FINAL TRAB'!$A$1:$N$855,2,0)</f>
        <v>R.S. INGENIERIA S.A.S</v>
      </c>
      <c r="C61" t="str">
        <f>VLOOKUP(A61,'[1]DEPURACION FINAL TRAB'!$1:$1048576,3,0)</f>
        <v>321 7804574</v>
      </c>
      <c r="D61" t="s">
        <v>2612</v>
      </c>
      <c r="E61" t="s">
        <v>3049</v>
      </c>
      <c r="F61" s="17" t="s">
        <v>2205</v>
      </c>
      <c r="G61">
        <v>4710979.07</v>
      </c>
      <c r="H61">
        <v>219</v>
      </c>
    </row>
    <row r="62" spans="1:8" ht="15" customHeight="1" x14ac:dyDescent="0.25">
      <c r="A62">
        <v>900408764</v>
      </c>
      <c r="B62" t="str">
        <f>VLOOKUP(A62,'[1]DEPURACION FINAL TRAB'!$A$1:$N$855,2,0)</f>
        <v>NEDIAR S.A.S</v>
      </c>
      <c r="C62" t="str">
        <f>VLOOKUP(A62,'[1]DEPURACION FINAL TRAB'!$1:$1048576,3,0)</f>
        <v>322 7796933</v>
      </c>
      <c r="D62" t="s">
        <v>2565</v>
      </c>
      <c r="E62" t="s">
        <v>3001</v>
      </c>
      <c r="F62" s="17" t="s">
        <v>352</v>
      </c>
      <c r="G62">
        <v>4727804.0199999996</v>
      </c>
      <c r="H62">
        <v>219</v>
      </c>
    </row>
    <row r="63" spans="1:8" ht="15" customHeight="1" x14ac:dyDescent="0.25">
      <c r="A63">
        <v>900932581</v>
      </c>
      <c r="B63" t="str">
        <f>VLOOKUP(A63,'[1]DEPURACION FINAL TRAB'!$A$1:$N$855,2,0)</f>
        <v>SUNVOLT S.A.S</v>
      </c>
      <c r="C63" t="str">
        <f>VLOOKUP(A63,'[1]DEPURACION FINAL TRAB'!$1:$1048576,3,0)</f>
        <v>312 5711625</v>
      </c>
      <c r="D63" t="s">
        <v>2668</v>
      </c>
      <c r="E63" t="s">
        <v>3099</v>
      </c>
      <c r="F63" s="17" t="s">
        <v>352</v>
      </c>
      <c r="G63">
        <v>4747408.38</v>
      </c>
      <c r="H63">
        <v>219</v>
      </c>
    </row>
    <row r="64" spans="1:8" ht="15" customHeight="1" x14ac:dyDescent="0.25">
      <c r="A64">
        <v>901122559</v>
      </c>
      <c r="B64" t="str">
        <f>VLOOKUP(A64,'[1]DEPURACION FINAL TRAB'!$A$1:$N$855,2,0)</f>
        <v>ESMERALDAS MINING SERVICES S.A.S</v>
      </c>
      <c r="C64">
        <v>0</v>
      </c>
      <c r="D64" t="s">
        <v>2281</v>
      </c>
      <c r="E64" t="s">
        <v>2879</v>
      </c>
      <c r="F64" s="17" t="s">
        <v>419</v>
      </c>
      <c r="G64">
        <v>4780601.9000000004</v>
      </c>
      <c r="H64">
        <v>219</v>
      </c>
    </row>
    <row r="65" spans="1:8" ht="15" customHeight="1" x14ac:dyDescent="0.25">
      <c r="A65">
        <v>900964960</v>
      </c>
      <c r="B65" t="str">
        <f>VLOOKUP(A65,'[1]DEPURACION FINAL TRAB'!$A$1:$N$855,2,0)</f>
        <v>CIME ELECTRICOS SAS</v>
      </c>
      <c r="C65">
        <v>0</v>
      </c>
      <c r="D65" t="s">
        <v>2345</v>
      </c>
      <c r="E65" t="s">
        <v>2795</v>
      </c>
      <c r="F65" s="17" t="s">
        <v>419</v>
      </c>
      <c r="G65">
        <v>4788000</v>
      </c>
      <c r="H65">
        <v>219</v>
      </c>
    </row>
    <row r="66" spans="1:8" ht="15" customHeight="1" x14ac:dyDescent="0.25">
      <c r="A66">
        <v>891300529</v>
      </c>
      <c r="B66" t="str">
        <f>VLOOKUP(A66,'[1]DEPURACION FINAL TRAB'!$A$1:$N$855,2,0)</f>
        <v>GRASAS S.A</v>
      </c>
      <c r="C66">
        <v>0</v>
      </c>
      <c r="D66" t="s">
        <v>2472</v>
      </c>
      <c r="E66" t="s">
        <v>2915</v>
      </c>
      <c r="F66" s="17" t="s">
        <v>2149</v>
      </c>
      <c r="G66">
        <v>4820800</v>
      </c>
      <c r="H66">
        <v>219</v>
      </c>
    </row>
    <row r="67" spans="1:8" ht="15" customHeight="1" x14ac:dyDescent="0.25">
      <c r="A67">
        <v>830095890</v>
      </c>
      <c r="B67" t="str">
        <f>VLOOKUP(A67,'[1]DEPURACION FINAL TRAB'!$A$1:$N$855,2,0)</f>
        <v>ECOFERTIL S.A</v>
      </c>
      <c r="C67">
        <v>0</v>
      </c>
      <c r="D67" t="s">
        <v>2407</v>
      </c>
      <c r="E67" t="s">
        <v>2814</v>
      </c>
      <c r="F67" s="17" t="s">
        <v>374</v>
      </c>
      <c r="G67">
        <v>4828000</v>
      </c>
      <c r="H67">
        <v>219</v>
      </c>
    </row>
    <row r="68" spans="1:8" ht="15" customHeight="1" x14ac:dyDescent="0.25">
      <c r="A68">
        <v>890205952</v>
      </c>
      <c r="B68" t="str">
        <f>VLOOKUP(A68,'[1]DEPURACION FINAL TRAB'!$A$1:$N$855,2,0)</f>
        <v>GAS NATURAL DE ORIENTE S.A</v>
      </c>
      <c r="C68">
        <f>VLOOKUP(A68,'[1]DEPURACION FINAL TRAB'!$1:$1048576,3,0)</f>
        <v>0</v>
      </c>
      <c r="D68" t="s">
        <v>2457</v>
      </c>
      <c r="E68" t="s">
        <v>2901</v>
      </c>
      <c r="F68" s="17" t="s">
        <v>1945</v>
      </c>
      <c r="G68">
        <v>4855006.46</v>
      </c>
      <c r="H68">
        <v>219</v>
      </c>
    </row>
    <row r="69" spans="1:8" ht="15" customHeight="1" x14ac:dyDescent="0.25">
      <c r="A69">
        <v>901715260</v>
      </c>
      <c r="B69" t="str">
        <f>VLOOKUP(A69,'[1]DEPURACION FINAL TRAB'!$A$1:$N$855,2,0)</f>
        <v>SEGURITY CONTROLES S.A.S.</v>
      </c>
      <c r="C69" t="str">
        <f>VLOOKUP(A69,'[1]DEPURACION FINAL TRAB'!$1:$1048576,3,0)</f>
        <v>322 5237390</v>
      </c>
      <c r="D69" t="s">
        <v>2639</v>
      </c>
      <c r="E69" t="s">
        <v>2730</v>
      </c>
      <c r="F69" s="17" t="s">
        <v>2205</v>
      </c>
      <c r="G69">
        <v>4868519.7600000007</v>
      </c>
      <c r="H69">
        <v>219</v>
      </c>
    </row>
    <row r="70" spans="1:8" ht="15" customHeight="1" x14ac:dyDescent="0.25">
      <c r="A70">
        <v>811036030</v>
      </c>
      <c r="B70" t="str">
        <f>VLOOKUP(A70,'[1]DEPURACION FINAL TRAB'!$A$1:$N$855,2,0)</f>
        <v>COMPAÑIA NACIONAL DE CHOCOLATES S.A.S.</v>
      </c>
      <c r="C70">
        <v>0</v>
      </c>
      <c r="D70" t="s">
        <v>2368</v>
      </c>
      <c r="E70" t="s">
        <v>2819</v>
      </c>
      <c r="F70" s="17" t="s">
        <v>419</v>
      </c>
      <c r="G70">
        <v>4873187.5599999996</v>
      </c>
      <c r="H70">
        <v>219</v>
      </c>
    </row>
    <row r="71" spans="1:8" ht="15" customHeight="1" x14ac:dyDescent="0.25">
      <c r="A71">
        <v>900770676</v>
      </c>
      <c r="B71" t="str">
        <f>VLOOKUP(A71,'[1]DEPURACION FINAL TRAB'!$A$1:$N$855,2,0)</f>
        <v>INGEFLUIDOS Y MANTENIMIENTO S.A.S.</v>
      </c>
      <c r="C71">
        <f>VLOOKUP(A71,'[1]DEPURACION FINAL TRAB'!$1:$1048576,3,0)</f>
        <v>5274075</v>
      </c>
      <c r="D71" t="s">
        <v>2506</v>
      </c>
      <c r="E71" t="s">
        <v>2950</v>
      </c>
      <c r="F71" s="17" t="s">
        <v>419</v>
      </c>
      <c r="G71">
        <v>4880823</v>
      </c>
      <c r="H71">
        <v>219</v>
      </c>
    </row>
    <row r="72" spans="1:8" ht="15" customHeight="1" x14ac:dyDescent="0.25">
      <c r="A72">
        <v>900334120</v>
      </c>
      <c r="B72" t="str">
        <f>VLOOKUP(A72,'[1]DEPURACION FINAL TRAB'!$A$1:$N$855,2,0)</f>
        <v>DISEÑAR Y AUTOMATIZAR SAS</v>
      </c>
      <c r="C72">
        <v>0</v>
      </c>
      <c r="D72" t="s">
        <v>2399</v>
      </c>
      <c r="E72" t="s">
        <v>2730</v>
      </c>
      <c r="F72" s="17" t="s">
        <v>2205</v>
      </c>
      <c r="G72">
        <v>4882984.6099999994</v>
      </c>
      <c r="H72">
        <v>219</v>
      </c>
    </row>
    <row r="73" spans="1:8" ht="15" customHeight="1" x14ac:dyDescent="0.25">
      <c r="A73">
        <v>901180027</v>
      </c>
      <c r="B73" t="str">
        <f>VLOOKUP(A73,'[1]DEPURACION FINAL TRAB'!$A$1:$N$855,2,0)</f>
        <v>AUTOMATIZACION Y MANTENIMIENTO ELECTROMECANICO SAS</v>
      </c>
      <c r="C73" t="str">
        <f>VLOOKUP(A73,'[1]DEPURACION FINAL TRAB'!$1:$1048576,3,0)</f>
        <v>301 5880942</v>
      </c>
      <c r="D73" t="s">
        <v>2297</v>
      </c>
      <c r="E73" t="s">
        <v>2730</v>
      </c>
      <c r="F73" s="17" t="s">
        <v>419</v>
      </c>
      <c r="G73">
        <v>4884739.3100000005</v>
      </c>
      <c r="H73">
        <v>219</v>
      </c>
    </row>
    <row r="74" spans="1:8" ht="15" customHeight="1" x14ac:dyDescent="0.25">
      <c r="A74">
        <v>890300431</v>
      </c>
      <c r="B74" t="str">
        <f>VLOOKUP(A74,'[1]DEPURACION FINAL TRAB'!$A$1:$N$855,2,0)</f>
        <v>CABLES DE ENERGIA Y DE TELECOMUNICACIONES S.A.S</v>
      </c>
      <c r="C74">
        <v>0</v>
      </c>
      <c r="D74" t="s">
        <v>2281</v>
      </c>
      <c r="E74" t="s">
        <v>2777</v>
      </c>
      <c r="F74" s="17" t="s">
        <v>2222</v>
      </c>
      <c r="G74">
        <v>4895100</v>
      </c>
      <c r="H74">
        <v>219</v>
      </c>
    </row>
    <row r="75" spans="1:8" ht="15" customHeight="1" x14ac:dyDescent="0.25">
      <c r="A75">
        <v>901142449</v>
      </c>
      <c r="B75" t="str">
        <f>VLOOKUP(A75,'[1]DEPURACION FINAL TRAB'!$A$1:$N$855,2,0)</f>
        <v>GRUPO IDSE S.A.S.</v>
      </c>
      <c r="C75">
        <v>0</v>
      </c>
      <c r="D75" t="s">
        <v>2475</v>
      </c>
      <c r="E75" t="s">
        <v>2918</v>
      </c>
      <c r="F75" s="17" t="s">
        <v>374</v>
      </c>
      <c r="G75">
        <v>4947156.4000000004</v>
      </c>
      <c r="H75">
        <v>219</v>
      </c>
    </row>
    <row r="76" spans="1:8" ht="15" customHeight="1" x14ac:dyDescent="0.25">
      <c r="A76">
        <v>890201881</v>
      </c>
      <c r="B76" t="str">
        <f>VLOOKUP(A76,'[1]DEPURACION FINAL TRAB'!$A$1:$N$855,2,0)</f>
        <v>AVSA S.A</v>
      </c>
      <c r="C76">
        <v>0</v>
      </c>
      <c r="D76" t="s">
        <v>2304</v>
      </c>
      <c r="E76" t="s">
        <v>2756</v>
      </c>
      <c r="F76" s="17" t="s">
        <v>419</v>
      </c>
      <c r="G76">
        <v>4972760</v>
      </c>
      <c r="H76">
        <v>219</v>
      </c>
    </row>
    <row r="77" spans="1:8" ht="15" customHeight="1" x14ac:dyDescent="0.25">
      <c r="A77">
        <v>890317504</v>
      </c>
      <c r="B77" t="str">
        <f>VLOOKUP(A77,'[1]DEPURACION FINAL TRAB'!$A$1:$N$855,2,0)</f>
        <v>ALMACEN SURTITODO LTDA</v>
      </c>
      <c r="C77">
        <v>0</v>
      </c>
      <c r="D77" t="s">
        <v>2282</v>
      </c>
      <c r="E77" t="s">
        <v>2737</v>
      </c>
      <c r="F77" s="17" t="s">
        <v>2205</v>
      </c>
      <c r="G77">
        <v>4978431.3899999997</v>
      </c>
      <c r="H77">
        <v>219</v>
      </c>
    </row>
    <row r="78" spans="1:8" ht="15" customHeight="1" x14ac:dyDescent="0.25">
      <c r="A78">
        <v>800022558</v>
      </c>
      <c r="B78" t="str">
        <f>VLOOKUP(A78,'[1]DEPURACION FINAL TRAB'!$A$1:$N$855,2,0)</f>
        <v>BATERIAS WILLARD SA</v>
      </c>
      <c r="C78">
        <v>0</v>
      </c>
      <c r="D78" t="s">
        <v>2309</v>
      </c>
      <c r="E78" t="s">
        <v>2761</v>
      </c>
      <c r="F78" s="17" t="s">
        <v>378</v>
      </c>
      <c r="G78">
        <v>4998000</v>
      </c>
      <c r="H78">
        <v>219</v>
      </c>
    </row>
    <row r="79" spans="1:8" ht="15" customHeight="1" x14ac:dyDescent="0.25">
      <c r="A79">
        <v>890300279</v>
      </c>
      <c r="B79" t="str">
        <f>VLOOKUP(A79,'[1]DEPURACION FINAL TRAB'!$A$1:$N$855,2,0)</f>
        <v>BANCO DE OCCIDENTE</v>
      </c>
      <c r="C79" t="e">
        <f>VLOOKUP(A79,'[1]DEPURACION FINAL TRAB'!$1:$1048576,3,0)</f>
        <v>#N/A</v>
      </c>
      <c r="D79" t="e">
        <v>#N/A</v>
      </c>
      <c r="E79" t="e">
        <v>#N/A</v>
      </c>
      <c r="F79" s="17" t="s">
        <v>419</v>
      </c>
      <c r="G79">
        <v>5015382.8</v>
      </c>
      <c r="H79">
        <v>402</v>
      </c>
    </row>
    <row r="80" spans="1:8" ht="15" customHeight="1" x14ac:dyDescent="0.25">
      <c r="A80">
        <v>890943055</v>
      </c>
      <c r="B80" t="str">
        <f>VLOOKUP(A80,'[1]DEPURACION FINAL TRAB'!$A$1:$N$855,2,0)</f>
        <v>SUMINISTROS Y CONTROLES ELECTRONICOS S.A.</v>
      </c>
      <c r="C80">
        <v>0</v>
      </c>
      <c r="D80" t="s">
        <v>2664</v>
      </c>
      <c r="E80" t="s">
        <v>3095</v>
      </c>
      <c r="F80" s="17" t="s">
        <v>352</v>
      </c>
      <c r="G80">
        <v>5032274.4000000004</v>
      </c>
      <c r="H80">
        <v>219</v>
      </c>
    </row>
    <row r="81" spans="1:8" ht="15" customHeight="1" x14ac:dyDescent="0.25">
      <c r="A81">
        <v>800149149</v>
      </c>
      <c r="B81" t="str">
        <f>VLOOKUP(A81,'[1]DEPURACION FINAL TRAB'!$A$1:$N$855,2,0)</f>
        <v>ALIMENTOS BALANCEADOS TEQUENDAMA SA ALBATEQ SA</v>
      </c>
      <c r="C81">
        <v>0</v>
      </c>
      <c r="D81" t="s">
        <v>2277</v>
      </c>
      <c r="E81" t="s">
        <v>2732</v>
      </c>
      <c r="F81" s="17" t="s">
        <v>1271</v>
      </c>
      <c r="G81">
        <v>5054080</v>
      </c>
      <c r="H81">
        <v>219</v>
      </c>
    </row>
    <row r="82" spans="1:8" ht="15" customHeight="1" x14ac:dyDescent="0.25">
      <c r="A82">
        <v>900538988</v>
      </c>
      <c r="B82" t="str">
        <f>VLOOKUP(A82,'[1]DEPURACION FINAL TRAB'!$A$1:$N$855,2,0)</f>
        <v>SUNCOLOMBIA SAS</v>
      </c>
      <c r="C82" t="str">
        <f>VLOOKUP(A82,'[1]DEPURACION FINAL TRAB'!$1:$1048576,3,0)</f>
        <v>4864718</v>
      </c>
      <c r="D82" t="s">
        <v>2667</v>
      </c>
      <c r="E82" t="s">
        <v>3098</v>
      </c>
      <c r="F82" s="17" t="s">
        <v>419</v>
      </c>
      <c r="G82">
        <v>5093641.41</v>
      </c>
      <c r="H82">
        <v>219</v>
      </c>
    </row>
    <row r="83" spans="1:8" ht="15" customHeight="1" x14ac:dyDescent="0.25">
      <c r="A83">
        <v>800175457</v>
      </c>
      <c r="B83" t="str">
        <f>VLOOKUP(A83,'[1]DEPURACION FINAL TRAB'!$A$1:$N$855,2,0)</f>
        <v>PANAMERICANA FORMAS E IMPRESOS S.A</v>
      </c>
      <c r="C83">
        <v>0</v>
      </c>
      <c r="D83" t="s">
        <v>2577</v>
      </c>
      <c r="E83" t="s">
        <v>3014</v>
      </c>
      <c r="F83" s="17" t="s">
        <v>419</v>
      </c>
      <c r="G83">
        <v>5174695.4399999995</v>
      </c>
      <c r="H83">
        <v>219</v>
      </c>
    </row>
    <row r="84" spans="1:8" ht="15" customHeight="1" x14ac:dyDescent="0.25">
      <c r="A84">
        <v>890300406</v>
      </c>
      <c r="B84" t="str">
        <f>VLOOKUP(A84,'[1]DEPURACION FINAL TRAB'!$A$1:$N$855,2,0)</f>
        <v>CARTON DE COLOMBIA S.A.</v>
      </c>
      <c r="C84" t="str">
        <f>VLOOKUP(A84,'[1]DEPURACION FINAL TRAB'!$1:$1048576,3,0)</f>
        <v>3129521</v>
      </c>
      <c r="D84" t="s">
        <v>2330</v>
      </c>
      <c r="E84" t="s">
        <v>2782</v>
      </c>
      <c r="F84" s="17" t="s">
        <v>374</v>
      </c>
      <c r="G84">
        <v>5197500</v>
      </c>
      <c r="H84">
        <v>219</v>
      </c>
    </row>
    <row r="85" spans="1:8" ht="15" customHeight="1" x14ac:dyDescent="0.25">
      <c r="A85">
        <v>890319047</v>
      </c>
      <c r="B85" t="str">
        <f>VLOOKUP(A85,'[1]DEPURACION FINAL TRAB'!$A$1:$N$855,2,0)</f>
        <v>CARVAJAL EMPAQUES S.A.</v>
      </c>
      <c r="C85">
        <v>0</v>
      </c>
      <c r="D85" t="s">
        <v>2332</v>
      </c>
      <c r="E85" t="s">
        <v>2784</v>
      </c>
      <c r="F85" s="17" t="s">
        <v>2205</v>
      </c>
      <c r="G85">
        <v>5205080</v>
      </c>
      <c r="H85">
        <v>219</v>
      </c>
    </row>
    <row r="86" spans="1:8" ht="15" customHeight="1" x14ac:dyDescent="0.25">
      <c r="A86">
        <v>800019437</v>
      </c>
      <c r="B86" t="str">
        <f>VLOOKUP(A86,'[1]DEPURACION FINAL TRAB'!$A$1:$N$855,2,0)</f>
        <v>CORRUGADOS DEL DARIEN S.A.S</v>
      </c>
      <c r="C86" t="str">
        <f>VLOOKUP(A86,'[1]DEPURACION FINAL TRAB'!$1:$1048576,3,0)</f>
        <v>8293232</v>
      </c>
      <c r="D86" t="s">
        <v>2384</v>
      </c>
      <c r="E86" t="s">
        <v>2834</v>
      </c>
      <c r="F86" s="17" t="s">
        <v>314</v>
      </c>
      <c r="G86">
        <v>5211863.57</v>
      </c>
      <c r="H86">
        <v>219</v>
      </c>
    </row>
    <row r="87" spans="1:8" ht="15" customHeight="1" x14ac:dyDescent="0.25">
      <c r="A87">
        <v>890312765</v>
      </c>
      <c r="B87" t="str">
        <f>VLOOKUP(A87,'[1]DEPURACION FINAL TRAB'!$A$1:$N$855,2,0)</f>
        <v>MORELCO S.A.S.</v>
      </c>
      <c r="C87">
        <v>0</v>
      </c>
      <c r="D87" t="s">
        <v>2562</v>
      </c>
      <c r="E87" t="s">
        <v>2998</v>
      </c>
      <c r="F87" s="17" t="s">
        <v>2205</v>
      </c>
      <c r="G87">
        <v>5218848</v>
      </c>
      <c r="H87">
        <v>219</v>
      </c>
    </row>
    <row r="88" spans="1:8" ht="15" customHeight="1" x14ac:dyDescent="0.25">
      <c r="A88">
        <v>900385594</v>
      </c>
      <c r="B88" t="str">
        <f>VLOOKUP(A88,'[1]DEPURACION FINAL TRAB'!$A$1:$N$855,2,0)</f>
        <v>EC. INGENIERIA ELECTRICA S.A.S</v>
      </c>
      <c r="C88" t="str">
        <f>VLOOKUP(A88,'[1]DEPURACION FINAL TRAB'!$1:$1048576,3,0)</f>
        <v>320 8370449</v>
      </c>
      <c r="D88" t="s">
        <v>2406</v>
      </c>
      <c r="E88" t="s">
        <v>2855</v>
      </c>
      <c r="F88" s="17" t="s">
        <v>419</v>
      </c>
      <c r="G88">
        <v>5241030.3</v>
      </c>
      <c r="H88">
        <v>219</v>
      </c>
    </row>
    <row r="89" spans="1:8" ht="15" customHeight="1" x14ac:dyDescent="0.25">
      <c r="A89">
        <v>800003781</v>
      </c>
      <c r="B89" t="str">
        <f>VLOOKUP(A89,'[1]DEPURACION FINAL TRAB'!$A$1:$N$855,2,0)</f>
        <v>V R INGENIERIA Y MERCADEO S A S</v>
      </c>
      <c r="C89">
        <v>0</v>
      </c>
      <c r="D89" t="s">
        <v>2704</v>
      </c>
      <c r="E89" t="s">
        <v>3130</v>
      </c>
      <c r="F89" s="17" t="s">
        <v>419</v>
      </c>
      <c r="G89">
        <v>5298720</v>
      </c>
      <c r="H89">
        <v>219</v>
      </c>
    </row>
    <row r="90" spans="1:8" ht="15" customHeight="1" x14ac:dyDescent="0.25">
      <c r="A90">
        <v>800251440</v>
      </c>
      <c r="B90" t="str">
        <f>VLOOKUP(A90,'[1]DEPURACION FINAL TRAB'!$A$1:$N$855,2,0)</f>
        <v>ENTIDAD PROMOTORA DE SALUD SANITAS S.A.S.</v>
      </c>
      <c r="C90" t="str">
        <f>VLOOKUP(A90,'[1]DEPURACION FINAL TRAB'!$1:$1048576,3,0)</f>
        <v>8698789</v>
      </c>
      <c r="D90" t="s">
        <v>2427</v>
      </c>
      <c r="E90" t="s">
        <v>2873</v>
      </c>
      <c r="F90" s="17" t="s">
        <v>419</v>
      </c>
      <c r="G90">
        <v>5299661</v>
      </c>
      <c r="H90">
        <v>219</v>
      </c>
    </row>
    <row r="91" spans="1:8" ht="15" customHeight="1" x14ac:dyDescent="0.25">
      <c r="A91">
        <v>890301054</v>
      </c>
      <c r="B91" t="str">
        <f>VLOOKUP(A91,'[1]DEPURACION FINAL TRAB'!$A$1:$N$855,2,0)</f>
        <v>TORRECAFE AGUILA ROJA Y CIA S.A.</v>
      </c>
      <c r="C91">
        <v>0</v>
      </c>
      <c r="D91" t="s">
        <v>2688</v>
      </c>
      <c r="E91" t="s">
        <v>3115</v>
      </c>
      <c r="F91" s="17" t="s">
        <v>2205</v>
      </c>
      <c r="G91">
        <v>5308078.33</v>
      </c>
      <c r="H91">
        <v>219</v>
      </c>
    </row>
    <row r="92" spans="1:8" ht="15" customHeight="1" x14ac:dyDescent="0.25">
      <c r="A92">
        <v>800058709</v>
      </c>
      <c r="B92" t="str">
        <f>VLOOKUP(A92,'[1]DEPURACION FINAL TRAB'!$A$1:$N$855,2,0)</f>
        <v>GRUPO LOPERA INGENIEROS S.A</v>
      </c>
      <c r="C92" t="str">
        <f>VLOOKUP(A92,'[1]DEPURACION FINAL TRAB'!$1:$1048576,3,0)</f>
        <v>311 3165554</v>
      </c>
      <c r="D92" t="s">
        <v>2476</v>
      </c>
      <c r="E92" t="s">
        <v>2919</v>
      </c>
      <c r="F92" s="17" t="s">
        <v>1826</v>
      </c>
      <c r="G92">
        <v>5399927.6100000003</v>
      </c>
      <c r="H92">
        <v>219</v>
      </c>
    </row>
    <row r="93" spans="1:8" ht="15" customHeight="1" x14ac:dyDescent="0.25">
      <c r="A93">
        <v>811041020</v>
      </c>
      <c r="B93" t="str">
        <f>VLOOKUP(A93,'[1]DEPURACION FINAL TRAB'!$A$1:$N$855,2,0)</f>
        <v>EQUIPEL S.A.S.</v>
      </c>
      <c r="C93">
        <v>0</v>
      </c>
      <c r="D93" t="s">
        <v>2430</v>
      </c>
      <c r="E93" t="s">
        <v>2876</v>
      </c>
      <c r="F93" s="17" t="s">
        <v>352</v>
      </c>
      <c r="G93">
        <v>5402080</v>
      </c>
      <c r="H93">
        <v>219</v>
      </c>
    </row>
    <row r="94" spans="1:8" ht="15" customHeight="1" x14ac:dyDescent="0.25">
      <c r="A94" t="s">
        <v>2251</v>
      </c>
      <c r="B94" t="str">
        <f>VLOOKUP(A94,'[1]DEPURACION FINAL TRAB'!$A$1:$N$855,2,0)</f>
        <v>ACICA AUTOMATIZACION Y CONTROL INDUSTRIAL C.A.</v>
      </c>
      <c r="C94" t="str">
        <f>VLOOKUP(A94,'[1]DEPURACION FINAL TRAB'!$1:$1048576,3,0)</f>
        <v>4122387616</v>
      </c>
      <c r="D94" t="s">
        <v>2265</v>
      </c>
      <c r="E94" t="s">
        <v>2720</v>
      </c>
      <c r="F94" s="17" t="s">
        <v>1259</v>
      </c>
      <c r="G94">
        <v>5408217.3399999999</v>
      </c>
      <c r="H94">
        <v>219</v>
      </c>
    </row>
    <row r="95" spans="1:8" ht="15" customHeight="1" x14ac:dyDescent="0.25">
      <c r="A95" t="s">
        <v>2251</v>
      </c>
      <c r="B95" t="str">
        <f>VLOOKUP(A95,'[1]DEPURACION FINAL TRAB'!$A$1:$N$855,2,0)</f>
        <v>ACICA AUTOMATIZACION Y CONTROL INDUSTRIAL C.A.</v>
      </c>
      <c r="C95" t="str">
        <f>VLOOKUP(A95,'[1]DEPURACION FINAL TRAB'!$1:$1048576,3,0)</f>
        <v>4122387616</v>
      </c>
      <c r="D95" t="s">
        <v>2265</v>
      </c>
      <c r="E95" t="s">
        <v>2720</v>
      </c>
      <c r="F95" s="17" t="s">
        <v>1259</v>
      </c>
      <c r="G95">
        <v>5408593.4299999997</v>
      </c>
      <c r="H95">
        <v>219</v>
      </c>
    </row>
    <row r="96" spans="1:8" ht="15" customHeight="1" x14ac:dyDescent="0.25">
      <c r="A96">
        <v>900526274</v>
      </c>
      <c r="B96" t="str">
        <f>VLOOKUP(A96,'[1]DEPURACION FINAL TRAB'!$A$1:$N$855,2,0)</f>
        <v>INGENIERIA DE PROCESOS EN AUTOMATIZACION INDUSTRIAL S.A.S</v>
      </c>
      <c r="C96" t="str">
        <f>VLOOKUP(A96,'[1]DEPURACION FINAL TRAB'!$1:$1048576,3,0)</f>
        <v>301 7541865</v>
      </c>
      <c r="D96" t="s">
        <v>2510</v>
      </c>
      <c r="E96" t="s">
        <v>2954</v>
      </c>
      <c r="F96" s="17" t="s">
        <v>2205</v>
      </c>
      <c r="G96">
        <v>5412960</v>
      </c>
      <c r="H96">
        <v>219</v>
      </c>
    </row>
    <row r="97" spans="1:8" ht="15" customHeight="1" x14ac:dyDescent="0.25">
      <c r="A97">
        <v>860001942</v>
      </c>
      <c r="B97" t="str">
        <f>VLOOKUP(A97,'[1]DEPURACION FINAL TRAB'!$A$1:$N$855,2,0)</f>
        <v>BAYER S.A.</v>
      </c>
      <c r="C97" t="str">
        <f>VLOOKUP(A97,'[1]DEPURACION FINAL TRAB'!$1:$1048576,3,0)</f>
        <v>4142277</v>
      </c>
      <c r="D97" t="s">
        <v>2311</v>
      </c>
      <c r="E97" t="s">
        <v>2763</v>
      </c>
      <c r="F97" s="17" t="s">
        <v>382</v>
      </c>
      <c r="G97">
        <v>5432678</v>
      </c>
      <c r="H97">
        <v>219</v>
      </c>
    </row>
    <row r="98" spans="1:8" ht="15" customHeight="1" x14ac:dyDescent="0.25">
      <c r="A98">
        <v>901121179</v>
      </c>
      <c r="B98" t="str">
        <f>VLOOKUP(A98,'[1]DEPURACION FINAL TRAB'!$A$1:$N$855,2,0)</f>
        <v>CANPACK COLOMBIA SAS</v>
      </c>
      <c r="C98">
        <v>0</v>
      </c>
      <c r="D98" t="s">
        <v>2328</v>
      </c>
      <c r="E98" t="s">
        <v>2780</v>
      </c>
      <c r="F98" s="17" t="s">
        <v>1259</v>
      </c>
      <c r="G98">
        <v>5434772.9000000004</v>
      </c>
      <c r="H98">
        <v>219</v>
      </c>
    </row>
    <row r="99" spans="1:8" ht="15" customHeight="1" x14ac:dyDescent="0.25">
      <c r="A99">
        <v>900693626</v>
      </c>
      <c r="B99" t="str">
        <f>VLOOKUP(A99,'[1]DEPURACION FINAL TRAB'!$A$1:$N$855,2,0)</f>
        <v>METROINDUSTRIAL S.A.S.</v>
      </c>
      <c r="C99">
        <v>0</v>
      </c>
      <c r="D99" t="s">
        <v>2556</v>
      </c>
      <c r="E99" t="s">
        <v>2993</v>
      </c>
      <c r="F99" s="17" t="s">
        <v>2205</v>
      </c>
      <c r="G99">
        <v>5454318.1399999997</v>
      </c>
      <c r="H99">
        <v>219</v>
      </c>
    </row>
    <row r="100" spans="1:8" ht="15" customHeight="1" x14ac:dyDescent="0.25">
      <c r="A100">
        <v>901097244</v>
      </c>
      <c r="B100" t="str">
        <f>VLOOKUP(A100,'[1]DEPURACION FINAL TRAB'!$A$1:$N$855,2,0)</f>
        <v>SOLENIUM S.A.S</v>
      </c>
      <c r="C100" t="str">
        <f>VLOOKUP(A100,'[1]DEPURACION FINAL TRAB'!$1:$1048576,3,0)</f>
        <v>322 8891705</v>
      </c>
      <c r="D100" t="s">
        <v>2657</v>
      </c>
      <c r="E100" t="s">
        <v>3088</v>
      </c>
      <c r="F100" s="17" t="s">
        <v>352</v>
      </c>
      <c r="G100">
        <v>5516874</v>
      </c>
      <c r="H100">
        <v>219</v>
      </c>
    </row>
    <row r="101" spans="1:8" ht="15" customHeight="1" x14ac:dyDescent="0.25">
      <c r="A101">
        <v>860000261</v>
      </c>
      <c r="B101" t="str">
        <f>VLOOKUP(A101,'[1]DEPURACION FINAL TRAB'!$A$1:$N$855,2,0)</f>
        <v>COMPAÑIA NACIONAL DE LEVADURAS LEVAPAN S.A.</v>
      </c>
      <c r="C101">
        <v>0</v>
      </c>
      <c r="D101" t="s">
        <v>2369</v>
      </c>
      <c r="E101" t="s">
        <v>2820</v>
      </c>
      <c r="F101" s="17" t="s">
        <v>2167</v>
      </c>
      <c r="G101">
        <v>5533840</v>
      </c>
      <c r="H101">
        <v>219</v>
      </c>
    </row>
    <row r="102" spans="1:8" ht="15" customHeight="1" x14ac:dyDescent="0.25">
      <c r="A102">
        <v>860003563</v>
      </c>
      <c r="B102" t="str">
        <f>VLOOKUP(A102,'[1]DEPURACION FINAL TRAB'!$A$1:$N$855,2,0)</f>
        <v>HITACHI ENERGY COLOMBIA S.A.S.</v>
      </c>
      <c r="C102" t="str">
        <f>VLOOKUP(A102,'[1]DEPURACION FINAL TRAB'!$1:$1048576,3,0)</f>
        <v>3136500</v>
      </c>
      <c r="D102" t="s">
        <v>2281</v>
      </c>
      <c r="E102" t="s">
        <v>2931</v>
      </c>
      <c r="F102" s="17" t="s">
        <v>1820</v>
      </c>
      <c r="G102">
        <v>5565800</v>
      </c>
      <c r="H102">
        <v>219</v>
      </c>
    </row>
    <row r="103" spans="1:8" ht="15" customHeight="1" x14ac:dyDescent="0.25">
      <c r="A103">
        <v>890902168</v>
      </c>
      <c r="B103" t="str">
        <f>VLOOKUP(A103,'[1]DEPURACION FINAL TRAB'!$A$1:$N$855,2,0)</f>
        <v>LABORATORIOS ECAR SA</v>
      </c>
      <c r="C103">
        <f>VLOOKUP(A103,'[1]DEPURACION FINAL TRAB'!$1:$1048576,3,0)</f>
        <v>4483227</v>
      </c>
      <c r="D103" t="s">
        <v>2535</v>
      </c>
      <c r="E103" t="s">
        <v>2975</v>
      </c>
      <c r="F103" s="17" t="s">
        <v>352</v>
      </c>
      <c r="G103">
        <v>5573990.4800000004</v>
      </c>
      <c r="H103">
        <v>219</v>
      </c>
    </row>
    <row r="104" spans="1:8" ht="15" customHeight="1" x14ac:dyDescent="0.25">
      <c r="A104">
        <v>800122420</v>
      </c>
      <c r="B104" t="str">
        <f>VLOOKUP(A104,'[1]DEPURACION FINAL TRAB'!$A$1:$N$855,2,0)</f>
        <v>CO &amp; TEX S.A.S</v>
      </c>
      <c r="C104">
        <v>0</v>
      </c>
      <c r="D104" t="s">
        <v>2349</v>
      </c>
      <c r="E104" t="s">
        <v>2799</v>
      </c>
      <c r="F104" s="17" t="s">
        <v>1820</v>
      </c>
      <c r="G104">
        <v>5589740</v>
      </c>
      <c r="H104">
        <v>219</v>
      </c>
    </row>
    <row r="105" spans="1:8" ht="15" customHeight="1" x14ac:dyDescent="0.25">
      <c r="A105">
        <v>811039383</v>
      </c>
      <c r="B105" t="str">
        <f>VLOOKUP(A105,'[1]DEPURACION FINAL TRAB'!$A$1:$N$855,2,0)</f>
        <v>INDUSTRIA METALELECTRICA M.T.G. S.A.S</v>
      </c>
      <c r="C105">
        <v>0</v>
      </c>
      <c r="D105" t="s">
        <v>2500</v>
      </c>
      <c r="E105" t="s">
        <v>2943</v>
      </c>
      <c r="F105" s="17" t="s">
        <v>352</v>
      </c>
      <c r="G105">
        <v>5762830.7000000002</v>
      </c>
      <c r="H105">
        <v>219</v>
      </c>
    </row>
    <row r="106" spans="1:8" ht="15" customHeight="1" x14ac:dyDescent="0.25">
      <c r="A106">
        <v>800022623</v>
      </c>
      <c r="B106" t="str">
        <f>VLOOKUP(A106,'[1]DEPURACION FINAL TRAB'!$A$1:$N$855,2,0)</f>
        <v>H R G INGENIERIA LTDA</v>
      </c>
      <c r="C106">
        <v>0</v>
      </c>
      <c r="D106" t="s">
        <v>2480</v>
      </c>
      <c r="E106" t="s">
        <v>2923</v>
      </c>
      <c r="F106" s="17" t="s">
        <v>419</v>
      </c>
      <c r="G106">
        <v>5790701.6699999999</v>
      </c>
      <c r="H106">
        <v>219</v>
      </c>
    </row>
    <row r="107" spans="1:8" ht="15" customHeight="1" x14ac:dyDescent="0.25">
      <c r="A107">
        <v>900723292</v>
      </c>
      <c r="B107" t="str">
        <f>VLOOKUP(A107,'[1]DEPURACION FINAL TRAB'!$A$1:$N$855,2,0)</f>
        <v>LAURENTINO CELIS MARQUEZ S.A.S.</v>
      </c>
      <c r="C107" t="str">
        <f>VLOOKUP(A107,'[1]DEPURACION FINAL TRAB'!$1:$1048576,3,0)</f>
        <v>316 8250786</v>
      </c>
      <c r="D107" t="s">
        <v>2539</v>
      </c>
      <c r="E107" t="s">
        <v>2978</v>
      </c>
      <c r="F107" s="17" t="s">
        <v>1945</v>
      </c>
      <c r="G107">
        <v>5794510</v>
      </c>
      <c r="H107">
        <v>219</v>
      </c>
    </row>
    <row r="108" spans="1:8" ht="15" customHeight="1" x14ac:dyDescent="0.25">
      <c r="A108">
        <v>900448985</v>
      </c>
      <c r="B108" t="str">
        <f>VLOOKUP(A108,'[1]DEPURACION FINAL TRAB'!$A$1:$N$855,2,0)</f>
        <v>BIOLOGICOS Y CONTAMINADOS SAS ESP</v>
      </c>
      <c r="C108">
        <v>0</v>
      </c>
      <c r="D108" t="s">
        <v>2319</v>
      </c>
      <c r="E108" t="s">
        <v>2770</v>
      </c>
      <c r="F108" s="17" t="s">
        <v>348</v>
      </c>
      <c r="G108">
        <v>5822781.7000000002</v>
      </c>
      <c r="H108">
        <v>219</v>
      </c>
    </row>
    <row r="109" spans="1:8" ht="15" customHeight="1" x14ac:dyDescent="0.25">
      <c r="A109">
        <v>890300684</v>
      </c>
      <c r="B109" t="str">
        <f>VLOOKUP(A109,'[1]DEPURACION FINAL TRAB'!$A$1:$N$855,2,0)</f>
        <v>RECKITT BENCKISER COLOMBIA S.A.</v>
      </c>
      <c r="C109">
        <v>0</v>
      </c>
      <c r="D109" t="s">
        <v>2617</v>
      </c>
      <c r="E109" t="s">
        <v>3054</v>
      </c>
      <c r="F109" s="17" t="s">
        <v>2205</v>
      </c>
      <c r="G109">
        <v>5858840</v>
      </c>
      <c r="H109">
        <v>219</v>
      </c>
    </row>
    <row r="110" spans="1:8" ht="15" customHeight="1" x14ac:dyDescent="0.25">
      <c r="A110">
        <v>830081407</v>
      </c>
      <c r="B110" t="str">
        <f>VLOOKUP(A110,'[1]DEPURACION FINAL TRAB'!$A$1:$N$855,2,0)</f>
        <v>AJECOLOMBIA S.A.S</v>
      </c>
      <c r="C110">
        <v>0</v>
      </c>
      <c r="D110" t="s">
        <v>2273</v>
      </c>
      <c r="E110" t="s">
        <v>2728</v>
      </c>
      <c r="F110" s="17" t="s">
        <v>378</v>
      </c>
      <c r="G110">
        <v>5886437</v>
      </c>
      <c r="H110">
        <v>219</v>
      </c>
    </row>
    <row r="111" spans="1:8" ht="15" customHeight="1" x14ac:dyDescent="0.25">
      <c r="A111">
        <v>800229512</v>
      </c>
      <c r="B111" t="str">
        <f>VLOOKUP(A111,'[1]DEPURACION FINAL TRAB'!$A$1:$N$855,2,0)</f>
        <v>DISMET SAS</v>
      </c>
      <c r="C111" t="str">
        <f>VLOOKUP(A111,'[1]DEPURACION FINAL TRAB'!$1:$1048576,3,0)</f>
        <v>321 2816433</v>
      </c>
      <c r="D111" t="s">
        <v>2400</v>
      </c>
      <c r="E111" t="s">
        <v>2849</v>
      </c>
      <c r="F111" s="17" t="s">
        <v>419</v>
      </c>
      <c r="G111">
        <v>5967360</v>
      </c>
      <c r="H111">
        <v>219</v>
      </c>
    </row>
    <row r="112" spans="1:8" ht="15" customHeight="1" x14ac:dyDescent="0.25">
      <c r="A112">
        <v>900198610</v>
      </c>
      <c r="B112" t="str">
        <f>VLOOKUP(A112,'[1]DEPURACION FINAL TRAB'!$A$1:$N$855,2,0)</f>
        <v>EI&amp;T INGENIERIA SAS</v>
      </c>
      <c r="C112">
        <f>VLOOKUP(A112,'[1]DEPURACION FINAL TRAB'!$1:$1048576,3,0)</f>
        <v>8698789</v>
      </c>
      <c r="D112" t="s">
        <v>2409</v>
      </c>
      <c r="E112" t="s">
        <v>2730</v>
      </c>
      <c r="F112" s="17" t="s">
        <v>2205</v>
      </c>
      <c r="G112">
        <v>5991081.1599999992</v>
      </c>
      <c r="H112">
        <v>219</v>
      </c>
    </row>
    <row r="113" spans="1:8" ht="15" customHeight="1" x14ac:dyDescent="0.25">
      <c r="A113">
        <v>900610958</v>
      </c>
      <c r="B113" t="str">
        <f>VLOOKUP(A113,'[1]DEPURACION FINAL TRAB'!$A$1:$N$855,2,0)</f>
        <v>RINO INGENIERIA S A S</v>
      </c>
      <c r="C113">
        <v>0</v>
      </c>
      <c r="D113" t="s">
        <v>2622</v>
      </c>
      <c r="E113" t="s">
        <v>3057</v>
      </c>
      <c r="F113" s="17" t="s">
        <v>419</v>
      </c>
      <c r="G113">
        <v>5997845.1399999997</v>
      </c>
      <c r="H113">
        <v>219</v>
      </c>
    </row>
    <row r="114" spans="1:8" ht="15" customHeight="1" x14ac:dyDescent="0.25">
      <c r="A114">
        <v>890315291</v>
      </c>
      <c r="B114" t="str">
        <f>VLOOKUP(A114,'[1]DEPURACION FINAL TRAB'!$A$1:$N$855,2,0)</f>
        <v>MASTER ELECTRICO DEL VALLE S.A.</v>
      </c>
      <c r="C114">
        <v>0</v>
      </c>
      <c r="D114" t="s">
        <v>2552</v>
      </c>
      <c r="E114" t="s">
        <v>2989</v>
      </c>
      <c r="F114" s="17" t="s">
        <v>2205</v>
      </c>
      <c r="G114">
        <v>6006815.04</v>
      </c>
      <c r="H114">
        <v>219</v>
      </c>
    </row>
    <row r="115" spans="1:8" ht="15" customHeight="1" x14ac:dyDescent="0.25">
      <c r="A115">
        <v>900739480</v>
      </c>
      <c r="B115" t="str">
        <f>VLOOKUP(A115,'[1]DEPURACION FINAL TRAB'!$A$1:$N$855,2,0)</f>
        <v>SOLUCIONES EN CONTROL INDUSTRIAL DE COLOMBIA S A S</v>
      </c>
      <c r="C115">
        <f>VLOOKUP(A115,'[1]DEPURACION FINAL TRAB'!$1:$1048576,3,0)</f>
        <v>0</v>
      </c>
      <c r="D115" t="s">
        <v>2659</v>
      </c>
      <c r="E115" t="s">
        <v>3090</v>
      </c>
      <c r="F115" s="17" t="s">
        <v>419</v>
      </c>
      <c r="G115">
        <v>6009680</v>
      </c>
      <c r="H115">
        <v>219</v>
      </c>
    </row>
    <row r="116" spans="1:8" ht="15" customHeight="1" x14ac:dyDescent="0.25">
      <c r="A116">
        <v>900199343</v>
      </c>
      <c r="B116" t="str">
        <f>VLOOKUP(A116,'[1]DEPURACION FINAL TRAB'!$A$1:$N$855,2,0)</f>
        <v>AMERICAS STYRENICS DE COLOMBIA LTDA</v>
      </c>
      <c r="C116" t="str">
        <f>VLOOKUP(A116,'[1]DEPURACION FINAL TRAB'!$1:$1048576,3,0)</f>
        <v>56700538</v>
      </c>
      <c r="D116" t="s">
        <v>2285</v>
      </c>
      <c r="E116" t="s">
        <v>2740</v>
      </c>
      <c r="F116" s="17" t="s">
        <v>439</v>
      </c>
      <c r="G116">
        <v>6037725.6600000001</v>
      </c>
      <c r="H116">
        <v>219</v>
      </c>
    </row>
    <row r="117" spans="1:8" ht="15" customHeight="1" x14ac:dyDescent="0.25">
      <c r="A117">
        <v>890904478</v>
      </c>
      <c r="B117" t="str">
        <f>VLOOKUP(A117,'[1]DEPURACION FINAL TRAB'!$A$1:$N$855,2,0)</f>
        <v>COOPERATIVA COLANTA</v>
      </c>
      <c r="C117">
        <v>0</v>
      </c>
      <c r="D117" t="s">
        <v>2382</v>
      </c>
      <c r="E117" t="s">
        <v>2832</v>
      </c>
      <c r="F117" s="17" t="s">
        <v>176</v>
      </c>
      <c r="G117">
        <v>6062080</v>
      </c>
      <c r="H117">
        <v>219</v>
      </c>
    </row>
    <row r="118" spans="1:8" ht="15" customHeight="1" x14ac:dyDescent="0.25">
      <c r="A118">
        <v>900362587</v>
      </c>
      <c r="B118" t="str">
        <f>VLOOKUP(A118,'[1]DEPURACION FINAL TRAB'!$A$1:$N$855,2,0)</f>
        <v>APS LIGHTING Y SAFETY PRODUCTS DE COLOMBIA S.A.S</v>
      </c>
      <c r="C118" t="str">
        <f>VLOOKUP(A118,'[1]DEPURACION FINAL TRAB'!$1:$1048576,3,0)</f>
        <v>311 6545981</v>
      </c>
      <c r="D118" t="s">
        <v>2286</v>
      </c>
      <c r="E118" t="s">
        <v>2730</v>
      </c>
      <c r="F118" s="17" t="s">
        <v>354</v>
      </c>
      <c r="G118">
        <v>6065668.7999999998</v>
      </c>
      <c r="H118">
        <v>219</v>
      </c>
    </row>
    <row r="119" spans="1:8" ht="15" customHeight="1" x14ac:dyDescent="0.25">
      <c r="A119">
        <v>890932704</v>
      </c>
      <c r="B119" t="str">
        <f>VLOOKUP(A119,'[1]DEPURACION FINAL TRAB'!$A$1:$N$855,2,0)</f>
        <v>CODISTRIBELT S.A.S.</v>
      </c>
      <c r="C119" t="str">
        <f>VLOOKUP(A119,'[1]DEPURACION FINAL TRAB'!$1:$1048576,3,0)</f>
        <v>318 2801716</v>
      </c>
      <c r="D119" t="s">
        <v>2350</v>
      </c>
      <c r="E119" t="s">
        <v>2800</v>
      </c>
      <c r="F119" s="17" t="s">
        <v>352</v>
      </c>
      <c r="G119">
        <v>6069360</v>
      </c>
      <c r="H119">
        <v>219</v>
      </c>
    </row>
    <row r="120" spans="1:8" ht="15" customHeight="1" x14ac:dyDescent="0.25">
      <c r="A120">
        <v>901386565</v>
      </c>
      <c r="B120" t="str">
        <f>VLOOKUP(A120,'[1]DEPURACION FINAL TRAB'!$A$1:$N$855,2,0)</f>
        <v>BLC COLOMBIA SAS</v>
      </c>
      <c r="C120">
        <v>0</v>
      </c>
      <c r="D120" t="s">
        <v>2320</v>
      </c>
      <c r="E120" t="s">
        <v>2771</v>
      </c>
      <c r="F120" s="17" t="s">
        <v>419</v>
      </c>
      <c r="G120">
        <v>6077509.4000000004</v>
      </c>
      <c r="H120">
        <v>219</v>
      </c>
    </row>
    <row r="121" spans="1:8" ht="15" customHeight="1" x14ac:dyDescent="0.25">
      <c r="A121">
        <v>700407104</v>
      </c>
      <c r="B121" t="str">
        <f>VLOOKUP(A121,'[1]DEPURACION FINAL TRAB'!$A$1:$N$855,2,0)</f>
        <v>ARTIGAS MILLA NORKELIS CAROLINA</v>
      </c>
      <c r="C121" t="str">
        <f>VLOOKUP(A121,'[1]DEPURACION FINAL TRAB'!$1:$1048576,3,0)</f>
        <v>313 3070278</v>
      </c>
      <c r="D121" t="s">
        <v>2289</v>
      </c>
      <c r="E121" t="s">
        <v>2720</v>
      </c>
      <c r="F121" s="17" t="s">
        <v>1259</v>
      </c>
      <c r="G121">
        <v>6094415.6799999997</v>
      </c>
      <c r="H121">
        <v>219</v>
      </c>
    </row>
    <row r="122" spans="1:8" ht="15" customHeight="1" x14ac:dyDescent="0.25">
      <c r="A122">
        <v>860513290</v>
      </c>
      <c r="B122" t="str">
        <f>VLOOKUP(A122,'[1]DEPURACION FINAL TRAB'!$A$1:$N$855,2,0)</f>
        <v>SILGAN PROENFAR S.A.S</v>
      </c>
      <c r="C122">
        <v>0</v>
      </c>
      <c r="D122" t="s">
        <v>2646</v>
      </c>
      <c r="E122" t="s">
        <v>3076</v>
      </c>
      <c r="F122" s="17" t="s">
        <v>419</v>
      </c>
      <c r="G122">
        <v>6121803.2400000002</v>
      </c>
      <c r="H122">
        <v>219</v>
      </c>
    </row>
    <row r="123" spans="1:8" ht="15" customHeight="1" x14ac:dyDescent="0.25">
      <c r="A123">
        <v>830000556</v>
      </c>
      <c r="B123" t="str">
        <f>VLOOKUP(A123,'[1]DEPURACION FINAL TRAB'!$A$1:$N$855,2,0)</f>
        <v>PAPELES Y CORRUGADOS ANDINA S.A.S</v>
      </c>
      <c r="C123">
        <v>0</v>
      </c>
      <c r="D123" t="s">
        <v>2580</v>
      </c>
      <c r="E123" t="s">
        <v>3017</v>
      </c>
      <c r="F123" s="17" t="s">
        <v>1124</v>
      </c>
      <c r="G123">
        <v>6143040</v>
      </c>
      <c r="H123">
        <v>219</v>
      </c>
    </row>
    <row r="124" spans="1:8" ht="15" customHeight="1" x14ac:dyDescent="0.25">
      <c r="A124">
        <v>860038626</v>
      </c>
      <c r="B124" t="str">
        <f>VLOOKUP(A124,'[1]DEPURACION FINAL TRAB'!$A$1:$N$855,2,0)</f>
        <v>AVICULTURA INDUSTRIAL AVINSA S A S</v>
      </c>
      <c r="C124">
        <v>0</v>
      </c>
      <c r="D124" t="s">
        <v>2302</v>
      </c>
      <c r="E124" t="s">
        <v>2754</v>
      </c>
      <c r="F124" s="17" t="s">
        <v>419</v>
      </c>
      <c r="G124">
        <v>6147215.8700000001</v>
      </c>
      <c r="H124">
        <v>219</v>
      </c>
    </row>
    <row r="125" spans="1:8" ht="15" customHeight="1" x14ac:dyDescent="0.25">
      <c r="A125">
        <v>890900161</v>
      </c>
      <c r="B125" t="str">
        <f>VLOOKUP(A125,'[1]DEPURACION FINAL TRAB'!$A$1:$N$855,2,0)</f>
        <v>PRODUCTOS FAMILIA S.A.</v>
      </c>
      <c r="C125">
        <v>0</v>
      </c>
      <c r="D125" t="s">
        <v>2604</v>
      </c>
      <c r="E125" t="s">
        <v>3040</v>
      </c>
      <c r="F125" s="17" t="s">
        <v>1245</v>
      </c>
      <c r="G125">
        <v>6147418</v>
      </c>
      <c r="H125">
        <v>219</v>
      </c>
    </row>
    <row r="126" spans="1:8" ht="15" customHeight="1" x14ac:dyDescent="0.25">
      <c r="A126">
        <v>901463091</v>
      </c>
      <c r="B126" t="str">
        <f>VLOOKUP(A126,'[1]DEPURACION FINAL TRAB'!$A$1:$N$855,2,0)</f>
        <v>GOTRON MOTIONS S.A.S</v>
      </c>
      <c r="C126" t="str">
        <f>VLOOKUP(A126,'[1]DEPURACION FINAL TRAB'!$1:$1048576,3,0)</f>
        <v>2452509</v>
      </c>
      <c r="D126" t="s">
        <v>2471</v>
      </c>
      <c r="E126" t="s">
        <v>2914</v>
      </c>
      <c r="F126" s="17" t="s">
        <v>419</v>
      </c>
      <c r="G126">
        <v>6152000</v>
      </c>
      <c r="H126">
        <v>219</v>
      </c>
    </row>
    <row r="127" spans="1:8" ht="15" customHeight="1" x14ac:dyDescent="0.25">
      <c r="A127">
        <v>802011109</v>
      </c>
      <c r="B127" t="str">
        <f>VLOOKUP(A127,'[1]DEPURACION FINAL TRAB'!$A$1:$N$855,2,0)</f>
        <v>GRUPO ALIMENTARIO DEL ATLANTICO S.A</v>
      </c>
      <c r="C127">
        <v>0</v>
      </c>
      <c r="D127" t="s">
        <v>2474</v>
      </c>
      <c r="E127" t="s">
        <v>2917</v>
      </c>
      <c r="F127" s="17" t="s">
        <v>242</v>
      </c>
      <c r="G127">
        <v>6184960</v>
      </c>
      <c r="H127">
        <v>219</v>
      </c>
    </row>
    <row r="128" spans="1:8" ht="15" customHeight="1" x14ac:dyDescent="0.25">
      <c r="A128">
        <v>890311875</v>
      </c>
      <c r="B128" t="str">
        <f>VLOOKUP(A128,'[1]DEPURACION FINAL TRAB'!$A$1:$N$855,2,0)</f>
        <v>SCHNEIDER ELECTRIC DE COLOMBIA S.A.S.</v>
      </c>
      <c r="C128">
        <v>0</v>
      </c>
      <c r="D128" t="s">
        <v>2634</v>
      </c>
      <c r="E128" t="s">
        <v>3067</v>
      </c>
      <c r="F128" s="17" t="s">
        <v>1271</v>
      </c>
      <c r="G128">
        <v>6227814.5099999998</v>
      </c>
      <c r="H128">
        <v>219</v>
      </c>
    </row>
    <row r="129" spans="1:8" ht="15" customHeight="1" x14ac:dyDescent="0.25">
      <c r="A129">
        <v>890800718</v>
      </c>
      <c r="B129" t="str">
        <f>VLOOKUP(A129,'[1]DEPURACION FINAL TRAB'!$A$1:$N$855,2,0)</f>
        <v>CASA LUKER SA</v>
      </c>
      <c r="C129">
        <v>0</v>
      </c>
      <c r="D129" t="s">
        <v>2333</v>
      </c>
      <c r="E129" t="s">
        <v>2785</v>
      </c>
      <c r="F129" s="17" t="s">
        <v>419</v>
      </c>
      <c r="G129">
        <v>6283960</v>
      </c>
      <c r="H129">
        <v>219</v>
      </c>
    </row>
    <row r="130" spans="1:8" ht="15" customHeight="1" x14ac:dyDescent="0.25">
      <c r="A130">
        <v>900205548</v>
      </c>
      <c r="B130" t="str">
        <f>VLOOKUP(A130,'[1]DEPURACION FINAL TRAB'!$A$1:$N$855,2,0)</f>
        <v>S&amp;S REDEL SAS SERVICIOS Y SUMINISTROS REDEL SAS</v>
      </c>
      <c r="C130">
        <f>VLOOKUP(A130,'[1]DEPURACION FINAL TRAB'!$1:$1048576,3,0)</f>
        <v>0</v>
      </c>
      <c r="D130" t="s">
        <v>2626</v>
      </c>
      <c r="E130" t="s">
        <v>3061</v>
      </c>
      <c r="F130" s="17" t="s">
        <v>1932</v>
      </c>
      <c r="G130">
        <v>6290843.3300000001</v>
      </c>
      <c r="H130">
        <v>219</v>
      </c>
    </row>
    <row r="131" spans="1:8" ht="15" customHeight="1" x14ac:dyDescent="0.25">
      <c r="A131">
        <v>800193444</v>
      </c>
      <c r="B131" t="str">
        <f>VLOOKUP(A131,'[1]DEPURACION FINAL TRAB'!$A$1:$N$855,2,0)</f>
        <v>ECOLOGIA Y ENTORNO S.A.S. E.S.P.</v>
      </c>
      <c r="C131">
        <f>VLOOKUP(A131,'[1]DEPURACION FINAL TRAB'!$1:$1048576,3,0)</f>
        <v>0</v>
      </c>
      <c r="D131" t="s">
        <v>2408</v>
      </c>
      <c r="E131" t="s">
        <v>2856</v>
      </c>
      <c r="F131" s="17" t="s">
        <v>419</v>
      </c>
      <c r="G131">
        <v>6329302.1600000001</v>
      </c>
      <c r="H131">
        <v>219</v>
      </c>
    </row>
    <row r="132" spans="1:8" ht="15" customHeight="1" x14ac:dyDescent="0.25">
      <c r="A132">
        <v>830123869</v>
      </c>
      <c r="B132" t="str">
        <f>VLOOKUP(A132,'[1]DEPURACION FINAL TRAB'!$A$1:$N$855,2,0)</f>
        <v>SAUFER SOLUCIONES SAS</v>
      </c>
      <c r="C132">
        <v>0</v>
      </c>
      <c r="D132" t="s">
        <v>2631</v>
      </c>
      <c r="E132" t="s">
        <v>3066</v>
      </c>
      <c r="F132" s="17" t="s">
        <v>1932</v>
      </c>
      <c r="G132">
        <v>6441555</v>
      </c>
      <c r="H132">
        <v>219</v>
      </c>
    </row>
    <row r="133" spans="1:8" ht="15" customHeight="1" x14ac:dyDescent="0.25">
      <c r="A133">
        <v>901193743</v>
      </c>
      <c r="B133" t="str">
        <f>VLOOKUP(A133,'[1]DEPURACION FINAL TRAB'!$A$1:$N$855,2,0)</f>
        <v xml:space="preserve">WATERCOL S.A.S. </v>
      </c>
      <c r="C133" t="str">
        <f>VLOOKUP(A133,'[1]DEPURACION FINAL TRAB'!$1:$1048576,3,0)</f>
        <v>311 8396161</v>
      </c>
      <c r="D133" t="s">
        <v>2710</v>
      </c>
      <c r="E133" t="s">
        <v>3136</v>
      </c>
      <c r="F133" s="17" t="s">
        <v>2222</v>
      </c>
      <c r="G133">
        <v>6467788.7999999998</v>
      </c>
      <c r="H133">
        <v>219</v>
      </c>
    </row>
    <row r="134" spans="1:8" ht="15" customHeight="1" x14ac:dyDescent="0.25">
      <c r="A134">
        <v>900967809</v>
      </c>
      <c r="B134" t="str">
        <f>VLOOKUP(A134,'[1]DEPURACION FINAL TRAB'!$A$1:$N$855,2,0)</f>
        <v>NOVALENE ZONA FRANCA S.A.S</v>
      </c>
      <c r="C134" t="str">
        <f>VLOOKUP(A134,'[1]DEPURACION FINAL TRAB'!$1:$1048576,3,0)</f>
        <v>313 3966813</v>
      </c>
      <c r="D134" t="s">
        <v>2567</v>
      </c>
      <c r="E134" t="s">
        <v>3004</v>
      </c>
      <c r="F134" s="17" t="s">
        <v>1275</v>
      </c>
      <c r="G134">
        <v>6496173.5999999996</v>
      </c>
      <c r="H134">
        <v>219</v>
      </c>
    </row>
    <row r="135" spans="1:8" ht="15" customHeight="1" x14ac:dyDescent="0.25">
      <c r="A135">
        <v>901723812</v>
      </c>
      <c r="B135" t="str">
        <f>VLOOKUP(A135,'[1]DEPURACION FINAL TRAB'!$A$1:$N$855,2,0)</f>
        <v>FERRETERIA Y TUBERIAS DEL VALLE S.A.S.</v>
      </c>
      <c r="C135">
        <f>VLOOKUP(A135,'[1]DEPURACION FINAL TRAB'!$1:$1048576,3,0)</f>
        <v>0</v>
      </c>
      <c r="D135" t="s">
        <v>2445</v>
      </c>
      <c r="E135" t="s">
        <v>2730</v>
      </c>
      <c r="F135" s="17" t="s">
        <v>2205</v>
      </c>
      <c r="G135">
        <v>6510400</v>
      </c>
      <c r="H135">
        <v>219</v>
      </c>
    </row>
    <row r="136" spans="1:8" ht="15" customHeight="1" x14ac:dyDescent="0.25">
      <c r="A136">
        <v>802022269</v>
      </c>
      <c r="B136" t="str">
        <f>VLOOKUP(A136,'[1]DEPURACION FINAL TRAB'!$A$1:$N$855,2,0)</f>
        <v>ACP Y CIA S.A.S.</v>
      </c>
      <c r="C136">
        <v>0</v>
      </c>
      <c r="D136" t="s">
        <v>2266</v>
      </c>
      <c r="E136" t="s">
        <v>2721</v>
      </c>
      <c r="F136" s="17" t="s">
        <v>374</v>
      </c>
      <c r="G136">
        <v>6537360</v>
      </c>
      <c r="H136">
        <v>219</v>
      </c>
    </row>
    <row r="137" spans="1:8" ht="15" customHeight="1" x14ac:dyDescent="0.25">
      <c r="A137">
        <v>860003020</v>
      </c>
      <c r="B137" t="str">
        <f>VLOOKUP(A137,'[1]DEPURACION FINAL TRAB'!$A$1:$N$855,2,0)</f>
        <v xml:space="preserve">BANCO BBVA COLOMBIA </v>
      </c>
      <c r="C137" t="str">
        <f>VLOOKUP(A137,'[1]DEPURACION FINAL TRAB'!$1:$1048576,3,0)</f>
        <v>(601) 4010000</v>
      </c>
      <c r="D137" t="s">
        <v>2308</v>
      </c>
      <c r="E137" t="s">
        <v>2760</v>
      </c>
      <c r="F137" s="17" t="s">
        <v>352</v>
      </c>
      <c r="G137">
        <v>6554710</v>
      </c>
      <c r="H137">
        <v>402</v>
      </c>
    </row>
    <row r="138" spans="1:8" ht="15" customHeight="1" x14ac:dyDescent="0.25">
      <c r="A138">
        <v>901128047</v>
      </c>
      <c r="B138" t="str">
        <f>VLOOKUP(A138,'[1]DEPURACION FINAL TRAB'!$A$1:$N$855,2,0)</f>
        <v>DOGSY GOURMET SAS</v>
      </c>
      <c r="C138" t="str">
        <f>VLOOKUP(A138,'[1]DEPURACION FINAL TRAB'!$1:$1048576,3,0)</f>
        <v>316 4236520</v>
      </c>
      <c r="D138" t="s">
        <v>2404</v>
      </c>
      <c r="E138" t="s">
        <v>2853</v>
      </c>
      <c r="F138" s="17" t="s">
        <v>419</v>
      </c>
      <c r="G138">
        <v>6575585.2800000003</v>
      </c>
      <c r="H138">
        <v>219</v>
      </c>
    </row>
    <row r="139" spans="1:8" ht="15" customHeight="1" x14ac:dyDescent="0.25">
      <c r="A139">
        <v>901573798</v>
      </c>
      <c r="B139" t="str">
        <f>VLOOKUP(A139,'[1]DEPURACION FINAL TRAB'!$A$1:$N$855,2,0)</f>
        <v>INGENIERIA INTELYAN SAS</v>
      </c>
      <c r="C139" t="str">
        <f>VLOOKUP(A139,'[1]DEPURACION FINAL TRAB'!$1:$1048576,3,0)</f>
        <v>320 7711242</v>
      </c>
      <c r="D139" t="s">
        <v>2512</v>
      </c>
      <c r="E139" t="s">
        <v>2956</v>
      </c>
      <c r="F139" s="17" t="s">
        <v>2205</v>
      </c>
      <c r="G139">
        <v>6581600</v>
      </c>
      <c r="H139">
        <v>219</v>
      </c>
    </row>
    <row r="140" spans="1:8" ht="15" customHeight="1" x14ac:dyDescent="0.25">
      <c r="A140">
        <v>830002366</v>
      </c>
      <c r="B140" t="str">
        <f>VLOOKUP(A140,'[1]DEPURACION FINAL TRAB'!$A$1:$N$855,2,0)</f>
        <v>BIMBO DE COLOMBIA S.A</v>
      </c>
      <c r="C140">
        <v>0</v>
      </c>
      <c r="D140" t="s">
        <v>2317</v>
      </c>
      <c r="E140" t="s">
        <v>2768</v>
      </c>
      <c r="F140" s="17" t="s">
        <v>348</v>
      </c>
      <c r="G140">
        <v>6614439.1899999995</v>
      </c>
      <c r="H140">
        <v>219</v>
      </c>
    </row>
    <row r="141" spans="1:8" ht="15" customHeight="1" x14ac:dyDescent="0.25">
      <c r="A141">
        <v>802007669</v>
      </c>
      <c r="B141" t="str">
        <f>VLOOKUP(A141,'[1]DEPURACION FINAL TRAB'!$A$1:$N$855,2,0)</f>
        <v>TRANSELCA S.A - E.S.P</v>
      </c>
      <c r="C141">
        <v>0</v>
      </c>
      <c r="D141" t="s">
        <v>2690</v>
      </c>
      <c r="E141" t="s">
        <v>3117</v>
      </c>
      <c r="F141" s="17" t="s">
        <v>380</v>
      </c>
      <c r="G141">
        <v>6644825.7800000003</v>
      </c>
      <c r="H141">
        <v>219</v>
      </c>
    </row>
    <row r="142" spans="1:8" ht="15" customHeight="1" x14ac:dyDescent="0.25">
      <c r="A142">
        <v>900251415</v>
      </c>
      <c r="B142" t="str">
        <f>VLOOKUP(A142,'[1]DEPURACION FINAL TRAB'!$A$1:$N$855,2,0)</f>
        <v>SOFTYS GACHANCIPÁ S.A</v>
      </c>
      <c r="C142">
        <v>0</v>
      </c>
      <c r="D142" t="s">
        <v>2655</v>
      </c>
      <c r="E142" t="s">
        <v>3086</v>
      </c>
      <c r="F142" s="17" t="s">
        <v>1251</v>
      </c>
      <c r="G142">
        <v>6668366.2799999993</v>
      </c>
      <c r="H142">
        <v>219</v>
      </c>
    </row>
    <row r="143" spans="1:8" ht="15" customHeight="1" x14ac:dyDescent="0.25">
      <c r="A143">
        <v>901326481</v>
      </c>
      <c r="B143" t="str">
        <f>VLOOKUP(A143,'[1]DEPURACION FINAL TRAB'!$A$1:$N$855,2,0)</f>
        <v>SIEMENS ENERGY SAS</v>
      </c>
      <c r="C143">
        <v>0</v>
      </c>
      <c r="D143" t="s">
        <v>2643</v>
      </c>
      <c r="E143" t="s">
        <v>3073</v>
      </c>
      <c r="F143" s="17" t="s">
        <v>1279</v>
      </c>
      <c r="G143">
        <v>6738446.2400000002</v>
      </c>
      <c r="H143">
        <v>219</v>
      </c>
    </row>
    <row r="144" spans="1:8" ht="15" customHeight="1" x14ac:dyDescent="0.25">
      <c r="A144">
        <v>804009247</v>
      </c>
      <c r="B144" t="str">
        <f>VLOOKUP(A144,'[1]DEPURACION FINAL TRAB'!$A$1:$N$855,2,0)</f>
        <v>CORPORACION CENTRO DE DESARROLLO TECNOLOGICO DEL GAS</v>
      </c>
      <c r="C144">
        <f>VLOOKUP(A144,'[1]DEPURACION FINAL TRAB'!$1:$1048576,3,0)</f>
        <v>6542266</v>
      </c>
      <c r="D144" t="s">
        <v>2383</v>
      </c>
      <c r="E144" t="s">
        <v>2833</v>
      </c>
      <c r="F144" s="17" t="s">
        <v>1963</v>
      </c>
      <c r="G144">
        <v>6755487.8200000003</v>
      </c>
      <c r="H144">
        <v>219</v>
      </c>
    </row>
    <row r="145" spans="1:8" ht="15" customHeight="1" x14ac:dyDescent="0.25">
      <c r="A145">
        <v>901480503</v>
      </c>
      <c r="B145" t="str">
        <f>VLOOKUP(A145,'[1]DEPURACION FINAL TRAB'!$A$1:$N$855,2,0)</f>
        <v>PEPSICO ALIMENTOS ANTIOQUIA LTDA</v>
      </c>
      <c r="C145" t="str">
        <f>VLOOKUP(A145,'[1]DEPURACION FINAL TRAB'!$1:$1048576,3,0)</f>
        <v>310 3478697</v>
      </c>
      <c r="D145" t="s">
        <v>2585</v>
      </c>
      <c r="E145" t="s">
        <v>3021</v>
      </c>
      <c r="F145" s="17" t="s">
        <v>234</v>
      </c>
      <c r="G145">
        <v>6809520</v>
      </c>
      <c r="H145">
        <v>219</v>
      </c>
    </row>
    <row r="146" spans="1:8" ht="15" customHeight="1" x14ac:dyDescent="0.25">
      <c r="A146">
        <v>890925108</v>
      </c>
      <c r="B146" t="str">
        <f>VLOOKUP(A146,'[1]DEPURACION FINAL TRAB'!$A$1:$N$855,2,0)</f>
        <v>PAPELES Y CARTONES S.A.</v>
      </c>
      <c r="C146">
        <v>0</v>
      </c>
      <c r="D146" t="s">
        <v>2579</v>
      </c>
      <c r="E146" t="s">
        <v>3016</v>
      </c>
      <c r="F146" s="17" t="s">
        <v>336</v>
      </c>
      <c r="G146">
        <v>6820495.2000000002</v>
      </c>
      <c r="H146">
        <v>219</v>
      </c>
    </row>
    <row r="147" spans="1:8" ht="15" customHeight="1" x14ac:dyDescent="0.25">
      <c r="A147">
        <v>830102500</v>
      </c>
      <c r="B147" t="str">
        <f>VLOOKUP(A147,'[1]DEPURACION FINAL TRAB'!$A$1:$N$855,2,0)</f>
        <v>B &amp; C BIOSCIENCES SAS</v>
      </c>
      <c r="C147" t="str">
        <f>VLOOKUP(A147,'[1]DEPURACION FINAL TRAB'!$1:$1048576,3,0)</f>
        <v>317 6583640</v>
      </c>
      <c r="D147" t="s">
        <v>2306</v>
      </c>
      <c r="E147" t="s">
        <v>2758</v>
      </c>
      <c r="F147" s="17" t="s">
        <v>419</v>
      </c>
      <c r="G147">
        <v>6915388.5999999996</v>
      </c>
      <c r="H147">
        <v>219</v>
      </c>
    </row>
    <row r="148" spans="1:8" ht="15" customHeight="1" x14ac:dyDescent="0.25">
      <c r="A148">
        <v>901608985</v>
      </c>
      <c r="B148" t="str">
        <f>VLOOKUP(A148,'[1]DEPURACION FINAL TRAB'!$A$1:$N$855,2,0)</f>
        <v>BREM SAS</v>
      </c>
      <c r="C148" t="str">
        <f>VLOOKUP(A148,'[1]DEPURACION FINAL TRAB'!$1:$1048576,3,0)</f>
        <v>304 3497906</v>
      </c>
      <c r="D148" t="s">
        <v>2321</v>
      </c>
      <c r="E148" t="s">
        <v>2772</v>
      </c>
      <c r="F148" s="17" t="s">
        <v>1587</v>
      </c>
      <c r="G148">
        <v>6920983.1699999999</v>
      </c>
      <c r="H148">
        <v>219</v>
      </c>
    </row>
    <row r="149" spans="1:8" ht="15" customHeight="1" x14ac:dyDescent="0.25">
      <c r="A149">
        <v>900455438</v>
      </c>
      <c r="B149" t="str">
        <f>VLOOKUP(A149,'[1]DEPURACION FINAL TRAB'!$A$1:$N$855,2,0)</f>
        <v>COMSA INSTALACIONES Y SISTEMAS INDUSTRIALES S.A.</v>
      </c>
      <c r="C149">
        <v>0</v>
      </c>
      <c r="D149" t="s">
        <v>2370</v>
      </c>
      <c r="E149" t="s">
        <v>2821</v>
      </c>
      <c r="F149" s="17" t="s">
        <v>419</v>
      </c>
      <c r="G149">
        <v>6938262.4800000004</v>
      </c>
      <c r="H149">
        <v>219</v>
      </c>
    </row>
    <row r="150" spans="1:8" ht="15" customHeight="1" x14ac:dyDescent="0.25">
      <c r="A150">
        <v>900361697</v>
      </c>
      <c r="B150" t="str">
        <f>VLOOKUP(A150,'[1]DEPURACION FINAL TRAB'!$A$1:$N$855,2,0)</f>
        <v>UNIPHOS COLOMBIA PLANT LIMITED</v>
      </c>
      <c r="C150">
        <f>VLOOKUP(A150,'[1]DEPURACION FINAL TRAB'!$1:$1048576,3,0)</f>
        <v>3616220</v>
      </c>
      <c r="D150" t="s">
        <v>2700</v>
      </c>
      <c r="E150" t="s">
        <v>3127</v>
      </c>
      <c r="F150" s="17" t="s">
        <v>374</v>
      </c>
      <c r="G150">
        <v>6950400</v>
      </c>
      <c r="H150">
        <v>219</v>
      </c>
    </row>
    <row r="151" spans="1:8" ht="15" customHeight="1" x14ac:dyDescent="0.25">
      <c r="A151">
        <v>891401705</v>
      </c>
      <c r="B151" t="str">
        <f>VLOOKUP(A151,'[1]DEPURACION FINAL TRAB'!$A$1:$N$855,2,0)</f>
        <v>INGENIO RISARALDA S.A</v>
      </c>
      <c r="C151">
        <v>0</v>
      </c>
      <c r="D151" t="s">
        <v>2516</v>
      </c>
      <c r="E151" t="s">
        <v>2960</v>
      </c>
      <c r="F151" s="17" t="s">
        <v>1826</v>
      </c>
      <c r="G151">
        <v>6951000</v>
      </c>
      <c r="H151">
        <v>219</v>
      </c>
    </row>
    <row r="152" spans="1:8" ht="15" customHeight="1" x14ac:dyDescent="0.25">
      <c r="A152">
        <v>901471921</v>
      </c>
      <c r="B152" t="str">
        <f>VLOOKUP(A152,'[1]DEPURACION FINAL TRAB'!$A$1:$N$855,2,0)</f>
        <v>NUTTRE &amp; CO S.A.S</v>
      </c>
      <c r="C152" t="str">
        <f>VLOOKUP(A152,'[1]DEPURACION FINAL TRAB'!$1:$1048576,3,0)</f>
        <v>324 6714728</v>
      </c>
      <c r="D152" t="s">
        <v>2569</v>
      </c>
      <c r="E152" t="s">
        <v>3006</v>
      </c>
      <c r="F152" s="17" t="s">
        <v>1800</v>
      </c>
      <c r="G152">
        <v>6972800</v>
      </c>
      <c r="H152">
        <v>219</v>
      </c>
    </row>
    <row r="153" spans="1:8" ht="15" customHeight="1" x14ac:dyDescent="0.25">
      <c r="A153">
        <v>900262214</v>
      </c>
      <c r="B153" t="str">
        <f>VLOOKUP(A153,'[1]DEPURACION FINAL TRAB'!$A$1:$N$855,2,0)</f>
        <v>CENELEC CENTRAL DE ELECTRICOS LTDA</v>
      </c>
      <c r="C153">
        <v>0</v>
      </c>
      <c r="D153" t="s">
        <v>2339</v>
      </c>
      <c r="E153" t="s">
        <v>2730</v>
      </c>
      <c r="F153" s="17" t="s">
        <v>419</v>
      </c>
      <c r="G153">
        <v>6982400</v>
      </c>
      <c r="H153">
        <v>219</v>
      </c>
    </row>
    <row r="154" spans="1:8" ht="15" customHeight="1" x14ac:dyDescent="0.25">
      <c r="A154">
        <v>805018755</v>
      </c>
      <c r="B154" t="str">
        <f>VLOOKUP(A154,'[1]DEPURACION FINAL TRAB'!$A$1:$N$855,2,0)</f>
        <v>IMAD S.A.S</v>
      </c>
      <c r="C154">
        <v>0</v>
      </c>
      <c r="D154" t="s">
        <v>2494</v>
      </c>
      <c r="E154" t="s">
        <v>2937</v>
      </c>
      <c r="F154" s="17" t="s">
        <v>2205</v>
      </c>
      <c r="G154">
        <v>6988868.4100000001</v>
      </c>
      <c r="H154">
        <v>219</v>
      </c>
    </row>
    <row r="155" spans="1:8" ht="15" customHeight="1" x14ac:dyDescent="0.25">
      <c r="A155">
        <v>811021891</v>
      </c>
      <c r="B155" t="str">
        <f>VLOOKUP(A155,'[1]DEPURACION FINAL TRAB'!$A$1:$N$855,2,0)</f>
        <v>PRODUCTORA DE MANTOS Y TELAS S.A.S</v>
      </c>
      <c r="C155">
        <f>VLOOKUP(A155,'[1]DEPURACION FINAL TRAB'!$1:$1048576,3,0)</f>
        <v>0</v>
      </c>
      <c r="D155" t="s">
        <v>2603</v>
      </c>
      <c r="E155" t="s">
        <v>3038</v>
      </c>
      <c r="F155" s="17" t="s">
        <v>350</v>
      </c>
      <c r="G155">
        <v>7021840</v>
      </c>
      <c r="H155">
        <v>219</v>
      </c>
    </row>
    <row r="156" spans="1:8" ht="15" customHeight="1" x14ac:dyDescent="0.25">
      <c r="A156">
        <v>900993555</v>
      </c>
      <c r="B156" t="str">
        <f>VLOOKUP(A156,'[1]DEPURACION FINAL TRAB'!$A$1:$N$855,2,0)</f>
        <v>HECTOR CARRANZA CONSTRUCTORA SAS</v>
      </c>
      <c r="C156" t="str">
        <f>VLOOKUP(A156,'[1]DEPURACION FINAL TRAB'!$1:$1048576,3,0)</f>
        <v>300 8433872</v>
      </c>
      <c r="D156" t="s">
        <v>2483</v>
      </c>
      <c r="E156" t="s">
        <v>2926</v>
      </c>
      <c r="F156" s="17" t="s">
        <v>2019</v>
      </c>
      <c r="G156">
        <v>7064838.4000000004</v>
      </c>
      <c r="H156">
        <v>219</v>
      </c>
    </row>
    <row r="157" spans="1:8" ht="15" customHeight="1" x14ac:dyDescent="0.25">
      <c r="A157">
        <v>890323114</v>
      </c>
      <c r="B157" t="str">
        <f>VLOOKUP(A157,'[1]DEPURACION FINAL TRAB'!$A$1:$N$855,2,0)</f>
        <v>FUNDIMETAL DE COLOMBIA S. A. S.</v>
      </c>
      <c r="C157">
        <v>0</v>
      </c>
      <c r="D157" t="s">
        <v>2455</v>
      </c>
      <c r="E157" t="s">
        <v>2899</v>
      </c>
      <c r="F157" s="17" t="s">
        <v>2216</v>
      </c>
      <c r="G157">
        <v>7066426.75</v>
      </c>
      <c r="H157">
        <v>219</v>
      </c>
    </row>
    <row r="158" spans="1:8" ht="15" customHeight="1" x14ac:dyDescent="0.25">
      <c r="A158">
        <v>901214310</v>
      </c>
      <c r="B158" t="str">
        <f>VLOOKUP(A158,'[1]DEPURACION FINAL TRAB'!$A$1:$N$855,2,0)</f>
        <v>PROCESOS AUTOMATICOS DEL CARIBE SAS</v>
      </c>
      <c r="C158">
        <v>0</v>
      </c>
      <c r="D158" t="s">
        <v>2600</v>
      </c>
      <c r="E158" t="s">
        <v>3035</v>
      </c>
      <c r="F158" s="17" t="s">
        <v>374</v>
      </c>
      <c r="G158">
        <v>7115184.8500000006</v>
      </c>
      <c r="H158">
        <v>219</v>
      </c>
    </row>
    <row r="159" spans="1:8" ht="15" customHeight="1" x14ac:dyDescent="0.25">
      <c r="A159">
        <v>900749191</v>
      </c>
      <c r="B159" t="str">
        <f>VLOOKUP(A159,'[1]DEPURACION FINAL TRAB'!$A$1:$N$855,2,0)</f>
        <v>SEEAC INGENIERIA S.A.S.</v>
      </c>
      <c r="C159" t="str">
        <f>VLOOKUP(A159,'[1]DEPURACION FINAL TRAB'!$1:$1048576,3,0)</f>
        <v>316 7624366</v>
      </c>
      <c r="D159" t="s">
        <v>2637</v>
      </c>
      <c r="E159" t="s">
        <v>3069</v>
      </c>
      <c r="F159" s="17" t="s">
        <v>439</v>
      </c>
      <c r="G159">
        <v>7115466.71</v>
      </c>
      <c r="H159">
        <v>219</v>
      </c>
    </row>
    <row r="160" spans="1:8" ht="15" customHeight="1" x14ac:dyDescent="0.25">
      <c r="A160">
        <v>900014539</v>
      </c>
      <c r="B160" t="str">
        <f>VLOOKUP(A160,'[1]DEPURACION FINAL TRAB'!$A$1:$N$855,2,0)</f>
        <v>CONTROL Y SENSORES SAS</v>
      </c>
      <c r="C160" t="str">
        <f>VLOOKUP(A160,'[1]DEPURACION FINAL TRAB'!$1:$1048576,3,0)</f>
        <v>314 3955852</v>
      </c>
      <c r="D160" t="s">
        <v>2381</v>
      </c>
      <c r="E160" t="s">
        <v>2730</v>
      </c>
      <c r="F160" s="17" t="s">
        <v>419</v>
      </c>
      <c r="G160">
        <v>7128000</v>
      </c>
      <c r="H160">
        <v>219</v>
      </c>
    </row>
    <row r="161" spans="1:8" ht="15" customHeight="1" x14ac:dyDescent="0.25">
      <c r="A161">
        <v>900127290</v>
      </c>
      <c r="B161" t="str">
        <f>VLOOKUP(A161,'[1]DEPURACION FINAL TRAB'!$A$1:$N$855,2,0)</f>
        <v>SAMCO INGENIERIA SAS</v>
      </c>
      <c r="C161" t="str">
        <f>VLOOKUP(A161,'[1]DEPURACION FINAL TRAB'!$1:$1048576,3,0)</f>
        <v>4440772</v>
      </c>
      <c r="D161" t="s">
        <v>2628</v>
      </c>
      <c r="E161" t="s">
        <v>3063</v>
      </c>
      <c r="F161" s="17" t="s">
        <v>352</v>
      </c>
      <c r="G161">
        <v>7133997.6400000006</v>
      </c>
      <c r="H161">
        <v>219</v>
      </c>
    </row>
    <row r="162" spans="1:8" ht="15" customHeight="1" x14ac:dyDescent="0.25">
      <c r="A162">
        <v>800219925</v>
      </c>
      <c r="B162" t="str">
        <f>VLOOKUP(A162,'[1]DEPURACION FINAL TRAB'!$A$1:$N$855,2,0)</f>
        <v>COMPAÑÍA ELECTRICA DE SOCHAGOTA S.A.S E.S.P</v>
      </c>
      <c r="C162">
        <v>0</v>
      </c>
      <c r="D162" t="s">
        <v>2364</v>
      </c>
      <c r="E162" t="s">
        <v>2815</v>
      </c>
      <c r="F162" s="17" t="s">
        <v>734</v>
      </c>
      <c r="G162">
        <v>7163289</v>
      </c>
      <c r="H162">
        <v>334</v>
      </c>
    </row>
    <row r="163" spans="1:8" ht="15" customHeight="1" x14ac:dyDescent="0.25">
      <c r="A163">
        <v>901194531</v>
      </c>
      <c r="B163" t="str">
        <f>VLOOKUP(A163,'[1]DEPURACION FINAL TRAB'!$A$1:$N$855,2,0)</f>
        <v>MEDITECNO SAS BIC</v>
      </c>
      <c r="C163" t="str">
        <f>VLOOKUP(A163,'[1]DEPURACION FINAL TRAB'!$1:$1048576,3,0)</f>
        <v>301 4206120</v>
      </c>
      <c r="D163" t="s">
        <v>2555</v>
      </c>
      <c r="E163" t="s">
        <v>2992</v>
      </c>
      <c r="F163" s="17" t="s">
        <v>348</v>
      </c>
      <c r="G163">
        <v>7185313</v>
      </c>
      <c r="H163">
        <v>219</v>
      </c>
    </row>
    <row r="164" spans="1:8" ht="15" customHeight="1" x14ac:dyDescent="0.25">
      <c r="A164">
        <v>900488792</v>
      </c>
      <c r="B164" t="str">
        <f>VLOOKUP(A164,'[1]DEPURACION FINAL TRAB'!$A$1:$N$855,2,0)</f>
        <v>ATD INDUSTRY SAS</v>
      </c>
      <c r="C164">
        <f>VLOOKUP(A164,'[1]DEPURACION FINAL TRAB'!$1:$1048576,3,0)</f>
        <v>7336943</v>
      </c>
      <c r="D164" t="s">
        <v>2291</v>
      </c>
      <c r="E164" t="s">
        <v>2744</v>
      </c>
      <c r="F164" s="17" t="s">
        <v>419</v>
      </c>
      <c r="G164">
        <v>7204044.1399999997</v>
      </c>
      <c r="H164">
        <v>219</v>
      </c>
    </row>
    <row r="165" spans="1:8" ht="15" customHeight="1" x14ac:dyDescent="0.25">
      <c r="A165">
        <v>901387859</v>
      </c>
      <c r="B165" t="str">
        <f>VLOOKUP(A165,'[1]DEPURACION FINAL TRAB'!$A$1:$N$855,2,0)</f>
        <v>BIOENA SAS</v>
      </c>
      <c r="C165" t="str">
        <f>VLOOKUP(A165,'[1]DEPURACION FINAL TRAB'!$1:$1048576,3,0)</f>
        <v>310 7402706</v>
      </c>
      <c r="D165" t="s">
        <v>2318</v>
      </c>
      <c r="E165" t="s">
        <v>2769</v>
      </c>
      <c r="F165" s="17" t="s">
        <v>1508</v>
      </c>
      <c r="G165">
        <v>7213576</v>
      </c>
      <c r="H165">
        <v>219</v>
      </c>
    </row>
    <row r="166" spans="1:8" ht="15" customHeight="1" x14ac:dyDescent="0.25">
      <c r="A166">
        <v>900478843</v>
      </c>
      <c r="B166" t="str">
        <f>VLOOKUP(A166,'[1]DEPURACION FINAL TRAB'!$A$1:$N$855,2,0)</f>
        <v>HIPER BASCULAS S A S</v>
      </c>
      <c r="C166">
        <v>0</v>
      </c>
      <c r="D166" t="s">
        <v>2487</v>
      </c>
      <c r="E166" t="s">
        <v>2930</v>
      </c>
      <c r="F166" s="17" t="s">
        <v>419</v>
      </c>
      <c r="G166">
        <v>7303200</v>
      </c>
      <c r="H166">
        <v>219</v>
      </c>
    </row>
    <row r="167" spans="1:8" ht="15" customHeight="1" x14ac:dyDescent="0.25">
      <c r="A167">
        <v>900280754</v>
      </c>
      <c r="B167" t="str">
        <f>VLOOKUP(A167,'[1]DEPURACION FINAL TRAB'!$A$1:$N$855,2,0)</f>
        <v>SEITA S.A.S</v>
      </c>
      <c r="C167">
        <v>0</v>
      </c>
      <c r="D167" t="s">
        <v>2640</v>
      </c>
      <c r="E167" t="s">
        <v>3070</v>
      </c>
      <c r="F167" s="17" t="s">
        <v>2205</v>
      </c>
      <c r="G167">
        <v>7312086.2699999996</v>
      </c>
      <c r="H167">
        <v>219</v>
      </c>
    </row>
    <row r="168" spans="1:8" ht="15" customHeight="1" x14ac:dyDescent="0.25">
      <c r="A168">
        <v>900602178</v>
      </c>
      <c r="B168" t="str">
        <f>VLOOKUP(A168,'[1]DEPURACION FINAL TRAB'!$A$1:$N$855,2,0)</f>
        <v>STROM SAS</v>
      </c>
      <c r="C168">
        <v>0</v>
      </c>
      <c r="D168" t="s">
        <v>2662</v>
      </c>
      <c r="E168" t="s">
        <v>3093</v>
      </c>
      <c r="F168" s="17" t="s">
        <v>419</v>
      </c>
      <c r="G168">
        <v>7350687.709999999</v>
      </c>
      <c r="H168">
        <v>219</v>
      </c>
    </row>
    <row r="169" spans="1:8" ht="15" customHeight="1" x14ac:dyDescent="0.25">
      <c r="A169">
        <v>901487581</v>
      </c>
      <c r="B169" t="str">
        <f>VLOOKUP(A169,'[1]DEPURACION FINAL TRAB'!$A$1:$N$855,2,0)</f>
        <v>DISTRIBUCIONES ELECTRICAS NB S.A.S.</v>
      </c>
      <c r="C169">
        <v>0</v>
      </c>
      <c r="D169" t="s">
        <v>2401</v>
      </c>
      <c r="E169" t="s">
        <v>2850</v>
      </c>
      <c r="F169" s="17" t="s">
        <v>2205</v>
      </c>
      <c r="G169">
        <v>7476151.2799999993</v>
      </c>
      <c r="H169">
        <v>219</v>
      </c>
    </row>
    <row r="170" spans="1:8" ht="15" customHeight="1" x14ac:dyDescent="0.25">
      <c r="A170">
        <v>900348509</v>
      </c>
      <c r="B170" t="str">
        <f>VLOOKUP(A170,'[1]DEPURACION FINAL TRAB'!$A$1:$N$855,2,0)</f>
        <v>MAKE SOLUTION SAS</v>
      </c>
      <c r="C170">
        <v>0</v>
      </c>
      <c r="D170" t="s">
        <v>2543</v>
      </c>
      <c r="E170" t="s">
        <v>2981</v>
      </c>
      <c r="F170" s="17" t="s">
        <v>352</v>
      </c>
      <c r="G170">
        <v>7506356.8399999999</v>
      </c>
      <c r="H170">
        <v>219</v>
      </c>
    </row>
    <row r="171" spans="1:8" ht="15" customHeight="1" x14ac:dyDescent="0.25">
      <c r="A171">
        <v>900640435</v>
      </c>
      <c r="B171" t="str">
        <f>VLOOKUP(A171,'[1]DEPURACION FINAL TRAB'!$A$1:$N$855,2,0)</f>
        <v>RICARDO ESCOBAR ARBELAEZ S.A.S</v>
      </c>
      <c r="C171">
        <v>0</v>
      </c>
      <c r="D171" t="s">
        <v>2621</v>
      </c>
      <c r="E171" t="s">
        <v>3056</v>
      </c>
      <c r="F171" s="17" t="s">
        <v>783</v>
      </c>
      <c r="G171">
        <v>7525654.2999999998</v>
      </c>
      <c r="H171">
        <v>219</v>
      </c>
    </row>
    <row r="172" spans="1:8" ht="15" customHeight="1" x14ac:dyDescent="0.25">
      <c r="A172">
        <v>901254047</v>
      </c>
      <c r="B172" t="str">
        <f>VLOOKUP(A172,'[1]DEPURACION FINAL TRAB'!$A$1:$N$855,2,0)</f>
        <v>S&amp;G SOLUCIONES DE INGENIERIA SAS</v>
      </c>
      <c r="C172">
        <f>VLOOKUP(A172,'[1]DEPURACION FINAL TRAB'!$1:$1048576,3,0)</f>
        <v>8698789</v>
      </c>
      <c r="D172" t="s">
        <v>2625</v>
      </c>
      <c r="E172" t="s">
        <v>3060</v>
      </c>
      <c r="F172" s="17" t="s">
        <v>374</v>
      </c>
      <c r="G172">
        <v>7555745.7999999998</v>
      </c>
      <c r="H172">
        <v>219</v>
      </c>
    </row>
    <row r="173" spans="1:8" ht="15" customHeight="1" x14ac:dyDescent="0.25">
      <c r="A173">
        <v>860002067</v>
      </c>
      <c r="B173" t="str">
        <f>VLOOKUP(A173,'[1]DEPURACION FINAL TRAB'!$A$1:$N$855,2,0)</f>
        <v>PROQUINAL S.A.S.</v>
      </c>
      <c r="C173">
        <v>0</v>
      </c>
      <c r="D173" t="s">
        <v>2607</v>
      </c>
      <c r="E173" t="s">
        <v>3044</v>
      </c>
      <c r="F173" s="17" t="s">
        <v>419</v>
      </c>
      <c r="G173">
        <v>7600271.8200000003</v>
      </c>
      <c r="H173">
        <v>219</v>
      </c>
    </row>
    <row r="174" spans="1:8" ht="15" customHeight="1" x14ac:dyDescent="0.25">
      <c r="A174">
        <v>860023525</v>
      </c>
      <c r="B174" t="str">
        <f>VLOOKUP(A174,'[1]DEPURACION FINAL TRAB'!$A$1:$N$855,2,0)</f>
        <v>GREIF COLOMBIA S.A.S.</v>
      </c>
      <c r="C174" t="str">
        <f>VLOOKUP(A174,'[1]DEPURACION FINAL TRAB'!$1:$1048576,3,0)</f>
        <v>318734614</v>
      </c>
      <c r="D174" t="s">
        <v>2473</v>
      </c>
      <c r="E174" t="s">
        <v>2916</v>
      </c>
      <c r="F174" s="17" t="s">
        <v>1265</v>
      </c>
      <c r="G174">
        <v>7604000</v>
      </c>
      <c r="H174">
        <v>219</v>
      </c>
    </row>
    <row r="175" spans="1:8" ht="15" customHeight="1" x14ac:dyDescent="0.25">
      <c r="A175">
        <v>901302033</v>
      </c>
      <c r="B175" t="str">
        <f>VLOOKUP(A175,'[1]DEPURACION FINAL TRAB'!$A$1:$N$855,2,0)</f>
        <v>FERRETERIA INGENIERIA Y SOLUCIONES SAS</v>
      </c>
      <c r="C175" t="str">
        <f>VLOOKUP(A175,'[1]DEPURACION FINAL TRAB'!$1:$1048576,3,0)</f>
        <v>314 3010226</v>
      </c>
      <c r="D175" t="s">
        <v>2443</v>
      </c>
      <c r="E175" t="s">
        <v>2890</v>
      </c>
      <c r="F175" s="17" t="s">
        <v>419</v>
      </c>
      <c r="G175">
        <v>7671000</v>
      </c>
      <c r="H175">
        <v>219</v>
      </c>
    </row>
    <row r="176" spans="1:8" ht="15" customHeight="1" x14ac:dyDescent="0.25">
      <c r="A176">
        <v>890304130</v>
      </c>
      <c r="B176" t="str">
        <f>VLOOKUP(A176,'[1]DEPURACION FINAL TRAB'!$A$1:$N$855,2,0)</f>
        <v>ALIMENTOS CARNICOS S.A.S.</v>
      </c>
      <c r="C176" t="str">
        <f>VLOOKUP(A176,'[1]DEPURACION FINAL TRAB'!$1:$1048576,3,0)</f>
        <v>4311050</v>
      </c>
      <c r="D176" t="s">
        <v>2278</v>
      </c>
      <c r="E176" t="s">
        <v>2733</v>
      </c>
      <c r="F176" s="17" t="s">
        <v>893</v>
      </c>
      <c r="G176">
        <v>7708652.620000001</v>
      </c>
      <c r="H176">
        <v>219</v>
      </c>
    </row>
    <row r="177" spans="1:8" ht="15" customHeight="1" x14ac:dyDescent="0.25">
      <c r="A177">
        <v>830056322</v>
      </c>
      <c r="B177" t="str">
        <f>VLOOKUP(A177,'[1]DEPURACION FINAL TRAB'!$A$1:$N$855,2,0)</f>
        <v>SAYTEC DE COLOMBIA S.A.S</v>
      </c>
      <c r="C177">
        <v>0</v>
      </c>
      <c r="D177" t="s">
        <v>2633</v>
      </c>
      <c r="E177" t="s">
        <v>3024</v>
      </c>
      <c r="F177" s="17" t="s">
        <v>1259</v>
      </c>
      <c r="G177">
        <v>7719113.2400000002</v>
      </c>
      <c r="H177">
        <v>219</v>
      </c>
    </row>
    <row r="178" spans="1:8" ht="15" customHeight="1" x14ac:dyDescent="0.25">
      <c r="A178">
        <v>830114737</v>
      </c>
      <c r="B178" t="str">
        <f>VLOOKUP(A178,'[1]DEPURACION FINAL TRAB'!$A$1:$N$855,2,0)</f>
        <v>GAS INSTRUMENT SAS</v>
      </c>
      <c r="C178">
        <v>0</v>
      </c>
      <c r="D178" t="s">
        <v>2456</v>
      </c>
      <c r="E178" t="s">
        <v>2900</v>
      </c>
      <c r="F178" s="17" t="s">
        <v>419</v>
      </c>
      <c r="G178">
        <v>7737568</v>
      </c>
      <c r="H178">
        <v>219</v>
      </c>
    </row>
    <row r="179" spans="1:8" ht="15" customHeight="1" x14ac:dyDescent="0.25">
      <c r="A179">
        <v>900121912</v>
      </c>
      <c r="B179" t="str">
        <f>VLOOKUP(A179,'[1]DEPURACION FINAL TRAB'!$A$1:$N$855,2,0)</f>
        <v>SOFTWARE &amp;SOLUCION INDUSTRIAL LTDA</v>
      </c>
      <c r="C179">
        <v>0</v>
      </c>
      <c r="D179" t="s">
        <v>2654</v>
      </c>
      <c r="E179" t="s">
        <v>3085</v>
      </c>
      <c r="F179" s="17" t="s">
        <v>419</v>
      </c>
      <c r="G179">
        <v>7762800</v>
      </c>
      <c r="H179">
        <v>219</v>
      </c>
    </row>
    <row r="180" spans="1:8" ht="15" customHeight="1" x14ac:dyDescent="0.25">
      <c r="A180">
        <v>860009008</v>
      </c>
      <c r="B180" t="str">
        <f>VLOOKUP(A180,'[1]DEPURACION FINAL TRAB'!$A$1:$N$855,2,0)</f>
        <v>FIBERGLASS COLOMBIA S.A.</v>
      </c>
      <c r="C180">
        <v>0</v>
      </c>
      <c r="D180" t="s">
        <v>2447</v>
      </c>
      <c r="E180" t="s">
        <v>2892</v>
      </c>
      <c r="F180" s="17" t="s">
        <v>1275</v>
      </c>
      <c r="G180">
        <v>7768999.2000000002</v>
      </c>
      <c r="H180">
        <v>219</v>
      </c>
    </row>
    <row r="181" spans="1:8" ht="15" customHeight="1" x14ac:dyDescent="0.25">
      <c r="A181">
        <v>830138568</v>
      </c>
      <c r="B181" t="str">
        <f>VLOOKUP(A181,'[1]DEPURACION FINAL TRAB'!$A$1:$N$855,2,0)</f>
        <v>DAIRY PARTNERS AMERICAS MANUFACTURING COLOMBIA LTDA</v>
      </c>
      <c r="C181">
        <v>0</v>
      </c>
      <c r="D181" t="s">
        <v>2358</v>
      </c>
      <c r="E181" t="s">
        <v>2842</v>
      </c>
      <c r="F181" s="17" t="s">
        <v>419</v>
      </c>
      <c r="G181">
        <v>7823823.3900000006</v>
      </c>
      <c r="H181">
        <v>219</v>
      </c>
    </row>
    <row r="182" spans="1:8" ht="15" customHeight="1" x14ac:dyDescent="0.25">
      <c r="A182">
        <v>890101272</v>
      </c>
      <c r="B182" t="str">
        <f>VLOOKUP(A182,'[1]DEPURACION FINAL TRAB'!$A$1:$N$855,2,0)</f>
        <v>SEMPERTEX DE COLOMBIA SAS</v>
      </c>
      <c r="C182">
        <v>0</v>
      </c>
      <c r="D182" t="s">
        <v>2641</v>
      </c>
      <c r="E182" t="s">
        <v>3071</v>
      </c>
      <c r="F182" s="17" t="s">
        <v>374</v>
      </c>
      <c r="G182">
        <v>7824240</v>
      </c>
      <c r="H182">
        <v>219</v>
      </c>
    </row>
    <row r="183" spans="1:8" ht="15" customHeight="1" x14ac:dyDescent="0.25">
      <c r="A183">
        <v>900974289</v>
      </c>
      <c r="B183" t="str">
        <f>VLOOKUP(A183,'[1]DEPURACION FINAL TRAB'!$A$1:$N$855,2,0)</f>
        <v>GIRSOL SAS</v>
      </c>
      <c r="C183" t="str">
        <f>VLOOKUP(A183,'[1]DEPURACION FINAL TRAB'!$1:$1048576,3,0)</f>
        <v>321 4518801</v>
      </c>
      <c r="D183" t="s">
        <v>2466</v>
      </c>
      <c r="E183" t="s">
        <v>2909</v>
      </c>
      <c r="F183" s="17" t="s">
        <v>419</v>
      </c>
      <c r="G183">
        <v>7879040</v>
      </c>
      <c r="H183">
        <v>219</v>
      </c>
    </row>
    <row r="184" spans="1:8" ht="15" customHeight="1" x14ac:dyDescent="0.25">
      <c r="A184">
        <v>800121118</v>
      </c>
      <c r="B184" t="str">
        <f>VLOOKUP(A184,'[1]DEPURACION FINAL TRAB'!$A$1:$N$855,2,0)</f>
        <v>ELEMENTOS ELECTRICOS S.A.S.</v>
      </c>
      <c r="C184" t="str">
        <f>VLOOKUP(A184,'[1]DEPURACION FINAL TRAB'!$1:$1048576,3,0)</f>
        <v>8895979</v>
      </c>
      <c r="D184" t="s">
        <v>2414</v>
      </c>
      <c r="E184" t="s">
        <v>2862</v>
      </c>
      <c r="F184" s="17" t="s">
        <v>2205</v>
      </c>
      <c r="G184">
        <v>7977340.1699999999</v>
      </c>
      <c r="H184">
        <v>219</v>
      </c>
    </row>
    <row r="185" spans="1:8" ht="15" customHeight="1" x14ac:dyDescent="0.25">
      <c r="A185">
        <v>901167377</v>
      </c>
      <c r="B185" t="str">
        <f>VLOOKUP(A185,'[1]DEPURACION FINAL TRAB'!$A$1:$N$855,2,0)</f>
        <v>NUEVA GENERACION DE BEBIDAS S.A.S</v>
      </c>
      <c r="C185" t="str">
        <f>VLOOKUP(A185,'[1]DEPURACION FINAL TRAB'!$1:$1048576,3,0)</f>
        <v>43119790</v>
      </c>
      <c r="D185" t="s">
        <v>2568</v>
      </c>
      <c r="E185" t="s">
        <v>3005</v>
      </c>
      <c r="F185" s="17" t="s">
        <v>3144</v>
      </c>
      <c r="G185">
        <v>7977900</v>
      </c>
      <c r="H185">
        <v>219</v>
      </c>
    </row>
    <row r="186" spans="1:8" ht="15" customHeight="1" x14ac:dyDescent="0.25">
      <c r="A186">
        <v>890800413</v>
      </c>
      <c r="B186" t="str">
        <f>VLOOKUP(A186,'[1]DEPURACION FINAL TRAB'!$A$1:$N$855,2,0)</f>
        <v>HERRAMIENTAS AGRICOLAS S A</v>
      </c>
      <c r="C186">
        <f>VLOOKUP(A186,'[1]DEPURACION FINAL TRAB'!$1:$1048576,3,0)</f>
        <v>0</v>
      </c>
      <c r="D186" t="s">
        <v>2485</v>
      </c>
      <c r="E186" t="s">
        <v>2928</v>
      </c>
      <c r="F186" s="17" t="s">
        <v>783</v>
      </c>
      <c r="G186">
        <v>8001851.1400000006</v>
      </c>
      <c r="H186">
        <v>219</v>
      </c>
    </row>
    <row r="187" spans="1:8" ht="15" customHeight="1" x14ac:dyDescent="0.25">
      <c r="A187">
        <v>901430445</v>
      </c>
      <c r="B187" t="str">
        <f>VLOOKUP(A187,'[1]DEPURACION FINAL TRAB'!$A$1:$N$855,2,0)</f>
        <v>COLSEMAQ SAS</v>
      </c>
      <c r="C187">
        <v>0</v>
      </c>
      <c r="D187" t="s">
        <v>2355</v>
      </c>
      <c r="E187" t="s">
        <v>2806</v>
      </c>
      <c r="F187" s="17" t="s">
        <v>1259</v>
      </c>
      <c r="G187">
        <v>8011203.9699999997</v>
      </c>
      <c r="H187">
        <v>219</v>
      </c>
    </row>
    <row r="188" spans="1:8" ht="15" customHeight="1" x14ac:dyDescent="0.25">
      <c r="A188">
        <v>900860284</v>
      </c>
      <c r="B188" t="str">
        <f>VLOOKUP(A188,'[1]DEPURACION FINAL TRAB'!$A$1:$N$855,2,0)</f>
        <v>BBI COLOMBIA SAS</v>
      </c>
      <c r="C188" t="str">
        <f>VLOOKUP(A188,'[1]DEPURACION FINAL TRAB'!$1:$1048576,3,0)</f>
        <v>315 4598487</v>
      </c>
      <c r="D188" t="s">
        <v>2312</v>
      </c>
      <c r="E188" t="s">
        <v>2764</v>
      </c>
      <c r="F188" s="17" t="s">
        <v>1259</v>
      </c>
      <c r="G188">
        <v>8034208</v>
      </c>
      <c r="H188">
        <v>219</v>
      </c>
    </row>
    <row r="189" spans="1:8" ht="15" customHeight="1" x14ac:dyDescent="0.25">
      <c r="A189">
        <v>900247988</v>
      </c>
      <c r="B189" t="str">
        <f>VLOOKUP(A189,'[1]DEPURACION FINAL TRAB'!$A$1:$N$855,2,0)</f>
        <v>LABORATORIO METROLOGICO DE ANTIOQUIA SAS</v>
      </c>
      <c r="C189" t="str">
        <f>VLOOKUP(A189,'[1]DEPURACION FINAL TRAB'!$1:$1048576,3,0)</f>
        <v>310 3712864</v>
      </c>
      <c r="D189" t="s">
        <v>2533</v>
      </c>
      <c r="E189" t="s">
        <v>2973</v>
      </c>
      <c r="F189" s="17" t="s">
        <v>352</v>
      </c>
      <c r="G189">
        <v>8110080</v>
      </c>
      <c r="H189">
        <v>219</v>
      </c>
    </row>
    <row r="190" spans="1:8" ht="15" customHeight="1" x14ac:dyDescent="0.25">
      <c r="A190">
        <v>890300466</v>
      </c>
      <c r="B190" t="str">
        <f>VLOOKUP(A190,'[1]DEPURACION FINAL TRAB'!$A$1:$N$855,2,0)</f>
        <v>TECNOQUIMICAS S.A</v>
      </c>
      <c r="C190">
        <v>0</v>
      </c>
      <c r="D190" t="s">
        <v>2677</v>
      </c>
      <c r="E190" t="s">
        <v>3107</v>
      </c>
      <c r="F190" s="17" t="s">
        <v>907</v>
      </c>
      <c r="G190">
        <v>8196289.0199999996</v>
      </c>
      <c r="H190">
        <v>219</v>
      </c>
    </row>
    <row r="191" spans="1:8" ht="15" customHeight="1" x14ac:dyDescent="0.25">
      <c r="A191">
        <v>900189181</v>
      </c>
      <c r="B191" t="str">
        <f>VLOOKUP(A191,'[1]DEPURACION FINAL TRAB'!$A$1:$N$855,2,0)</f>
        <v>PEPSICO ALIMENTOS Z.F LTDA</v>
      </c>
      <c r="C191">
        <v>0</v>
      </c>
      <c r="D191" t="s">
        <v>2586</v>
      </c>
      <c r="E191" t="s">
        <v>3022</v>
      </c>
      <c r="F191" s="17" t="s">
        <v>234</v>
      </c>
      <c r="G191">
        <v>8244600</v>
      </c>
      <c r="H191">
        <v>219</v>
      </c>
    </row>
    <row r="192" spans="1:8" ht="15" customHeight="1" x14ac:dyDescent="0.25">
      <c r="A192">
        <v>890900118</v>
      </c>
      <c r="B192" t="str">
        <f>VLOOKUP(A192,'[1]DEPURACION FINAL TRAB'!$A$1:$N$855,2,0)</f>
        <v>CRISTALERIA PELDAR S.A</v>
      </c>
      <c r="C192">
        <v>0</v>
      </c>
      <c r="D192" t="s">
        <v>2387</v>
      </c>
      <c r="E192" t="s">
        <v>2837</v>
      </c>
      <c r="F192" s="17" t="s">
        <v>1261</v>
      </c>
      <c r="G192">
        <v>8299594</v>
      </c>
      <c r="H192">
        <v>334</v>
      </c>
    </row>
    <row r="193" spans="1:8" ht="15" customHeight="1" x14ac:dyDescent="0.25">
      <c r="A193">
        <v>800135913</v>
      </c>
      <c r="B193" t="str">
        <f>VLOOKUP(A193,'[1]DEPURACION FINAL TRAB'!$A$1:$N$855,2,0)</f>
        <v>SOCIEDAD ACUEDUCTO,ALCANTARILLADO Y ASEO DE BARRANQUILLA S.A. ESP</v>
      </c>
      <c r="C193">
        <v>0</v>
      </c>
      <c r="D193" t="s">
        <v>2651</v>
      </c>
      <c r="E193" t="s">
        <v>3081</v>
      </c>
      <c r="F193" s="17" t="s">
        <v>374</v>
      </c>
      <c r="G193">
        <v>8313506</v>
      </c>
      <c r="H193">
        <v>219</v>
      </c>
    </row>
    <row r="194" spans="1:8" ht="15" customHeight="1" x14ac:dyDescent="0.25">
      <c r="A194">
        <v>900347805</v>
      </c>
      <c r="B194" t="str">
        <f>VLOOKUP(A194,'[1]DEPURACION FINAL TRAB'!$A$1:$N$855,2,0)</f>
        <v>CAMPOFERT S.A.S</v>
      </c>
      <c r="C194">
        <v>0</v>
      </c>
      <c r="D194" t="s">
        <v>2327</v>
      </c>
      <c r="E194" t="s">
        <v>2779</v>
      </c>
      <c r="F194" s="17" t="s">
        <v>2222</v>
      </c>
      <c r="G194">
        <v>8387280</v>
      </c>
      <c r="H194">
        <v>219</v>
      </c>
    </row>
    <row r="195" spans="1:8" ht="15" customHeight="1" x14ac:dyDescent="0.25">
      <c r="A195">
        <v>800254257</v>
      </c>
      <c r="B195" t="str">
        <f>VLOOKUP(A195,'[1]DEPURACION FINAL TRAB'!$A$1:$N$855,2,0)</f>
        <v>SIMAC S.A.S.</v>
      </c>
      <c r="C195">
        <v>0</v>
      </c>
      <c r="D195" t="s">
        <v>2647</v>
      </c>
      <c r="E195" t="s">
        <v>3077</v>
      </c>
      <c r="F195" s="17" t="s">
        <v>352</v>
      </c>
      <c r="G195">
        <v>8427804</v>
      </c>
      <c r="H195">
        <v>219</v>
      </c>
    </row>
    <row r="196" spans="1:8" ht="15" customHeight="1" x14ac:dyDescent="0.25">
      <c r="A196">
        <v>800057428</v>
      </c>
      <c r="B196" t="str">
        <f>VLOOKUP(A196,'[1]DEPURACION FINAL TRAB'!$A$1:$N$855,2,0)</f>
        <v>FERRETERIA VALLEJO S.A.S</v>
      </c>
      <c r="C196" t="str">
        <f>VLOOKUP(A196,'[1]DEPURACION FINAL TRAB'!$1:$1048576,3,0)</f>
        <v>318 3118383</v>
      </c>
      <c r="D196" t="s">
        <v>2444</v>
      </c>
      <c r="E196" t="s">
        <v>2730</v>
      </c>
      <c r="F196" s="17" t="s">
        <v>374</v>
      </c>
      <c r="G196">
        <v>8505564.879999999</v>
      </c>
      <c r="H196">
        <v>219</v>
      </c>
    </row>
    <row r="197" spans="1:8" ht="15" customHeight="1" x14ac:dyDescent="0.25">
      <c r="A197">
        <v>800220708</v>
      </c>
      <c r="B197" t="str">
        <f>VLOOKUP(A197,'[1]DEPURACION FINAL TRAB'!$A$1:$N$855,2,0)</f>
        <v>SISTECONTROL S.A.S.</v>
      </c>
      <c r="C197">
        <f>VLOOKUP(A197,'[1]DEPURACION FINAL TRAB'!$1:$1048576,3,0)</f>
        <v>3115237</v>
      </c>
      <c r="D197" t="s">
        <v>2648</v>
      </c>
      <c r="E197" t="s">
        <v>3078</v>
      </c>
      <c r="F197" s="17" t="s">
        <v>419</v>
      </c>
      <c r="G197">
        <v>8515077.3900000006</v>
      </c>
      <c r="H197">
        <v>219</v>
      </c>
    </row>
    <row r="198" spans="1:8" ht="15" customHeight="1" x14ac:dyDescent="0.25">
      <c r="A198">
        <v>800223278</v>
      </c>
      <c r="B198" t="str">
        <f>VLOOKUP(A198,'[1]DEPURACION FINAL TRAB'!$A$1:$N$855,2,0)</f>
        <v>INGEMARC SAS</v>
      </c>
      <c r="C198">
        <f>VLOOKUP(A198,'[1]DEPURACION FINAL TRAB'!$1:$1048576,3,0)</f>
        <v>3091448</v>
      </c>
      <c r="D198" t="s">
        <v>2507</v>
      </c>
      <c r="E198" t="s">
        <v>2951</v>
      </c>
      <c r="F198" s="17" t="s">
        <v>374</v>
      </c>
      <c r="G198">
        <v>8579006.5800000001</v>
      </c>
      <c r="H198">
        <v>219</v>
      </c>
    </row>
    <row r="199" spans="1:8" ht="15" customHeight="1" x14ac:dyDescent="0.25">
      <c r="A199">
        <v>900743695</v>
      </c>
      <c r="B199" t="str">
        <f>VLOOKUP(A199,'[1]DEPURACION FINAL TRAB'!$A$1:$N$855,2,0)</f>
        <v>PHOENIX CONTACT S.A.S</v>
      </c>
      <c r="C199">
        <v>0</v>
      </c>
      <c r="D199" t="s">
        <v>2588</v>
      </c>
      <c r="E199" t="s">
        <v>3024</v>
      </c>
      <c r="F199" s="17" t="s">
        <v>1259</v>
      </c>
      <c r="G199">
        <v>8594095.2000000011</v>
      </c>
      <c r="H199">
        <v>219</v>
      </c>
    </row>
    <row r="200" spans="1:8" ht="15" customHeight="1" x14ac:dyDescent="0.25">
      <c r="A200">
        <v>860009808</v>
      </c>
      <c r="B200" t="str">
        <f>VLOOKUP(A200,'[1]DEPURACION FINAL TRAB'!$A$1:$N$855,2,0)</f>
        <v>HOLCIM ( COLOMBIA) S.A</v>
      </c>
      <c r="C200">
        <v>0</v>
      </c>
      <c r="D200" t="s">
        <v>2489</v>
      </c>
      <c r="E200" t="s">
        <v>2933</v>
      </c>
      <c r="F200" s="17" t="s">
        <v>419</v>
      </c>
      <c r="G200">
        <v>8635036.4499999993</v>
      </c>
      <c r="H200">
        <v>219</v>
      </c>
    </row>
    <row r="201" spans="1:8" ht="15" customHeight="1" x14ac:dyDescent="0.25">
      <c r="A201">
        <v>800218958</v>
      </c>
      <c r="B201" t="str">
        <f>VLOOKUP(A201,'[1]DEPURACION FINAL TRAB'!$A$1:$N$855,2,0)</f>
        <v>FLEXO SPRING S.A.S.</v>
      </c>
      <c r="C201">
        <v>0</v>
      </c>
      <c r="D201" t="s">
        <v>2450</v>
      </c>
      <c r="E201" t="s">
        <v>2895</v>
      </c>
      <c r="F201" s="17" t="s">
        <v>419</v>
      </c>
      <c r="G201">
        <v>8645600</v>
      </c>
      <c r="H201">
        <v>219</v>
      </c>
    </row>
    <row r="202" spans="1:8" ht="15" customHeight="1" x14ac:dyDescent="0.25">
      <c r="A202">
        <v>901430445</v>
      </c>
      <c r="B202" t="str">
        <f>VLOOKUP(A202,'[1]DEPURACION FINAL TRAB'!$A$1:$N$855,2,0)</f>
        <v>COLSEMAQ SAS</v>
      </c>
      <c r="C202">
        <v>0</v>
      </c>
      <c r="D202" t="s">
        <v>2355</v>
      </c>
      <c r="E202" t="s">
        <v>2806</v>
      </c>
      <c r="F202" s="17" t="s">
        <v>1259</v>
      </c>
      <c r="G202">
        <v>8654496.5</v>
      </c>
      <c r="H202">
        <v>219</v>
      </c>
    </row>
    <row r="203" spans="1:8" ht="15" customHeight="1" x14ac:dyDescent="0.25">
      <c r="A203">
        <v>900233101</v>
      </c>
      <c r="B203" t="str">
        <f>VLOOKUP(A203,'[1]DEPURACION FINAL TRAB'!$A$1:$N$855,2,0)</f>
        <v>CEMENTOS SAN MARCOS S.A.S.</v>
      </c>
      <c r="C203">
        <v>0</v>
      </c>
      <c r="D203" t="s">
        <v>2337</v>
      </c>
      <c r="E203" t="s">
        <v>2789</v>
      </c>
      <c r="F203" s="17" t="s">
        <v>2222</v>
      </c>
      <c r="G203">
        <v>8669016</v>
      </c>
      <c r="H203">
        <v>219</v>
      </c>
    </row>
    <row r="204" spans="1:8" ht="15" customHeight="1" x14ac:dyDescent="0.25">
      <c r="A204">
        <v>900136638</v>
      </c>
      <c r="B204" t="str">
        <f>VLOOKUP(A204,'[1]DEPURACION FINAL TRAB'!$A$1:$N$855,2,0)</f>
        <v>CERVECERIA DEL VALLE SAS</v>
      </c>
      <c r="C204" t="str">
        <f>VLOOKUP(A204,'[1]DEPURACION FINAL TRAB'!$1:$1048576,3,0)</f>
        <v>6919400</v>
      </c>
      <c r="D204" t="s">
        <v>2343</v>
      </c>
      <c r="E204" t="s">
        <v>2793</v>
      </c>
      <c r="F204" s="17" t="s">
        <v>2222</v>
      </c>
      <c r="G204">
        <v>8696694.3300000001</v>
      </c>
      <c r="H204">
        <v>219</v>
      </c>
    </row>
    <row r="205" spans="1:8" ht="15" customHeight="1" x14ac:dyDescent="0.25">
      <c r="A205">
        <v>860000006</v>
      </c>
      <c r="B205" t="str">
        <f>VLOOKUP(A205,'[1]DEPURACION FINAL TRAB'!$A$1:$N$855,2,0)</f>
        <v>TEAM FOODS COLOMBIA S.A.</v>
      </c>
      <c r="C205">
        <v>0</v>
      </c>
      <c r="D205" t="s">
        <v>2674</v>
      </c>
      <c r="E205" t="s">
        <v>3103</v>
      </c>
      <c r="F205" s="17" t="s">
        <v>419</v>
      </c>
      <c r="G205">
        <v>8713520</v>
      </c>
      <c r="H205">
        <v>219</v>
      </c>
    </row>
    <row r="206" spans="1:8" ht="15" customHeight="1" x14ac:dyDescent="0.25">
      <c r="A206">
        <v>890400372</v>
      </c>
      <c r="B206" t="str">
        <f>VLOOKUP(A206,'[1]DEPURACION FINAL TRAB'!$A$1:$N$855,2,0)</f>
        <v>RAFAEL DEL CASTILLO &amp; CIA. S.A.</v>
      </c>
      <c r="C206">
        <f>VLOOKUP(A206,'[1]DEPURACION FINAL TRAB'!$1:$1048576,3,0)</f>
        <v>6625027</v>
      </c>
      <c r="D206" t="s">
        <v>2613</v>
      </c>
      <c r="E206" t="s">
        <v>3050</v>
      </c>
      <c r="F206" s="17" t="s">
        <v>374</v>
      </c>
      <c r="G206">
        <v>8756360</v>
      </c>
      <c r="H206">
        <v>219</v>
      </c>
    </row>
    <row r="207" spans="1:8" ht="15" customHeight="1" x14ac:dyDescent="0.25">
      <c r="A207">
        <v>901582696</v>
      </c>
      <c r="B207" t="str">
        <f>VLOOKUP(A207,'[1]DEPURACION FINAL TRAB'!$A$1:$N$855,2,0)</f>
        <v>SOLCOR COLOMBIA S.A.S.</v>
      </c>
      <c r="C207" t="str">
        <f>VLOOKUP(A207,'[1]DEPURACION FINAL TRAB'!$1:$1048576,3,0)</f>
        <v>304 4644317</v>
      </c>
      <c r="D207" t="s">
        <v>2656</v>
      </c>
      <c r="E207" t="s">
        <v>3087</v>
      </c>
      <c r="F207" s="17" t="s">
        <v>419</v>
      </c>
      <c r="G207">
        <v>8764362.75</v>
      </c>
      <c r="H207">
        <v>219</v>
      </c>
    </row>
    <row r="208" spans="1:8" ht="15" customHeight="1" x14ac:dyDescent="0.25">
      <c r="A208">
        <v>802019339</v>
      </c>
      <c r="B208" t="str">
        <f>VLOOKUP(A208,'[1]DEPURACION FINAL TRAB'!$A$1:$N$855,2,0)</f>
        <v>ADAMA ANDINA B.V SUCURSAL COLOMBIA</v>
      </c>
      <c r="C208">
        <v>0</v>
      </c>
      <c r="D208" t="s">
        <v>2268</v>
      </c>
      <c r="E208" t="s">
        <v>2723</v>
      </c>
      <c r="F208" s="17" t="s">
        <v>374</v>
      </c>
      <c r="G208">
        <v>8778839.5999999996</v>
      </c>
      <c r="H208">
        <v>219</v>
      </c>
    </row>
    <row r="209" spans="1:8" ht="15" customHeight="1" x14ac:dyDescent="0.25">
      <c r="A209">
        <v>860025900</v>
      </c>
      <c r="B209" t="str">
        <f>VLOOKUP(A209,'[1]DEPURACION FINAL TRAB'!$A$1:$N$855,2,0)</f>
        <v>ALPINA  PRODUCTOS ALIMENTICIOS S.A. BIC</v>
      </c>
      <c r="C209">
        <v>0</v>
      </c>
      <c r="D209" t="s">
        <v>2283</v>
      </c>
      <c r="E209" t="s">
        <v>2738</v>
      </c>
      <c r="F209" s="17" t="s">
        <v>1255</v>
      </c>
      <c r="G209">
        <v>8866325.0200000014</v>
      </c>
      <c r="H209">
        <v>219</v>
      </c>
    </row>
    <row r="210" spans="1:8" ht="15" customHeight="1" x14ac:dyDescent="0.25">
      <c r="A210">
        <v>900072631</v>
      </c>
      <c r="B210" t="str">
        <f>VLOOKUP(A210,'[1]DEPURACION FINAL TRAB'!$A$1:$N$855,2,0)</f>
        <v>ASISTENCIA TECNICA COLOMBIA CIA LTDA</v>
      </c>
      <c r="C210">
        <v>0</v>
      </c>
      <c r="D210" t="s">
        <v>2290</v>
      </c>
      <c r="E210" t="s">
        <v>2743</v>
      </c>
      <c r="F210" s="17" t="s">
        <v>419</v>
      </c>
      <c r="G210">
        <v>8928480</v>
      </c>
      <c r="H210">
        <v>219</v>
      </c>
    </row>
    <row r="211" spans="1:8" ht="15" customHeight="1" x14ac:dyDescent="0.25">
      <c r="A211">
        <v>860002536</v>
      </c>
      <c r="B211" t="str">
        <f>VLOOKUP(A211,'[1]DEPURACION FINAL TRAB'!$A$1:$N$855,2,0)</f>
        <v>COMPAÑIA COLOMBIANA DE CERAMICA S A S</v>
      </c>
      <c r="C211" t="str">
        <f>VLOOKUP(A211,'[1]DEPURACION FINAL TRAB'!$1:$1048576,3,0)</f>
        <v>16446700</v>
      </c>
      <c r="D211" t="s">
        <v>2361</v>
      </c>
      <c r="E211" t="s">
        <v>2812</v>
      </c>
      <c r="F211" s="17" t="s">
        <v>1273</v>
      </c>
      <c r="G211">
        <v>8943885</v>
      </c>
      <c r="H211">
        <v>219</v>
      </c>
    </row>
    <row r="212" spans="1:8" ht="15" customHeight="1" x14ac:dyDescent="0.25">
      <c r="A212">
        <v>860401496</v>
      </c>
      <c r="B212" t="str">
        <f>VLOOKUP(A212,'[1]DEPURACION FINAL TRAB'!$A$1:$N$855,2,0)</f>
        <v>UNIVERSIDAD ECCI</v>
      </c>
      <c r="C212">
        <v>0</v>
      </c>
      <c r="D212" t="s">
        <v>2702</v>
      </c>
      <c r="E212" t="s">
        <v>3129</v>
      </c>
      <c r="F212" s="17" t="s">
        <v>419</v>
      </c>
      <c r="G212">
        <v>9000000</v>
      </c>
      <c r="H212">
        <v>334</v>
      </c>
    </row>
    <row r="213" spans="1:8" ht="15" customHeight="1" x14ac:dyDescent="0.25">
      <c r="A213">
        <v>901090134</v>
      </c>
      <c r="B213" t="str">
        <f>VLOOKUP(A213,'[1]DEPURACION FINAL TRAB'!$A$1:$N$855,2,0)</f>
        <v>MAQUIMPACK S.A.S.</v>
      </c>
      <c r="C213" t="str">
        <f>VLOOKUP(A213,'[1]DEPURACION FINAL TRAB'!$1:$1048576,3,0)</f>
        <v>313 2087960</v>
      </c>
      <c r="D213" t="s">
        <v>2548</v>
      </c>
      <c r="E213" t="s">
        <v>2730</v>
      </c>
      <c r="F213" s="17" t="s">
        <v>419</v>
      </c>
      <c r="G213">
        <v>9060720</v>
      </c>
      <c r="H213">
        <v>219</v>
      </c>
    </row>
    <row r="214" spans="1:8" ht="15" customHeight="1" x14ac:dyDescent="0.25">
      <c r="A214">
        <v>980646420</v>
      </c>
      <c r="B214" t="str">
        <f>VLOOKUP(A214,'[1]DEPURACION FINAL TRAB'!$A$1:$N$855,2,0)</f>
        <v>ELINCA ELECTRONIC CORPORATION</v>
      </c>
      <c r="C214" t="str">
        <f>VLOOKUP(A214,'[1]DEPURACION FINAL TRAB'!$1:$1048576,3,0)</f>
        <v>N/A</v>
      </c>
      <c r="D214" t="s">
        <v>2261</v>
      </c>
      <c r="E214" t="s">
        <v>2720</v>
      </c>
      <c r="F214" s="17" t="s">
        <v>1259</v>
      </c>
      <c r="G214">
        <v>9210399.8200000003</v>
      </c>
      <c r="H214">
        <v>219</v>
      </c>
    </row>
    <row r="215" spans="1:8" ht="15" customHeight="1" x14ac:dyDescent="0.25">
      <c r="A215">
        <v>830056322</v>
      </c>
      <c r="B215" t="str">
        <f>VLOOKUP(A215,'[1]DEPURACION FINAL TRAB'!$A$1:$N$855,2,0)</f>
        <v>SAYTEC DE COLOMBIA S.A.S</v>
      </c>
      <c r="C215">
        <v>0</v>
      </c>
      <c r="D215" t="s">
        <v>2633</v>
      </c>
      <c r="E215" t="s">
        <v>3024</v>
      </c>
      <c r="F215" s="17" t="s">
        <v>1259</v>
      </c>
      <c r="G215">
        <v>9231555</v>
      </c>
      <c r="H215">
        <v>219</v>
      </c>
    </row>
    <row r="216" spans="1:8" ht="15" customHeight="1" x14ac:dyDescent="0.25">
      <c r="A216">
        <v>900300096</v>
      </c>
      <c r="B216" t="str">
        <f>VLOOKUP(A216,'[1]DEPURACION FINAL TRAB'!$A$1:$N$855,2,0)</f>
        <v>CONSULTORIA E INGENIERIA ELECTRICA CIE SAS</v>
      </c>
      <c r="C216" t="str">
        <f>VLOOKUP(A216,'[1]DEPURACION FINAL TRAB'!$1:$1048576,3,0)</f>
        <v>311 8694033</v>
      </c>
      <c r="D216" t="s">
        <v>2377</v>
      </c>
      <c r="E216" t="s">
        <v>2829</v>
      </c>
      <c r="F216" s="17" t="s">
        <v>3143</v>
      </c>
      <c r="G216">
        <v>9277419.3000000007</v>
      </c>
      <c r="H216">
        <v>219</v>
      </c>
    </row>
    <row r="217" spans="1:8" ht="15" customHeight="1" x14ac:dyDescent="0.25">
      <c r="A217">
        <v>830098396</v>
      </c>
      <c r="B217" t="str">
        <f>VLOOKUP(A217,'[1]DEPURACION FINAL TRAB'!$A$1:$N$855,2,0)</f>
        <v>FARMOQUING S.A.S.</v>
      </c>
      <c r="C217">
        <v>0</v>
      </c>
      <c r="D217" t="s">
        <v>2440</v>
      </c>
      <c r="E217" t="s">
        <v>2887</v>
      </c>
      <c r="F217" s="17" t="s">
        <v>419</v>
      </c>
      <c r="G217">
        <v>9306088.4900000002</v>
      </c>
      <c r="H217">
        <v>219</v>
      </c>
    </row>
    <row r="218" spans="1:8" ht="15" customHeight="1" x14ac:dyDescent="0.25">
      <c r="A218">
        <v>830129417</v>
      </c>
      <c r="B218" t="str">
        <f>VLOOKUP(A218,'[1]DEPURACION FINAL TRAB'!$A$1:$N$855,2,0)</f>
        <v>INGENIERIA AVANZADA DE COLOMBIA LTDA</v>
      </c>
      <c r="C218" t="str">
        <f>VLOOKUP(A218,'[1]DEPURACION FINAL TRAB'!$1:$1048576,3,0)</f>
        <v>4717290</v>
      </c>
      <c r="D218" t="s">
        <v>2509</v>
      </c>
      <c r="E218" t="s">
        <v>2953</v>
      </c>
      <c r="F218" s="17" t="s">
        <v>419</v>
      </c>
      <c r="G218">
        <v>9370212.3200000003</v>
      </c>
      <c r="H218">
        <v>219</v>
      </c>
    </row>
    <row r="219" spans="1:8" ht="15" customHeight="1" x14ac:dyDescent="0.25">
      <c r="A219">
        <v>901504227</v>
      </c>
      <c r="B219" t="str">
        <f>VLOOKUP(A219,'[1]DEPURACION FINAL TRAB'!$A$1:$N$855,2,0)</f>
        <v>CLAUGER COLOMBIA SAS</v>
      </c>
      <c r="C219" t="str">
        <f>VLOOKUP(A219,'[1]DEPURACION FINAL TRAB'!$1:$1048576,3,0)</f>
        <v>310 3998383</v>
      </c>
      <c r="D219" t="s">
        <v>2347</v>
      </c>
      <c r="E219" t="s">
        <v>2797</v>
      </c>
      <c r="F219" s="17" t="s">
        <v>419</v>
      </c>
      <c r="G219">
        <v>9405800.379999999</v>
      </c>
      <c r="H219">
        <v>219</v>
      </c>
    </row>
    <row r="220" spans="1:8" ht="15" customHeight="1" x14ac:dyDescent="0.25">
      <c r="A220">
        <v>891300238</v>
      </c>
      <c r="B220" t="str">
        <f>VLOOKUP(A220,'[1]DEPURACION FINAL TRAB'!$A$1:$N$855,2,0)</f>
        <v>INGENIO PROVIDENCIA S.A.</v>
      </c>
      <c r="C220">
        <v>0</v>
      </c>
      <c r="D220" t="s">
        <v>2515</v>
      </c>
      <c r="E220" t="s">
        <v>2959</v>
      </c>
      <c r="F220" s="17" t="s">
        <v>2216</v>
      </c>
      <c r="G220">
        <v>9426423.1900000013</v>
      </c>
      <c r="H220">
        <v>219</v>
      </c>
    </row>
    <row r="221" spans="1:8" ht="15" customHeight="1" x14ac:dyDescent="0.25">
      <c r="A221">
        <v>900570964</v>
      </c>
      <c r="B221" t="str">
        <f>VLOOKUP(A221,'[1]DEPURACION FINAL TRAB'!$A$1:$N$855,2,0)</f>
        <v>ULTRACEM SAS</v>
      </c>
      <c r="C221">
        <v>0</v>
      </c>
      <c r="D221" t="s">
        <v>2696</v>
      </c>
      <c r="E221" t="s">
        <v>3123</v>
      </c>
      <c r="F221" s="17" t="s">
        <v>376</v>
      </c>
      <c r="G221">
        <v>9443840</v>
      </c>
      <c r="H221">
        <v>219</v>
      </c>
    </row>
    <row r="222" spans="1:8" ht="15" customHeight="1" x14ac:dyDescent="0.25">
      <c r="A222">
        <v>802019339</v>
      </c>
      <c r="B222" t="str">
        <f>VLOOKUP(A222,'[1]DEPURACION FINAL TRAB'!$A$1:$N$855,2,0)</f>
        <v>ADAMA ANDINA B.V SUCURSAL COLOMBIA</v>
      </c>
      <c r="C222">
        <v>0</v>
      </c>
      <c r="D222" t="s">
        <v>2268</v>
      </c>
      <c r="E222" t="s">
        <v>2723</v>
      </c>
      <c r="F222" s="17" t="s">
        <v>374</v>
      </c>
      <c r="G222">
        <v>9472512</v>
      </c>
      <c r="H222">
        <v>219</v>
      </c>
    </row>
    <row r="223" spans="1:8" ht="15" customHeight="1" x14ac:dyDescent="0.25">
      <c r="A223">
        <v>901061156</v>
      </c>
      <c r="B223" t="str">
        <f>VLOOKUP(A223,'[1]DEPURACION FINAL TRAB'!$A$1:$N$855,2,0)</f>
        <v>GENESYS AUTOMATION SAS</v>
      </c>
      <c r="C223" t="str">
        <f>VLOOKUP(A223,'[1]DEPURACION FINAL TRAB'!$1:$1048576,3,0)</f>
        <v>316 4310949</v>
      </c>
      <c r="D223" t="s">
        <v>2462</v>
      </c>
      <c r="E223" t="s">
        <v>2906</v>
      </c>
      <c r="F223" s="17" t="s">
        <v>419</v>
      </c>
      <c r="G223">
        <v>9518041.5999999996</v>
      </c>
      <c r="H223">
        <v>219</v>
      </c>
    </row>
    <row r="224" spans="1:8" ht="15" customHeight="1" x14ac:dyDescent="0.25">
      <c r="A224">
        <v>901259368</v>
      </c>
      <c r="B224" t="str">
        <f>VLOOKUP(A224,'[1]DEPURACION FINAL TRAB'!$A$1:$N$855,2,0)</f>
        <v>TOTAL ELECTRICOS INDUSTRIALES S.A.S</v>
      </c>
      <c r="C224">
        <f>VLOOKUP(A224,'[1]DEPURACION FINAL TRAB'!$1:$1048576,3,0)</f>
        <v>0</v>
      </c>
      <c r="D224" t="s">
        <v>2689</v>
      </c>
      <c r="E224" t="s">
        <v>3116</v>
      </c>
      <c r="F224" s="17" t="s">
        <v>439</v>
      </c>
      <c r="G224">
        <v>9612907.8100000005</v>
      </c>
      <c r="H224">
        <v>219</v>
      </c>
    </row>
    <row r="225" spans="1:8" ht="15" customHeight="1" x14ac:dyDescent="0.25">
      <c r="A225">
        <v>890307682</v>
      </c>
      <c r="B225" t="str">
        <f>VLOOKUP(A225,'[1]DEPURACION FINAL TRAB'!$A$1:$N$855,2,0)</f>
        <v>PLASTICOS FENIX S.A.S.</v>
      </c>
      <c r="C225">
        <v>0</v>
      </c>
      <c r="D225" t="s">
        <v>2589</v>
      </c>
      <c r="E225" t="s">
        <v>3025</v>
      </c>
      <c r="F225" s="17" t="s">
        <v>1814</v>
      </c>
      <c r="G225">
        <v>9700000</v>
      </c>
      <c r="H225">
        <v>219</v>
      </c>
    </row>
    <row r="226" spans="1:8" ht="15" customHeight="1" x14ac:dyDescent="0.25">
      <c r="A226">
        <v>890205091</v>
      </c>
      <c r="B226" t="str">
        <f>VLOOKUP(A226,'[1]DEPURACION FINAL TRAB'!$A$1:$N$855,2,0)</f>
        <v>PRECOCIDOS DEL ORIENTE SAS</v>
      </c>
      <c r="C226">
        <f>VLOOKUP(A226,'[1]DEPURACION FINAL TRAB'!$1:$1048576,3,0)</f>
        <v>0</v>
      </c>
      <c r="D226" t="s">
        <v>2597</v>
      </c>
      <c r="E226" t="s">
        <v>3032</v>
      </c>
      <c r="F226" s="17" t="s">
        <v>382</v>
      </c>
      <c r="G226">
        <v>9747935.6999999993</v>
      </c>
      <c r="H226">
        <v>219</v>
      </c>
    </row>
    <row r="227" spans="1:8" ht="15" customHeight="1" x14ac:dyDescent="0.25">
      <c r="A227">
        <v>890101815</v>
      </c>
      <c r="B227" t="str">
        <f>VLOOKUP(A227,'[1]DEPURACION FINAL TRAB'!$A$1:$N$855,2,0)</f>
        <v>KENVUE COLOMBIA S.A.</v>
      </c>
      <c r="C227" t="str">
        <f>VLOOKUP(A227,'[1]DEPURACION FINAL TRAB'!$1:$1048576,3,0)</f>
        <v>11</v>
      </c>
      <c r="D227" t="s">
        <v>2531</v>
      </c>
      <c r="E227" t="s">
        <v>2972</v>
      </c>
      <c r="F227" s="17" t="s">
        <v>2222</v>
      </c>
      <c r="G227">
        <v>9800000</v>
      </c>
      <c r="H227">
        <v>334</v>
      </c>
    </row>
    <row r="228" spans="1:8" ht="15" customHeight="1" x14ac:dyDescent="0.25">
      <c r="A228">
        <v>901441661</v>
      </c>
      <c r="B228" t="str">
        <f>VLOOKUP(A228,'[1]DEPURACION FINAL TRAB'!$A$1:$N$855,2,0)</f>
        <v>INDUSTRIAL IOT STUDIO SAS</v>
      </c>
      <c r="C228" t="str">
        <f>VLOOKUP(A228,'[1]DEPURACION FINAL TRAB'!$1:$1048576,3,0)</f>
        <v>313 4998766</v>
      </c>
      <c r="D228" t="s">
        <v>2502</v>
      </c>
      <c r="E228" t="s">
        <v>2946</v>
      </c>
      <c r="F228" s="17" t="s">
        <v>419</v>
      </c>
      <c r="G228">
        <v>9840620.8300000001</v>
      </c>
      <c r="H228">
        <v>219</v>
      </c>
    </row>
    <row r="229" spans="1:8" ht="15" customHeight="1" x14ac:dyDescent="0.25">
      <c r="A229">
        <v>805002719</v>
      </c>
      <c r="B229" t="str">
        <f>VLOOKUP(A229,'[1]DEPURACION FINAL TRAB'!$A$1:$N$855,2,0)</f>
        <v>CONTROL DE PROCESOS INDUSTRIALES CPI S.A.S.</v>
      </c>
      <c r="C229">
        <v>0</v>
      </c>
      <c r="D229" t="s">
        <v>2378</v>
      </c>
      <c r="E229" t="s">
        <v>2730</v>
      </c>
      <c r="F229" s="17" t="s">
        <v>374</v>
      </c>
      <c r="G229">
        <v>9849122.9100000001</v>
      </c>
      <c r="H229">
        <v>219</v>
      </c>
    </row>
    <row r="230" spans="1:8" ht="15" customHeight="1" x14ac:dyDescent="0.25">
      <c r="A230">
        <v>815000863</v>
      </c>
      <c r="B230" t="str">
        <f>VLOOKUP(A230,'[1]DEPURACION FINAL TRAB'!$A$1:$N$855,2,0)</f>
        <v>AVIDESA DE OCCIDENTE S.A.</v>
      </c>
      <c r="C230">
        <v>0</v>
      </c>
      <c r="D230" t="s">
        <v>2303</v>
      </c>
      <c r="E230" t="s">
        <v>2755</v>
      </c>
      <c r="F230" s="17" t="s">
        <v>1587</v>
      </c>
      <c r="G230">
        <v>9855920</v>
      </c>
      <c r="H230">
        <v>219</v>
      </c>
    </row>
    <row r="231" spans="1:8" ht="15" customHeight="1" x14ac:dyDescent="0.25">
      <c r="A231">
        <v>900976727</v>
      </c>
      <c r="B231" t="str">
        <f>VLOOKUP(A231,'[1]DEPURACION FINAL TRAB'!$A$1:$N$855,2,0)</f>
        <v>IDEAL SOLUTIONS S.A.S.</v>
      </c>
      <c r="C231">
        <v>0</v>
      </c>
      <c r="D231" t="s">
        <v>2281</v>
      </c>
      <c r="E231" t="s">
        <v>2730</v>
      </c>
      <c r="F231" s="17" t="s">
        <v>1245</v>
      </c>
      <c r="G231">
        <v>9888475.8399999999</v>
      </c>
      <c r="H231">
        <v>219</v>
      </c>
    </row>
    <row r="232" spans="1:8" ht="15" customHeight="1" x14ac:dyDescent="0.25">
      <c r="A232">
        <v>900158025</v>
      </c>
      <c r="B232" t="str">
        <f>VLOOKUP(A232,'[1]DEPURACION FINAL TRAB'!$A$1:$N$855,2,0)</f>
        <v>GEA ANDINA S.A.S</v>
      </c>
      <c r="C232">
        <v>0</v>
      </c>
      <c r="D232" t="s">
        <v>2461</v>
      </c>
      <c r="E232" t="s">
        <v>2905</v>
      </c>
      <c r="F232" s="17" t="s">
        <v>419</v>
      </c>
      <c r="G232">
        <v>9959172.8100000005</v>
      </c>
      <c r="H232">
        <v>219</v>
      </c>
    </row>
    <row r="233" spans="1:8" ht="15" customHeight="1" x14ac:dyDescent="0.25">
      <c r="A233">
        <v>830002711</v>
      </c>
      <c r="B233" t="str">
        <f>VLOOKUP(A233,'[1]DEPURACION FINAL TRAB'!$A$1:$N$855,2,0)</f>
        <v>SWCOL SAS</v>
      </c>
      <c r="C233" t="str">
        <f>VLOOKUP(A233,'[1]DEPURACION FINAL TRAB'!$1:$1048576,3,0)</f>
        <v>16423500</v>
      </c>
      <c r="D233" t="s">
        <v>2672</v>
      </c>
      <c r="E233" t="s">
        <v>3102</v>
      </c>
      <c r="F233" s="17" t="s">
        <v>419</v>
      </c>
      <c r="G233">
        <v>10065742.289999999</v>
      </c>
      <c r="H233">
        <v>219</v>
      </c>
    </row>
    <row r="234" spans="1:8" ht="15" customHeight="1" x14ac:dyDescent="0.25">
      <c r="A234">
        <v>900015051</v>
      </c>
      <c r="B234" t="str">
        <f>VLOOKUP(A234,'[1]DEPURACION FINAL TRAB'!$A$1:$N$855,2,0)</f>
        <v>ACEITES MANUELITA S.A.</v>
      </c>
      <c r="C234">
        <v>0</v>
      </c>
      <c r="D234" t="s">
        <v>2263</v>
      </c>
      <c r="E234" t="s">
        <v>2718</v>
      </c>
      <c r="F234" s="17" t="s">
        <v>1549</v>
      </c>
      <c r="G234">
        <v>10250000</v>
      </c>
      <c r="H234">
        <v>219</v>
      </c>
    </row>
    <row r="235" spans="1:8" ht="15" customHeight="1" x14ac:dyDescent="0.25">
      <c r="A235">
        <v>890321256</v>
      </c>
      <c r="B235" t="str">
        <f>VLOOKUP(A235,'[1]DEPURACION FINAL TRAB'!$A$1:$N$855,2,0)</f>
        <v>SISTEMAS ELECTRONICOS S.A.S</v>
      </c>
      <c r="C235">
        <f>VLOOKUP(A235,'[1]DEPURACION FINAL TRAB'!$1:$1048576,3,0)</f>
        <v>5566000</v>
      </c>
      <c r="D235" t="s">
        <v>2650</v>
      </c>
      <c r="E235" t="s">
        <v>3080</v>
      </c>
      <c r="F235" s="17" t="s">
        <v>2205</v>
      </c>
      <c r="G235">
        <v>10266962.32</v>
      </c>
      <c r="H235">
        <v>219</v>
      </c>
    </row>
    <row r="236" spans="1:8" ht="15" customHeight="1" x14ac:dyDescent="0.25">
      <c r="A236">
        <v>900951629</v>
      </c>
      <c r="B236" t="str">
        <f>VLOOKUP(A236,'[1]DEPURACION FINAL TRAB'!$A$1:$N$855,2,0)</f>
        <v>CUSTOM  CONTROL COLOMBIA S.A.S</v>
      </c>
      <c r="C236" t="str">
        <f>VLOOKUP(A236,'[1]DEPURACION FINAL TRAB'!$1:$1048576,3,0)</f>
        <v>316 7154523</v>
      </c>
      <c r="D236" t="s">
        <v>2391</v>
      </c>
      <c r="E236" t="s">
        <v>2840</v>
      </c>
      <c r="F236" s="17" t="s">
        <v>419</v>
      </c>
      <c r="G236">
        <v>10314720</v>
      </c>
      <c r="H236">
        <v>219</v>
      </c>
    </row>
    <row r="237" spans="1:8" ht="15" customHeight="1" x14ac:dyDescent="0.25">
      <c r="A237">
        <v>800000750</v>
      </c>
      <c r="B237" t="str">
        <f>VLOOKUP(A237,'[1]DEPURACION FINAL TRAB'!$A$1:$N$855,2,0)</f>
        <v>PETROSANTANDER (COLOMBIA) GMBH</v>
      </c>
      <c r="C237" t="str">
        <f>VLOOKUP(A237,'[1]DEPURACION FINAL TRAB'!$1:$1048576,3,0)</f>
        <v>13493660</v>
      </c>
      <c r="D237" t="s">
        <v>2587</v>
      </c>
      <c r="E237" t="s">
        <v>3023</v>
      </c>
      <c r="F237" s="17" t="s">
        <v>419</v>
      </c>
      <c r="G237">
        <v>10329770.640000001</v>
      </c>
      <c r="H237">
        <v>219</v>
      </c>
    </row>
    <row r="238" spans="1:8" ht="15" customHeight="1" x14ac:dyDescent="0.25">
      <c r="A238">
        <v>830002805</v>
      </c>
      <c r="B238" t="str">
        <f>VLOOKUP(A238,'[1]DEPURACION FINAL TRAB'!$A$1:$N$855,2,0)</f>
        <v>INVERSIONES ROMERO MERCHAN SAS</v>
      </c>
      <c r="C238" t="str">
        <f>VLOOKUP(A238,'[1]DEPURACION FINAL TRAB'!$1:$1048576,3,0)</f>
        <v>311 8260818</v>
      </c>
      <c r="D238" t="s">
        <v>2527</v>
      </c>
      <c r="E238" t="s">
        <v>2969</v>
      </c>
      <c r="F238" s="17" t="s">
        <v>419</v>
      </c>
      <c r="G238">
        <v>10571418.359999999</v>
      </c>
      <c r="H238">
        <v>219</v>
      </c>
    </row>
    <row r="239" spans="1:8" ht="15" customHeight="1" x14ac:dyDescent="0.25">
      <c r="A239">
        <v>900747824</v>
      </c>
      <c r="B239" t="str">
        <f>VLOOKUP(A239,'[1]DEPURACION FINAL TRAB'!$A$1:$N$855,2,0)</f>
        <v>ENG SUPPORTS S.A.S.</v>
      </c>
      <c r="C239">
        <v>0</v>
      </c>
      <c r="D239" t="s">
        <v>2426</v>
      </c>
      <c r="E239" t="s">
        <v>2872</v>
      </c>
      <c r="F239" s="17" t="s">
        <v>2216</v>
      </c>
      <c r="G239">
        <v>10623809.559999999</v>
      </c>
      <c r="H239">
        <v>219</v>
      </c>
    </row>
    <row r="240" spans="1:8" ht="15" customHeight="1" x14ac:dyDescent="0.25">
      <c r="A240">
        <v>901228288</v>
      </c>
      <c r="B240" t="str">
        <f>VLOOKUP(A240,'[1]DEPURACION FINAL TRAB'!$A$1:$N$855,2,0)</f>
        <v>ENVASES PHOENIX DE CARTAGENA S.A.S.</v>
      </c>
      <c r="C240">
        <v>0</v>
      </c>
      <c r="D240" t="s">
        <v>2428</v>
      </c>
      <c r="E240" t="s">
        <v>2874</v>
      </c>
      <c r="F240" s="17" t="s">
        <v>439</v>
      </c>
      <c r="G240">
        <v>10664000</v>
      </c>
      <c r="H240">
        <v>219</v>
      </c>
    </row>
    <row r="241" spans="1:8" ht="15" customHeight="1" x14ac:dyDescent="0.25">
      <c r="A241">
        <v>900693626</v>
      </c>
      <c r="B241" t="str">
        <f>VLOOKUP(A241,'[1]DEPURACION FINAL TRAB'!$A$1:$N$855,2,0)</f>
        <v>METROINDUSTRIAL S.A.S.</v>
      </c>
      <c r="C241">
        <v>0</v>
      </c>
      <c r="D241" t="s">
        <v>2556</v>
      </c>
      <c r="E241" t="s">
        <v>2993</v>
      </c>
      <c r="F241" s="17" t="s">
        <v>2205</v>
      </c>
      <c r="G241">
        <v>10671075.720000001</v>
      </c>
      <c r="H241">
        <v>219</v>
      </c>
    </row>
    <row r="242" spans="1:8" ht="15" customHeight="1" x14ac:dyDescent="0.25">
      <c r="A242">
        <v>901082283</v>
      </c>
      <c r="B242" t="str">
        <f>VLOOKUP(A242,'[1]DEPURACION FINAL TRAB'!$A$1:$N$855,2,0)</f>
        <v>KOLCEM SAS</v>
      </c>
      <c r="C242">
        <f>VLOOKUP(A242,'[1]DEPURACION FINAL TRAB'!$1:$1048576,3,0)</f>
        <v>0</v>
      </c>
      <c r="D242" t="s">
        <v>2532</v>
      </c>
      <c r="E242" t="s">
        <v>2730</v>
      </c>
      <c r="F242" s="17" t="s">
        <v>2029</v>
      </c>
      <c r="G242">
        <v>10750568.870000001</v>
      </c>
      <c r="H242">
        <v>219</v>
      </c>
    </row>
    <row r="243" spans="1:8" ht="15" customHeight="1" x14ac:dyDescent="0.25">
      <c r="A243">
        <v>800158850</v>
      </c>
      <c r="B243" t="str">
        <f>VLOOKUP(A243,'[1]DEPURACION FINAL TRAB'!$A$1:$N$855,2,0)</f>
        <v>PACKING S.A.S</v>
      </c>
      <c r="C243">
        <v>0</v>
      </c>
      <c r="D243" t="s">
        <v>2576</v>
      </c>
      <c r="E243" t="s">
        <v>3013</v>
      </c>
      <c r="F243" s="17" t="s">
        <v>1259</v>
      </c>
      <c r="G243">
        <v>10816210</v>
      </c>
      <c r="H243">
        <v>219</v>
      </c>
    </row>
    <row r="244" spans="1:8" ht="15" customHeight="1" x14ac:dyDescent="0.25">
      <c r="A244">
        <v>890900281</v>
      </c>
      <c r="B244" t="str">
        <f>VLOOKUP(A244,'[1]DEPURACION FINAL TRAB'!$A$1:$N$855,2,0)</f>
        <v>INDUSTRIAS HACEB S.A.</v>
      </c>
      <c r="C244">
        <v>0</v>
      </c>
      <c r="D244" t="s">
        <v>2504</v>
      </c>
      <c r="E244" t="s">
        <v>2948</v>
      </c>
      <c r="F244" s="17" t="s">
        <v>342</v>
      </c>
      <c r="G244">
        <v>10820841.4</v>
      </c>
      <c r="H244">
        <v>219</v>
      </c>
    </row>
    <row r="245" spans="1:8" ht="15" customHeight="1" x14ac:dyDescent="0.25">
      <c r="A245">
        <v>900279088</v>
      </c>
      <c r="B245" t="str">
        <f>VLOOKUP(A245,'[1]DEPURACION FINAL TRAB'!$A$1:$N$855,2,0)</f>
        <v>TDMEK SAS</v>
      </c>
      <c r="C245">
        <v>0</v>
      </c>
      <c r="D245" t="s">
        <v>2673</v>
      </c>
      <c r="E245" t="s">
        <v>2730</v>
      </c>
      <c r="F245" s="17" t="s">
        <v>1820</v>
      </c>
      <c r="G245">
        <v>10920000</v>
      </c>
      <c r="H245">
        <v>219</v>
      </c>
    </row>
    <row r="246" spans="1:8" ht="15" customHeight="1" x14ac:dyDescent="0.25">
      <c r="A246">
        <v>900696793</v>
      </c>
      <c r="B246" t="str">
        <f>VLOOKUP(A246,'[1]DEPURACION FINAL TRAB'!$A$1:$N$855,2,0)</f>
        <v>INNGENIA S.A.S</v>
      </c>
      <c r="C246" t="str">
        <f>VLOOKUP(A246,'[1]DEPURACION FINAL TRAB'!$1:$1048576,3,0)</f>
        <v>316 3815714</v>
      </c>
      <c r="D246" t="s">
        <v>2518</v>
      </c>
      <c r="E246" t="s">
        <v>2730</v>
      </c>
      <c r="F246" s="17" t="s">
        <v>2205</v>
      </c>
      <c r="G246">
        <v>10936335.15</v>
      </c>
      <c r="H246">
        <v>219</v>
      </c>
    </row>
    <row r="247" spans="1:8" ht="15" customHeight="1" x14ac:dyDescent="0.25">
      <c r="A247">
        <v>805021980</v>
      </c>
      <c r="B247" t="str">
        <f>VLOOKUP(A247,'[1]DEPURACION FINAL TRAB'!$A$1:$N$855,2,0)</f>
        <v>METROINSTRUMENTS S.A.S</v>
      </c>
      <c r="C247" t="str">
        <f>VLOOKUP(A247,'[1]DEPURACION FINAL TRAB'!$1:$1048576,3,0)</f>
        <v>25242755</v>
      </c>
      <c r="D247" t="s">
        <v>2557</v>
      </c>
      <c r="E247" t="s">
        <v>2730</v>
      </c>
      <c r="F247" s="17" t="s">
        <v>2205</v>
      </c>
      <c r="G247">
        <v>10942367.140000001</v>
      </c>
      <c r="H247">
        <v>219</v>
      </c>
    </row>
    <row r="248" spans="1:8" ht="15" customHeight="1" x14ac:dyDescent="0.25">
      <c r="A248">
        <v>901198149</v>
      </c>
      <c r="B248" t="str">
        <f>VLOOKUP(A248,'[1]DEPURACION FINAL TRAB'!$A$1:$N$855,2,0)</f>
        <v>INDUSTRIAL DE VENTAS Y SERVICIOS SAS</v>
      </c>
      <c r="C248" t="str">
        <f>VLOOKUP(A248,'[1]DEPURACION FINAL TRAB'!$1:$1048576,3,0)</f>
        <v>321 4111969</v>
      </c>
      <c r="D248" t="s">
        <v>2501</v>
      </c>
      <c r="E248" t="s">
        <v>2945</v>
      </c>
      <c r="F248" s="17" t="s">
        <v>419</v>
      </c>
      <c r="G248">
        <v>10944343.859999999</v>
      </c>
      <c r="H248">
        <v>219</v>
      </c>
    </row>
    <row r="249" spans="1:8" ht="15" customHeight="1" x14ac:dyDescent="0.25">
      <c r="A249">
        <v>830081407</v>
      </c>
      <c r="B249" t="str">
        <f>VLOOKUP(A249,'[1]DEPURACION FINAL TRAB'!$A$1:$N$855,2,0)</f>
        <v>AJECOLOMBIA S.A.S</v>
      </c>
      <c r="C249">
        <v>0</v>
      </c>
      <c r="D249" t="s">
        <v>2273</v>
      </c>
      <c r="E249" t="s">
        <v>2728</v>
      </c>
      <c r="F249" s="17" t="s">
        <v>378</v>
      </c>
      <c r="G249">
        <v>10970136.689999999</v>
      </c>
      <c r="H249">
        <v>219</v>
      </c>
    </row>
    <row r="250" spans="1:8" ht="15" customHeight="1" x14ac:dyDescent="0.25">
      <c r="A250">
        <v>800061585</v>
      </c>
      <c r="B250" t="str">
        <f>VLOOKUP(A250,'[1]DEPURACION FINAL TRAB'!$A$1:$N$855,2,0)</f>
        <v>FESTO S.A.S</v>
      </c>
      <c r="C250">
        <f>VLOOKUP(A250,'[1]DEPURACION FINAL TRAB'!$1:$1048576,3,0)</f>
        <v>0</v>
      </c>
      <c r="D250" t="s">
        <v>2446</v>
      </c>
      <c r="E250" t="s">
        <v>2891</v>
      </c>
      <c r="F250" s="17" t="s">
        <v>419</v>
      </c>
      <c r="G250">
        <v>11006238.470000001</v>
      </c>
      <c r="H250">
        <v>219</v>
      </c>
    </row>
    <row r="251" spans="1:8" ht="15" customHeight="1" x14ac:dyDescent="0.25">
      <c r="A251">
        <v>816001182</v>
      </c>
      <c r="B251" t="str">
        <f>VLOOKUP(A251,'[1]DEPURACION FINAL TRAB'!$A$1:$N$855,2,0)</f>
        <v>AUDIFARMA S.A.</v>
      </c>
      <c r="C251">
        <f>VLOOKUP(A251,'[1]DEPURACION FINAL TRAB'!$1:$1048576,3,0)</f>
        <v>3137800</v>
      </c>
      <c r="D251" t="s">
        <v>2293</v>
      </c>
      <c r="E251" t="s">
        <v>2746</v>
      </c>
      <c r="F251" s="17" t="s">
        <v>1826</v>
      </c>
      <c r="G251">
        <v>11029600</v>
      </c>
      <c r="H251">
        <v>219</v>
      </c>
    </row>
    <row r="252" spans="1:8" ht="15" customHeight="1" x14ac:dyDescent="0.25">
      <c r="A252">
        <v>900468966</v>
      </c>
      <c r="B252" t="str">
        <f>VLOOKUP(A252,'[1]DEPURACION FINAL TRAB'!$A$1:$N$855,2,0)</f>
        <v>IMAQ SOLUTIONS &amp; SERVICES SAS</v>
      </c>
      <c r="C252">
        <v>0</v>
      </c>
      <c r="D252" t="s">
        <v>2495</v>
      </c>
      <c r="E252" t="s">
        <v>2938</v>
      </c>
      <c r="F252" s="17" t="s">
        <v>419</v>
      </c>
      <c r="G252">
        <v>11039800</v>
      </c>
      <c r="H252">
        <v>219</v>
      </c>
    </row>
    <row r="253" spans="1:8" ht="15" customHeight="1" x14ac:dyDescent="0.25">
      <c r="A253">
        <v>890316586</v>
      </c>
      <c r="B253" t="str">
        <f>VLOOKUP(A253,'[1]DEPURACION FINAL TRAB'!$A$1:$N$855,2,0)</f>
        <v>ELECTRONICA INDUSTRIAL COLOMBIANA GROUP S.A.S</v>
      </c>
      <c r="C253" t="str">
        <f>VLOOKUP(A253,'[1]DEPURACION FINAL TRAB'!$1:$1048576,3,0)</f>
        <v>4447441</v>
      </c>
      <c r="D253" t="s">
        <v>2413</v>
      </c>
      <c r="E253" t="s">
        <v>2861</v>
      </c>
      <c r="F253" s="17" t="s">
        <v>350</v>
      </c>
      <c r="G253">
        <v>11170443</v>
      </c>
      <c r="H253">
        <v>219</v>
      </c>
    </row>
    <row r="254" spans="1:8" ht="15" customHeight="1" x14ac:dyDescent="0.25">
      <c r="A254">
        <v>900397102</v>
      </c>
      <c r="B254" t="str">
        <f>VLOOKUP(A254,'[1]DEPURACION FINAL TRAB'!$A$1:$N$855,2,0)</f>
        <v>AUTOMATIZACION Y EQUIPOS DE CONTROL SAS</v>
      </c>
      <c r="C254">
        <v>0</v>
      </c>
      <c r="D254" t="s">
        <v>2296</v>
      </c>
      <c r="E254" t="s">
        <v>2749</v>
      </c>
      <c r="F254" s="17" t="s">
        <v>374</v>
      </c>
      <c r="G254">
        <v>11212040</v>
      </c>
      <c r="H254">
        <v>219</v>
      </c>
    </row>
    <row r="255" spans="1:8" ht="15" customHeight="1" x14ac:dyDescent="0.25">
      <c r="A255">
        <v>901840058</v>
      </c>
      <c r="B255" t="str">
        <f>VLOOKUP(A255,'[1]DEPURACION FINAL TRAB'!$A$1:$N$855,2,0)</f>
        <v>MAPA SERVICE SAS</v>
      </c>
      <c r="C255" t="str">
        <f>VLOOKUP(A255,'[1]DEPURACION FINAL TRAB'!$1:$1048576,3,0)</f>
        <v>300 7946846</v>
      </c>
      <c r="D255" t="s">
        <v>2546</v>
      </c>
      <c r="E255" t="s">
        <v>2984</v>
      </c>
      <c r="F255" s="17" t="s">
        <v>1269</v>
      </c>
      <c r="G255">
        <v>11410920.9</v>
      </c>
      <c r="H255">
        <v>334</v>
      </c>
    </row>
    <row r="256" spans="1:8" ht="15" customHeight="1" x14ac:dyDescent="0.25">
      <c r="A256">
        <v>860005224</v>
      </c>
      <c r="B256" t="str">
        <f>VLOOKUP(A256,'[1]DEPURACION FINAL TRAB'!$A$1:$N$855,2,0)</f>
        <v>BAVARIA &amp; CIA S C A</v>
      </c>
      <c r="C256" t="str">
        <f>VLOOKUP(A256,'[1]DEPURACION FINAL TRAB'!$1:$1048576,3,0)</f>
        <v>6389000</v>
      </c>
      <c r="D256" t="s">
        <v>2310</v>
      </c>
      <c r="E256" t="s">
        <v>2762</v>
      </c>
      <c r="F256" s="17" t="s">
        <v>1259</v>
      </c>
      <c r="G256">
        <v>11422078.34</v>
      </c>
      <c r="H256">
        <v>219</v>
      </c>
    </row>
    <row r="257" spans="1:8" ht="15" customHeight="1" x14ac:dyDescent="0.25">
      <c r="A257">
        <v>900031833</v>
      </c>
      <c r="B257" t="str">
        <f>VLOOKUP(A257,'[1]DEPURACION FINAL TRAB'!$A$1:$N$855,2,0)</f>
        <v>ALIMENTOS PIPPO SA</v>
      </c>
      <c r="C257">
        <v>0</v>
      </c>
      <c r="D257" t="s">
        <v>2279</v>
      </c>
      <c r="E257" t="s">
        <v>2734</v>
      </c>
      <c r="F257" s="17" t="s">
        <v>419</v>
      </c>
      <c r="G257">
        <v>11525380</v>
      </c>
      <c r="H257">
        <v>219</v>
      </c>
    </row>
    <row r="258" spans="1:8" ht="15" customHeight="1" x14ac:dyDescent="0.25">
      <c r="A258">
        <v>860006333</v>
      </c>
      <c r="B258" t="str">
        <f>VLOOKUP(A258,'[1]DEPURACION FINAL TRAB'!$A$1:$N$855,2,0)</f>
        <v>YARA COLOMBIA S.A</v>
      </c>
      <c r="C258">
        <v>0</v>
      </c>
      <c r="D258" t="s">
        <v>2281</v>
      </c>
      <c r="E258" t="s">
        <v>3139</v>
      </c>
      <c r="F258" s="17" t="s">
        <v>2169</v>
      </c>
      <c r="G258">
        <v>11551255.199999999</v>
      </c>
      <c r="H258">
        <v>219</v>
      </c>
    </row>
    <row r="259" spans="1:8" ht="15" customHeight="1" x14ac:dyDescent="0.25">
      <c r="A259">
        <v>800215347</v>
      </c>
      <c r="B259" t="str">
        <f>VLOOKUP(A259,'[1]DEPURACION FINAL TRAB'!$A$1:$N$855,2,0)</f>
        <v>TRANSPORTADORA DE METANO E.S.P S.A</v>
      </c>
      <c r="C259">
        <v>0</v>
      </c>
      <c r="D259" t="s">
        <v>2692</v>
      </c>
      <c r="E259" t="s">
        <v>3119</v>
      </c>
      <c r="F259" s="17" t="s">
        <v>352</v>
      </c>
      <c r="G259">
        <v>11565567.66</v>
      </c>
      <c r="H259">
        <v>219</v>
      </c>
    </row>
    <row r="260" spans="1:8" ht="15" customHeight="1" x14ac:dyDescent="0.25">
      <c r="A260">
        <v>860000656</v>
      </c>
      <c r="B260" t="str">
        <f>VLOOKUP(A260,'[1]DEPURACION FINAL TRAB'!$A$1:$N$855,2,0)</f>
        <v>HMV INGENIEROS LTDA</v>
      </c>
      <c r="C260" t="str">
        <f>VLOOKUP(A260,'[1]DEPURACION FINAL TRAB'!$1:$1048576,3,0)</f>
        <v>3706666</v>
      </c>
      <c r="D260" t="s">
        <v>2488</v>
      </c>
      <c r="E260" t="s">
        <v>2932</v>
      </c>
      <c r="F260" s="17" t="s">
        <v>419</v>
      </c>
      <c r="G260">
        <v>11642543.16</v>
      </c>
      <c r="H260">
        <v>219</v>
      </c>
    </row>
    <row r="261" spans="1:8" ht="15" customHeight="1" x14ac:dyDescent="0.25">
      <c r="A261">
        <v>1791345223001</v>
      </c>
      <c r="B261" t="str">
        <f>VLOOKUP(A261,'[1]DEPURACION FINAL TRAB'!$A$1:$N$855,2,0)</f>
        <v>AGROPLASTICOS CIA LTDA</v>
      </c>
      <c r="C261" t="str">
        <f>VLOOKUP(A261,'[1]DEPURACION FINAL TRAB'!$1:$1048576,3,0)</f>
        <v>7305900</v>
      </c>
      <c r="D261" t="s">
        <v>2270</v>
      </c>
      <c r="E261" t="s">
        <v>2720</v>
      </c>
      <c r="F261" s="17" t="s">
        <v>1259</v>
      </c>
      <c r="G261">
        <v>11890317.75</v>
      </c>
      <c r="H261">
        <v>219</v>
      </c>
    </row>
    <row r="262" spans="1:8" ht="15" customHeight="1" x14ac:dyDescent="0.25">
      <c r="A262">
        <v>900259539</v>
      </c>
      <c r="B262" t="str">
        <f>VLOOKUP(A262,'[1]DEPURACION FINAL TRAB'!$A$1:$N$855,2,0)</f>
        <v>INSTRUEQUIPOS INGENIERIA S.A.S</v>
      </c>
      <c r="C262">
        <v>0</v>
      </c>
      <c r="D262" t="s">
        <v>2522</v>
      </c>
      <c r="E262" t="s">
        <v>2964</v>
      </c>
      <c r="F262" s="17" t="s">
        <v>348</v>
      </c>
      <c r="G262">
        <v>11965440</v>
      </c>
      <c r="H262">
        <v>219</v>
      </c>
    </row>
    <row r="263" spans="1:8" ht="15" customHeight="1" x14ac:dyDescent="0.25">
      <c r="A263">
        <v>901309652</v>
      </c>
      <c r="B263" t="str">
        <f>VLOOKUP(A263,'[1]DEPURACION FINAL TRAB'!$A$1:$N$855,2,0)</f>
        <v>MACI INGENIERIA SAS</v>
      </c>
      <c r="C263">
        <v>0</v>
      </c>
      <c r="D263" t="s">
        <v>2542</v>
      </c>
      <c r="E263" t="s">
        <v>2730</v>
      </c>
      <c r="F263" s="17" t="s">
        <v>730</v>
      </c>
      <c r="G263">
        <v>12133448.58</v>
      </c>
      <c r="H263">
        <v>219</v>
      </c>
    </row>
    <row r="264" spans="1:8" ht="15" customHeight="1" x14ac:dyDescent="0.25">
      <c r="A264">
        <v>830024974</v>
      </c>
      <c r="B264" t="str">
        <f>VLOOKUP(A264,'[1]DEPURACION FINAL TRAB'!$A$1:$N$855,2,0)</f>
        <v>NATURA COSMETICOS LTDA</v>
      </c>
      <c r="C264">
        <f>VLOOKUP(A264,'[1]DEPURACION FINAL TRAB'!$1:$1048576,3,0)</f>
        <v>0</v>
      </c>
      <c r="D264" t="s">
        <v>2564</v>
      </c>
      <c r="E264" t="s">
        <v>3000</v>
      </c>
      <c r="F264" s="17" t="s">
        <v>234</v>
      </c>
      <c r="G264">
        <v>12255287.640000001</v>
      </c>
      <c r="H264">
        <v>219</v>
      </c>
    </row>
    <row r="265" spans="1:8" ht="15" customHeight="1" x14ac:dyDescent="0.25">
      <c r="A265">
        <v>890900285</v>
      </c>
      <c r="B265" t="str">
        <f>VLOOKUP(A265,'[1]DEPURACION FINAL TRAB'!$A$1:$N$855,2,0)</f>
        <v>COMPAÑIA DE EMPAQUES S.A</v>
      </c>
      <c r="C265">
        <v>0</v>
      </c>
      <c r="D265" t="s">
        <v>2362</v>
      </c>
      <c r="E265" t="s">
        <v>2813</v>
      </c>
      <c r="F265" s="17" t="s">
        <v>348</v>
      </c>
      <c r="G265">
        <v>12288200</v>
      </c>
      <c r="H265">
        <v>219</v>
      </c>
    </row>
    <row r="266" spans="1:8" ht="15" customHeight="1" x14ac:dyDescent="0.25">
      <c r="A266">
        <v>900235088</v>
      </c>
      <c r="B266" t="str">
        <f>VLOOKUP(A266,'[1]DEPURACION FINAL TRAB'!$A$1:$N$855,2,0)</f>
        <v>TECPETROL COLOMBIA SAS</v>
      </c>
      <c r="C266">
        <f>VLOOKUP(A266,'[1]DEPURACION FINAL TRAB'!$1:$1048576,3,0)</f>
        <v>3570000</v>
      </c>
      <c r="D266" t="s">
        <v>2680</v>
      </c>
      <c r="E266" t="s">
        <v>3108</v>
      </c>
      <c r="F266" s="17" t="s">
        <v>419</v>
      </c>
      <c r="G266">
        <v>12591976.5</v>
      </c>
      <c r="H266">
        <v>219</v>
      </c>
    </row>
    <row r="267" spans="1:8" ht="15" customHeight="1" x14ac:dyDescent="0.25">
      <c r="A267">
        <v>830054539</v>
      </c>
      <c r="B267" t="str">
        <f>VLOOKUP(A267,'[1]DEPURACION FINAL TRAB'!$A$1:$N$855,2,0)</f>
        <v>PATRIMONIOS AUTONOMOS FIDUCIARIA BANCOLOMBIA S.A</v>
      </c>
      <c r="C267">
        <f>VLOOKUP(A267,'[1]DEPURACION FINAL TRAB'!$1:$1048576,3,0)</f>
        <v>7456709</v>
      </c>
      <c r="D267" t="s">
        <v>2582</v>
      </c>
      <c r="E267" t="s">
        <v>2730</v>
      </c>
      <c r="F267" s="17" t="s">
        <v>419</v>
      </c>
      <c r="G267">
        <v>12775561.699999999</v>
      </c>
      <c r="H267">
        <v>334</v>
      </c>
    </row>
    <row r="268" spans="1:8" ht="15" customHeight="1" x14ac:dyDescent="0.25">
      <c r="A268">
        <v>800174904</v>
      </c>
      <c r="B268" t="str">
        <f>VLOOKUP(A268,'[1]DEPURACION FINAL TRAB'!$A$1:$N$855,2,0)</f>
        <v>ETIQUETAS E IMPRESOS S.A.</v>
      </c>
      <c r="C268">
        <v>0</v>
      </c>
      <c r="D268" t="s">
        <v>2434</v>
      </c>
      <c r="E268" t="s">
        <v>2881</v>
      </c>
      <c r="F268" s="17" t="s">
        <v>419</v>
      </c>
      <c r="G268">
        <v>12967760</v>
      </c>
      <c r="H268">
        <v>219</v>
      </c>
    </row>
    <row r="269" spans="1:8" ht="15" customHeight="1" x14ac:dyDescent="0.25">
      <c r="A269">
        <v>811000646</v>
      </c>
      <c r="B269" t="str">
        <f>VLOOKUP(A269,'[1]DEPURACION FINAL TRAB'!$A$1:$N$855,2,0)</f>
        <v>INCONTROL S.A.S</v>
      </c>
      <c r="C269">
        <f>VLOOKUP(A269,'[1]DEPURACION FINAL TRAB'!$1:$1048576,3,0)</f>
        <v>0</v>
      </c>
      <c r="D269" t="s">
        <v>2497</v>
      </c>
      <c r="E269" t="s">
        <v>2940</v>
      </c>
      <c r="F269" s="17" t="s">
        <v>344</v>
      </c>
      <c r="G269">
        <v>12981729.719999999</v>
      </c>
      <c r="H269">
        <v>219</v>
      </c>
    </row>
    <row r="270" spans="1:8" ht="15" customHeight="1" x14ac:dyDescent="0.25">
      <c r="A270">
        <v>900182014</v>
      </c>
      <c r="B270" t="str">
        <f>VLOOKUP(A270,'[1]DEPURACION FINAL TRAB'!$A$1:$N$855,2,0)</f>
        <v>VESTA INGENIERIA SAS</v>
      </c>
      <c r="C270">
        <v>0</v>
      </c>
      <c r="D270" t="s">
        <v>2706</v>
      </c>
      <c r="E270" t="s">
        <v>3132</v>
      </c>
      <c r="F270" s="17" t="s">
        <v>1945</v>
      </c>
      <c r="G270">
        <v>13091282.27</v>
      </c>
      <c r="H270">
        <v>219</v>
      </c>
    </row>
    <row r="271" spans="1:8" ht="15" customHeight="1" x14ac:dyDescent="0.25">
      <c r="A271">
        <v>900399762</v>
      </c>
      <c r="B271" t="str">
        <f>VLOOKUP(A271,'[1]DEPURACION FINAL TRAB'!$A$1:$N$855,2,0)</f>
        <v>ELECTRICOSDAR SAS</v>
      </c>
      <c r="C271">
        <v>0</v>
      </c>
      <c r="D271" t="s">
        <v>2411</v>
      </c>
      <c r="E271" t="s">
        <v>2859</v>
      </c>
      <c r="F271" s="17" t="s">
        <v>2205</v>
      </c>
      <c r="G271">
        <v>13119216.029999999</v>
      </c>
      <c r="H271">
        <v>219</v>
      </c>
    </row>
    <row r="272" spans="1:8" ht="15" customHeight="1" x14ac:dyDescent="0.25">
      <c r="A272">
        <v>1116235216</v>
      </c>
      <c r="B272" t="str">
        <f>VLOOKUP(A272,'[1]DEPURACION FINAL TRAB'!$A$1:$N$855,2,0)</f>
        <v xml:space="preserve">GUERRA ORTIZ EDGAR </v>
      </c>
      <c r="C272" t="str">
        <f>VLOOKUP(A272,'[1]DEPURACION FINAL TRAB'!$1:$1048576,3,0)</f>
        <v>321 7563999</v>
      </c>
      <c r="D272" t="s">
        <v>2478</v>
      </c>
      <c r="E272" t="s">
        <v>2921</v>
      </c>
      <c r="F272" s="17" t="s">
        <v>2205</v>
      </c>
      <c r="G272">
        <v>13324529.129999999</v>
      </c>
      <c r="H272">
        <v>219</v>
      </c>
    </row>
    <row r="273" spans="1:8" ht="15" customHeight="1" x14ac:dyDescent="0.25">
      <c r="A273">
        <v>860030605</v>
      </c>
      <c r="B273" t="str">
        <f>VLOOKUP(A273,'[1]DEPURACION FINAL TRAB'!$A$1:$N$855,2,0)</f>
        <v>FIRMENICH S.A.</v>
      </c>
      <c r="C273">
        <v>0</v>
      </c>
      <c r="D273" t="s">
        <v>2449</v>
      </c>
      <c r="E273" t="s">
        <v>2894</v>
      </c>
      <c r="F273" s="17" t="s">
        <v>419</v>
      </c>
      <c r="G273">
        <v>13354516.039999999</v>
      </c>
      <c r="H273">
        <v>219</v>
      </c>
    </row>
    <row r="274" spans="1:8" ht="15" customHeight="1" x14ac:dyDescent="0.25">
      <c r="A274">
        <v>901436272</v>
      </c>
      <c r="B274" t="str">
        <f>VLOOKUP(A274,'[1]DEPURACION FINAL TRAB'!$A$1:$N$855,2,0)</f>
        <v>INOXMAQUINAS SAS</v>
      </c>
      <c r="C274">
        <v>0</v>
      </c>
      <c r="D274" t="s">
        <v>2519</v>
      </c>
      <c r="E274" t="s">
        <v>2962</v>
      </c>
      <c r="F274" s="17" t="s">
        <v>419</v>
      </c>
      <c r="G274">
        <v>13606103.100000001</v>
      </c>
      <c r="H274">
        <v>219</v>
      </c>
    </row>
    <row r="275" spans="1:8" ht="15" customHeight="1" x14ac:dyDescent="0.25">
      <c r="A275">
        <v>900087414</v>
      </c>
      <c r="B275" t="str">
        <f>VLOOKUP(A275,'[1]DEPURACION FINAL TRAB'!$A$1:$N$855,2,0)</f>
        <v>RIOPAILA CASTILLA S.A.</v>
      </c>
      <c r="C275">
        <v>0</v>
      </c>
      <c r="D275" t="s">
        <v>2623</v>
      </c>
      <c r="E275" t="s">
        <v>3058</v>
      </c>
      <c r="F275" s="17" t="s">
        <v>2197</v>
      </c>
      <c r="G275">
        <v>13694752</v>
      </c>
      <c r="H275">
        <v>219</v>
      </c>
    </row>
    <row r="276" spans="1:8" ht="15" customHeight="1" x14ac:dyDescent="0.25">
      <c r="A276">
        <v>900015051</v>
      </c>
      <c r="B276" t="str">
        <f>VLOOKUP(A276,'[1]DEPURACION FINAL TRAB'!$A$1:$N$855,2,0)</f>
        <v>ACEITES MANUELITA S.A.</v>
      </c>
      <c r="C276">
        <v>0</v>
      </c>
      <c r="D276" t="s">
        <v>2263</v>
      </c>
      <c r="E276" t="s">
        <v>2718</v>
      </c>
      <c r="F276" s="17" t="s">
        <v>1549</v>
      </c>
      <c r="G276">
        <v>13762560</v>
      </c>
      <c r="H276">
        <v>219</v>
      </c>
    </row>
    <row r="277" spans="1:8" ht="15" customHeight="1" x14ac:dyDescent="0.25">
      <c r="A277">
        <v>800252103</v>
      </c>
      <c r="B277" t="str">
        <f>VLOOKUP(A277,'[1]DEPURACION FINAL TRAB'!$A$1:$N$855,2,0)</f>
        <v>IMSEL SAS</v>
      </c>
      <c r="C277">
        <v>0</v>
      </c>
      <c r="D277" t="s">
        <v>2496</v>
      </c>
      <c r="E277" t="s">
        <v>2939</v>
      </c>
      <c r="F277" s="17" t="s">
        <v>419</v>
      </c>
      <c r="G277">
        <v>13834676.280000001</v>
      </c>
      <c r="H277">
        <v>219</v>
      </c>
    </row>
    <row r="278" spans="1:8" ht="15" customHeight="1" x14ac:dyDescent="0.25">
      <c r="A278">
        <v>900012691</v>
      </c>
      <c r="B278" t="str">
        <f>VLOOKUP(A278,'[1]DEPURACION FINAL TRAB'!$A$1:$N$855,2,0)</f>
        <v>CALDERAS HB SAS</v>
      </c>
      <c r="C278">
        <v>0</v>
      </c>
      <c r="D278" t="s">
        <v>2326</v>
      </c>
      <c r="E278" t="s">
        <v>2778</v>
      </c>
      <c r="F278" s="17" t="s">
        <v>2205</v>
      </c>
      <c r="G278">
        <v>13836698.02</v>
      </c>
      <c r="H278">
        <v>219</v>
      </c>
    </row>
    <row r="279" spans="1:8" ht="15" customHeight="1" x14ac:dyDescent="0.25">
      <c r="A279">
        <v>900083863</v>
      </c>
      <c r="B279" t="str">
        <f>VLOOKUP(A279,'[1]DEPURACION FINAL TRAB'!$A$1:$N$855,2,0)</f>
        <v>CELEMA S.A.</v>
      </c>
      <c r="C279">
        <f>VLOOKUP(A279,'[1]DEPURACION FINAL TRAB'!$1:$1048576,3,0)</f>
        <v>9892322</v>
      </c>
      <c r="D279" t="s">
        <v>2335</v>
      </c>
      <c r="E279" t="s">
        <v>2787</v>
      </c>
      <c r="F279" s="17" t="s">
        <v>783</v>
      </c>
      <c r="G279">
        <v>13880400</v>
      </c>
      <c r="H279">
        <v>219</v>
      </c>
    </row>
    <row r="280" spans="1:8" ht="15" customHeight="1" x14ac:dyDescent="0.25">
      <c r="A280">
        <v>900014539</v>
      </c>
      <c r="B280" t="str">
        <f>VLOOKUP(A280,'[1]DEPURACION FINAL TRAB'!$A$1:$N$855,2,0)</f>
        <v>CONTROL Y SENSORES SAS</v>
      </c>
      <c r="C280" t="str">
        <f>VLOOKUP(A280,'[1]DEPURACION FINAL TRAB'!$1:$1048576,3,0)</f>
        <v>314 3955852</v>
      </c>
      <c r="D280" t="s">
        <v>2381</v>
      </c>
      <c r="E280" t="s">
        <v>2730</v>
      </c>
      <c r="F280" s="17" t="s">
        <v>419</v>
      </c>
      <c r="G280">
        <v>13956118.4</v>
      </c>
      <c r="H280">
        <v>219</v>
      </c>
    </row>
    <row r="281" spans="1:8" ht="15" customHeight="1" x14ac:dyDescent="0.25">
      <c r="A281">
        <v>901432582</v>
      </c>
      <c r="B281" t="str">
        <f>VLOOKUP(A281,'[1]DEPURACION FINAL TRAB'!$A$1:$N$855,2,0)</f>
        <v>EVOLTI COMPANY SAS BIC</v>
      </c>
      <c r="C281" t="str">
        <f>VLOOKUP(A281,'[1]DEPURACION FINAL TRAB'!$1:$1048576,3,0)</f>
        <v>317 3569497</v>
      </c>
      <c r="D281" t="s">
        <v>2435</v>
      </c>
      <c r="E281" t="s">
        <v>2882</v>
      </c>
      <c r="F281" s="17" t="s">
        <v>1587</v>
      </c>
      <c r="G281">
        <v>14011260.58</v>
      </c>
      <c r="H281">
        <v>219</v>
      </c>
    </row>
    <row r="282" spans="1:8" ht="15" customHeight="1" x14ac:dyDescent="0.25">
      <c r="A282">
        <v>900474144</v>
      </c>
      <c r="B282" t="str">
        <f>VLOOKUP(A282,'[1]DEPURACION FINAL TRAB'!$A$1:$N$855,2,0)</f>
        <v>POTENCIA Y TECNOLOGIA S.A.S</v>
      </c>
      <c r="C282">
        <v>0</v>
      </c>
      <c r="D282" t="s">
        <v>2595</v>
      </c>
      <c r="E282" t="s">
        <v>3030</v>
      </c>
      <c r="F282" s="17" t="s">
        <v>2205</v>
      </c>
      <c r="G282">
        <v>14012440</v>
      </c>
      <c r="H282">
        <v>219</v>
      </c>
    </row>
    <row r="283" spans="1:8" ht="15" customHeight="1" x14ac:dyDescent="0.25">
      <c r="A283">
        <v>900006679</v>
      </c>
      <c r="B283" t="str">
        <f>VLOOKUP(A283,'[1]DEPURACION FINAL TRAB'!$A$1:$N$855,2,0)</f>
        <v>COMERCIALIZADORA INDUSTRIAL Y TECNICA S.A.S.</v>
      </c>
      <c r="C283">
        <v>0</v>
      </c>
      <c r="D283" t="s">
        <v>2356</v>
      </c>
      <c r="E283" t="s">
        <v>2807</v>
      </c>
      <c r="F283" s="17" t="s">
        <v>2205</v>
      </c>
      <c r="G283">
        <v>14099200</v>
      </c>
      <c r="H283">
        <v>219</v>
      </c>
    </row>
    <row r="284" spans="1:8" ht="15" customHeight="1" x14ac:dyDescent="0.25">
      <c r="A284">
        <v>900564496</v>
      </c>
      <c r="B284" t="str">
        <f>VLOOKUP(A284,'[1]DEPURACION FINAL TRAB'!$A$1:$N$855,2,0)</f>
        <v>SOLUTRAFFIC INGENIERIA S.A.S</v>
      </c>
      <c r="C284">
        <v>0</v>
      </c>
      <c r="D284" t="s">
        <v>2661</v>
      </c>
      <c r="E284" t="s">
        <v>3092</v>
      </c>
      <c r="F284" s="17" t="s">
        <v>2205</v>
      </c>
      <c r="G284">
        <v>14108544.030000001</v>
      </c>
      <c r="H284">
        <v>219</v>
      </c>
    </row>
    <row r="285" spans="1:8" ht="15" customHeight="1" x14ac:dyDescent="0.25">
      <c r="A285">
        <v>900470730</v>
      </c>
      <c r="B285" t="str">
        <f>VLOOKUP(A285,'[1]DEPURACION FINAL TRAB'!$A$1:$N$855,2,0)</f>
        <v>INDAUSER S.A.S</v>
      </c>
      <c r="C285">
        <v>0</v>
      </c>
      <c r="D285" t="s">
        <v>2498</v>
      </c>
      <c r="E285" t="s">
        <v>2941</v>
      </c>
      <c r="F285" s="17" t="s">
        <v>374</v>
      </c>
      <c r="G285">
        <v>14138750.369999999</v>
      </c>
      <c r="H285">
        <v>219</v>
      </c>
    </row>
    <row r="286" spans="1:8" ht="15" customHeight="1" x14ac:dyDescent="0.25">
      <c r="A286">
        <v>800176169</v>
      </c>
      <c r="B286" t="str">
        <f>VLOOKUP(A286,'[1]DEPURACION FINAL TRAB'!$A$1:$N$855,2,0)</f>
        <v>ODECOPACK S.A.S.</v>
      </c>
      <c r="C286">
        <v>0</v>
      </c>
      <c r="D286" t="s">
        <v>2570</v>
      </c>
      <c r="E286" t="s">
        <v>3007</v>
      </c>
      <c r="F286" s="17" t="s">
        <v>2205</v>
      </c>
      <c r="G286">
        <v>14149455.279999999</v>
      </c>
      <c r="H286">
        <v>219</v>
      </c>
    </row>
    <row r="287" spans="1:8" ht="15" customHeight="1" x14ac:dyDescent="0.25">
      <c r="A287">
        <v>860350922</v>
      </c>
      <c r="B287" t="str">
        <f>VLOOKUP(A287,'[1]DEPURACION FINAL TRAB'!$A$1:$N$855,2,0)</f>
        <v>TECNINTEGRAL S A S</v>
      </c>
      <c r="C287">
        <f>VLOOKUP(A287,'[1]DEPURACION FINAL TRAB'!$1:$1048576,3,0)</f>
        <v>7799090</v>
      </c>
      <c r="D287" t="s">
        <v>2676</v>
      </c>
      <c r="E287" t="s">
        <v>3104</v>
      </c>
      <c r="F287" s="17" t="s">
        <v>419</v>
      </c>
      <c r="G287">
        <v>14187891.210000001</v>
      </c>
      <c r="H287">
        <v>219</v>
      </c>
    </row>
    <row r="288" spans="1:8" ht="15" customHeight="1" x14ac:dyDescent="0.25">
      <c r="A288">
        <v>900562190</v>
      </c>
      <c r="B288" t="str">
        <f>VLOOKUP(A288,'[1]DEPURACION FINAL TRAB'!$A$1:$N$855,2,0)</f>
        <v>INGENCOL S.A.S</v>
      </c>
      <c r="C288">
        <f>VLOOKUP(A288,'[1]DEPURACION FINAL TRAB'!$1:$1048576,3,0)</f>
        <v>2672279</v>
      </c>
      <c r="D288" t="s">
        <v>2508</v>
      </c>
      <c r="E288" t="s">
        <v>2952</v>
      </c>
      <c r="F288" s="17" t="s">
        <v>2108</v>
      </c>
      <c r="G288">
        <v>14214169.02</v>
      </c>
      <c r="H288">
        <v>219</v>
      </c>
    </row>
    <row r="289" spans="1:8" ht="15" customHeight="1" x14ac:dyDescent="0.25">
      <c r="A289">
        <v>806007073</v>
      </c>
      <c r="B289" t="str">
        <f>VLOOKUP(A289,'[1]DEPURACION FINAL TRAB'!$A$1:$N$855,2,0)</f>
        <v>C.I. MEXICHEM COMPUESTOS COLOMBIA SAS</v>
      </c>
      <c r="C289" t="str">
        <f>VLOOKUP(A289,'[1]DEPURACION FINAL TRAB'!$1:$1048576,3,0)</f>
        <v>6731520</v>
      </c>
      <c r="D289" t="s">
        <v>2325</v>
      </c>
      <c r="E289" t="s">
        <v>2776</v>
      </c>
      <c r="F289" s="17" t="s">
        <v>439</v>
      </c>
      <c r="G289">
        <v>14217900</v>
      </c>
      <c r="H289">
        <v>219</v>
      </c>
    </row>
    <row r="290" spans="1:8" ht="15" customHeight="1" x14ac:dyDescent="0.25">
      <c r="A290">
        <v>802005820</v>
      </c>
      <c r="B290" t="str">
        <f>VLOOKUP(A290,'[1]DEPURACION FINAL TRAB'!$A$1:$N$855,2,0)</f>
        <v>DITAR SA</v>
      </c>
      <c r="C290">
        <v>0</v>
      </c>
      <c r="D290" t="s">
        <v>2403</v>
      </c>
      <c r="E290" t="s">
        <v>2852</v>
      </c>
      <c r="F290" s="17" t="s">
        <v>374</v>
      </c>
      <c r="G290">
        <v>14265774.109999999</v>
      </c>
      <c r="H290">
        <v>219</v>
      </c>
    </row>
    <row r="291" spans="1:8" ht="15" customHeight="1" x14ac:dyDescent="0.25">
      <c r="A291">
        <v>900482687</v>
      </c>
      <c r="B291" t="str">
        <f>VLOOKUP(A291,'[1]DEPURACION FINAL TRAB'!$A$1:$N$855,2,0)</f>
        <v>MM PACKAGING COLOMBIA S.A.S</v>
      </c>
      <c r="C291">
        <v>0</v>
      </c>
      <c r="D291" t="s">
        <v>2560</v>
      </c>
      <c r="E291" t="s">
        <v>2996</v>
      </c>
      <c r="F291" s="17" t="s">
        <v>2222</v>
      </c>
      <c r="G291">
        <v>14271179.560000001</v>
      </c>
      <c r="H291">
        <v>219</v>
      </c>
    </row>
    <row r="292" spans="1:8" ht="15" customHeight="1" x14ac:dyDescent="0.25">
      <c r="A292">
        <v>860000762</v>
      </c>
      <c r="B292" t="str">
        <f>VLOOKUP(A292,'[1]DEPURACION FINAL TRAB'!$A$1:$N$855,2,0)</f>
        <v>LADRILLERA SANTAFE S.A</v>
      </c>
      <c r="C292">
        <v>0</v>
      </c>
      <c r="D292" t="s">
        <v>2537</v>
      </c>
      <c r="E292" t="s">
        <v>2976</v>
      </c>
      <c r="F292" s="17" t="s">
        <v>419</v>
      </c>
      <c r="G292">
        <v>14298749.300000001</v>
      </c>
      <c r="H292">
        <v>219</v>
      </c>
    </row>
    <row r="293" spans="1:8" ht="15" customHeight="1" x14ac:dyDescent="0.25">
      <c r="A293">
        <v>890805825</v>
      </c>
      <c r="B293" t="str">
        <f>VLOOKUP(A293,'[1]DEPURACION FINAL TRAB'!$A$1:$N$855,2,0)</f>
        <v>PUNTO ELECTRICO S.A.S.</v>
      </c>
      <c r="C293">
        <v>0</v>
      </c>
      <c r="D293" t="s">
        <v>2610</v>
      </c>
      <c r="E293" t="s">
        <v>3047</v>
      </c>
      <c r="F293" s="17" t="s">
        <v>783</v>
      </c>
      <c r="G293">
        <v>14489800</v>
      </c>
      <c r="H293">
        <v>219</v>
      </c>
    </row>
    <row r="294" spans="1:8" ht="15" customHeight="1" x14ac:dyDescent="0.25">
      <c r="A294">
        <v>811047008</v>
      </c>
      <c r="B294" t="str">
        <f>VLOOKUP(A294,'[1]DEPURACION FINAL TRAB'!$A$1:$N$855,2,0)</f>
        <v>IFCO SYSTEMS COLOMBIA SAS</v>
      </c>
      <c r="C294" t="str">
        <f>VLOOKUP(A294,'[1]DEPURACION FINAL TRAB'!$1:$1048576,3,0)</f>
        <v>310 3726429</v>
      </c>
      <c r="D294" t="s">
        <v>2491</v>
      </c>
      <c r="E294" t="s">
        <v>2934</v>
      </c>
      <c r="F294" s="17" t="s">
        <v>378</v>
      </c>
      <c r="G294">
        <v>14690040</v>
      </c>
      <c r="H294">
        <v>219</v>
      </c>
    </row>
    <row r="295" spans="1:8" ht="15" customHeight="1" x14ac:dyDescent="0.25">
      <c r="A295">
        <v>860002553</v>
      </c>
      <c r="B295" t="str">
        <f>VLOOKUP(A295,'[1]DEPURACION FINAL TRAB'!$A$1:$N$855,2,0)</f>
        <v>COMESTIBLES LA ROSA S.A</v>
      </c>
      <c r="C295">
        <v>0</v>
      </c>
      <c r="D295" t="s">
        <v>2358</v>
      </c>
      <c r="E295" t="s">
        <v>2809</v>
      </c>
      <c r="F295" s="17" t="s">
        <v>1820</v>
      </c>
      <c r="G295">
        <v>14715280</v>
      </c>
      <c r="H295">
        <v>219</v>
      </c>
    </row>
    <row r="296" spans="1:8" ht="15" customHeight="1" x14ac:dyDescent="0.25">
      <c r="A296">
        <v>900400367</v>
      </c>
      <c r="B296" t="str">
        <f>VLOOKUP(A296,'[1]DEPURACION FINAL TRAB'!$A$1:$N$855,2,0)</f>
        <v>MINERVA COLOMBIA S.A.S.</v>
      </c>
      <c r="C296" t="str">
        <f>VLOOKUP(A296,'[1]DEPURACION FINAL TRAB'!$1:$1048576,3,0)</f>
        <v>315 5764692</v>
      </c>
      <c r="D296" t="s">
        <v>2559</v>
      </c>
      <c r="E296" t="s">
        <v>2995</v>
      </c>
      <c r="F296" s="17" t="s">
        <v>1113</v>
      </c>
      <c r="G296">
        <v>14835200</v>
      </c>
      <c r="H296">
        <v>219</v>
      </c>
    </row>
    <row r="297" spans="1:8" ht="15" customHeight="1" x14ac:dyDescent="0.25">
      <c r="A297">
        <v>900406158</v>
      </c>
      <c r="B297" t="str">
        <f>VLOOKUP(A297,'[1]DEPURACION FINAL TRAB'!$A$1:$N$855,2,0)</f>
        <v>EMPAQUES INDUSTRIALES DE COLOMBIA SAS</v>
      </c>
      <c r="C297">
        <v>0</v>
      </c>
      <c r="D297" t="s">
        <v>2417</v>
      </c>
      <c r="E297" t="s">
        <v>2864</v>
      </c>
      <c r="F297" s="17" t="s">
        <v>374</v>
      </c>
      <c r="G297">
        <v>15075840.780000001</v>
      </c>
      <c r="H297">
        <v>219</v>
      </c>
    </row>
    <row r="298" spans="1:8" ht="15" customHeight="1" x14ac:dyDescent="0.25">
      <c r="A298">
        <v>860008547</v>
      </c>
      <c r="B298" t="str">
        <f>VLOOKUP(A298,'[1]DEPURACION FINAL TRAB'!$A$1:$N$855,2,0)</f>
        <v>GILPA IMPRESORES S.A</v>
      </c>
      <c r="C298">
        <v>0</v>
      </c>
      <c r="D298" t="s">
        <v>2465</v>
      </c>
      <c r="E298" t="s">
        <v>2908</v>
      </c>
      <c r="F298" s="17" t="s">
        <v>419</v>
      </c>
      <c r="G298">
        <v>15249381.17</v>
      </c>
      <c r="H298">
        <v>219</v>
      </c>
    </row>
    <row r="299" spans="1:8" ht="15" customHeight="1" x14ac:dyDescent="0.25">
      <c r="A299">
        <v>860072172</v>
      </c>
      <c r="B299" t="str">
        <f>VLOOKUP(A299,'[1]DEPURACION FINAL TRAB'!$A$1:$N$855,2,0)</f>
        <v>EMPACOR SA</v>
      </c>
      <c r="C299">
        <v>0</v>
      </c>
      <c r="D299" t="s">
        <v>2416</v>
      </c>
      <c r="E299" t="s">
        <v>2863</v>
      </c>
      <c r="F299" s="17" t="s">
        <v>419</v>
      </c>
      <c r="G299">
        <v>15399537.340000002</v>
      </c>
      <c r="H299">
        <v>219</v>
      </c>
    </row>
    <row r="300" spans="1:8" ht="15" customHeight="1" x14ac:dyDescent="0.25">
      <c r="A300">
        <v>860530547</v>
      </c>
      <c r="B300" t="str">
        <f>VLOOKUP(A300,'[1]DEPURACION FINAL TRAB'!$A$1:$N$855,2,0)</f>
        <v>MULTIDIMENSIONALES SAS</v>
      </c>
      <c r="C300" t="str">
        <f>VLOOKUP(A300,'[1]DEPURACION FINAL TRAB'!$1:$1048576,3,0)</f>
        <v>4222000</v>
      </c>
      <c r="D300" t="s">
        <v>2563</v>
      </c>
      <c r="E300" t="s">
        <v>2999</v>
      </c>
      <c r="F300" s="17" t="s">
        <v>419</v>
      </c>
      <c r="G300">
        <v>15479020.120000001</v>
      </c>
      <c r="H300">
        <v>219</v>
      </c>
    </row>
    <row r="301" spans="1:8" ht="15" customHeight="1" x14ac:dyDescent="0.25">
      <c r="A301">
        <v>860032550</v>
      </c>
      <c r="B301" t="str">
        <f>VLOOKUP(A301,'[1]DEPURACION FINAL TRAB'!$A$1:$N$855,2,0)</f>
        <v>ALFAGRES S.A. - EN REORGANIZACION</v>
      </c>
      <c r="C301">
        <v>0</v>
      </c>
      <c r="D301" t="s">
        <v>2276</v>
      </c>
      <c r="E301" t="s">
        <v>2731</v>
      </c>
      <c r="F301" s="17" t="s">
        <v>1285</v>
      </c>
      <c r="G301">
        <v>15484071.359999999</v>
      </c>
      <c r="H301">
        <v>219</v>
      </c>
    </row>
    <row r="302" spans="1:8" ht="15" customHeight="1" x14ac:dyDescent="0.25">
      <c r="A302">
        <v>830058558</v>
      </c>
      <c r="B302" t="str">
        <f>VLOOKUP(A302,'[1]DEPURACION FINAL TRAB'!$A$1:$N$855,2,0)</f>
        <v>TY GAS SA ESP</v>
      </c>
      <c r="C302">
        <v>0</v>
      </c>
      <c r="D302" t="s">
        <v>2693</v>
      </c>
      <c r="E302" t="s">
        <v>3120</v>
      </c>
      <c r="F302" s="17" t="s">
        <v>419</v>
      </c>
      <c r="G302">
        <v>15521974.4</v>
      </c>
      <c r="H302">
        <v>219</v>
      </c>
    </row>
    <row r="303" spans="1:8" ht="15" customHeight="1" x14ac:dyDescent="0.25">
      <c r="A303">
        <v>860020308</v>
      </c>
      <c r="B303" t="str">
        <f>VLOOKUP(A303,'[1]DEPURACION FINAL TRAB'!$A$1:$N$855,2,0)</f>
        <v>COMESTIBLES RICOS S.A.</v>
      </c>
      <c r="C303">
        <v>0</v>
      </c>
      <c r="D303" t="s">
        <v>2359</v>
      </c>
      <c r="E303" t="s">
        <v>2810</v>
      </c>
      <c r="F303" s="17" t="s">
        <v>419</v>
      </c>
      <c r="G303">
        <v>15538380</v>
      </c>
      <c r="H303">
        <v>219</v>
      </c>
    </row>
    <row r="304" spans="1:8" ht="15" customHeight="1" x14ac:dyDescent="0.25">
      <c r="A304">
        <v>900683123</v>
      </c>
      <c r="B304" t="str">
        <f>VLOOKUP(A304,'[1]DEPURACION FINAL TRAB'!$A$1:$N$855,2,0)</f>
        <v>SVO GROUP S.A.S.</v>
      </c>
      <c r="C304" t="str">
        <f>VLOOKUP(A304,'[1]DEPURACION FINAL TRAB'!$1:$1048576,3,0)</f>
        <v>315 2325159</v>
      </c>
      <c r="D304" t="s">
        <v>2671</v>
      </c>
      <c r="E304" t="s">
        <v>3101</v>
      </c>
      <c r="F304" s="17" t="s">
        <v>1739</v>
      </c>
      <c r="G304">
        <v>15603360</v>
      </c>
      <c r="H304">
        <v>219</v>
      </c>
    </row>
    <row r="305" spans="1:8" ht="15" customHeight="1" x14ac:dyDescent="0.25">
      <c r="A305">
        <v>830054060</v>
      </c>
      <c r="B305" t="str">
        <f>VLOOKUP(A305,'[1]DEPURACION FINAL TRAB'!$A$1:$N$855,2,0)</f>
        <v>AUTOPISTAS DEL CAFE S.A.</v>
      </c>
      <c r="C305" t="str">
        <f>VLOOKUP(A305,'[1]DEPURACION FINAL TRAB'!$1:$1048576,3,0)</f>
        <v>3275500</v>
      </c>
      <c r="D305" t="s">
        <v>2301</v>
      </c>
      <c r="E305" t="s">
        <v>2753</v>
      </c>
      <c r="F305" s="17" t="s">
        <v>419</v>
      </c>
      <c r="G305">
        <v>15620400</v>
      </c>
      <c r="H305">
        <v>219</v>
      </c>
    </row>
    <row r="306" spans="1:8" ht="15" customHeight="1" x14ac:dyDescent="0.25">
      <c r="A306">
        <v>900734503</v>
      </c>
      <c r="B306" t="str">
        <f>VLOOKUP(A306,'[1]DEPURACION FINAL TRAB'!$A$1:$N$855,2,0)</f>
        <v>BFOCUS TECHNOLOGIES SAS</v>
      </c>
      <c r="C306" t="str">
        <f>VLOOKUP(A306,'[1]DEPURACION FINAL TRAB'!$1:$1048576,3,0)</f>
        <v>0618985005</v>
      </c>
      <c r="D306" t="s">
        <v>2316</v>
      </c>
      <c r="E306" t="s">
        <v>2730</v>
      </c>
      <c r="F306" s="17" t="s">
        <v>419</v>
      </c>
      <c r="G306">
        <v>15692807.060000001</v>
      </c>
      <c r="H306">
        <v>219</v>
      </c>
    </row>
    <row r="307" spans="1:8" ht="15" customHeight="1" x14ac:dyDescent="0.25">
      <c r="A307">
        <v>900268747</v>
      </c>
      <c r="B307" t="str">
        <f>VLOOKUP(A307,'[1]DEPURACION FINAL TRAB'!$A$1:$N$855,2,0)</f>
        <v>PAREX RESOURCES COLOMBIA LTDA</v>
      </c>
      <c r="C307">
        <v>0</v>
      </c>
      <c r="D307" t="s">
        <v>2581</v>
      </c>
      <c r="E307" t="s">
        <v>3018</v>
      </c>
      <c r="F307" s="17" t="s">
        <v>419</v>
      </c>
      <c r="G307">
        <v>15825892.370000001</v>
      </c>
      <c r="H307">
        <v>334</v>
      </c>
    </row>
    <row r="308" spans="1:8" ht="15" customHeight="1" x14ac:dyDescent="0.25">
      <c r="A308">
        <v>800114766</v>
      </c>
      <c r="B308" t="str">
        <f>VLOOKUP(A308,'[1]DEPURACION FINAL TRAB'!$A$1:$N$855,2,0)</f>
        <v>FRESKALECHE S.A.S</v>
      </c>
      <c r="C308" t="str">
        <f>VLOOKUP(A308,'[1]DEPURACION FINAL TRAB'!$1:$1048576,3,0)</f>
        <v>4887000</v>
      </c>
      <c r="D308" t="s">
        <v>2452</v>
      </c>
      <c r="E308" t="s">
        <v>2897</v>
      </c>
      <c r="F308" s="17" t="s">
        <v>1945</v>
      </c>
      <c r="G308">
        <v>15852840</v>
      </c>
      <c r="H308">
        <v>219</v>
      </c>
    </row>
    <row r="309" spans="1:8" ht="15" customHeight="1" x14ac:dyDescent="0.25">
      <c r="A309">
        <v>901005166</v>
      </c>
      <c r="B309" t="str">
        <f>VLOOKUP(A309,'[1]DEPURACION FINAL TRAB'!$A$1:$N$855,2,0)</f>
        <v>AUDITORES Y CONSULTORES SAS</v>
      </c>
      <c r="C309">
        <f>VLOOKUP(A309,'[1]DEPURACION FINAL TRAB'!$1:$1048576,3,0)</f>
        <v>0</v>
      </c>
      <c r="D309" t="s">
        <v>2294</v>
      </c>
      <c r="E309" t="s">
        <v>2747</v>
      </c>
      <c r="F309" s="17" t="s">
        <v>783</v>
      </c>
      <c r="G309">
        <v>15867000</v>
      </c>
      <c r="H309">
        <v>219</v>
      </c>
    </row>
    <row r="310" spans="1:8" ht="15" customHeight="1" x14ac:dyDescent="0.25">
      <c r="A310">
        <v>900630301</v>
      </c>
      <c r="B310" t="str">
        <f>VLOOKUP(A310,'[1]DEPURACION FINAL TRAB'!$A$1:$N$855,2,0)</f>
        <v>PEDLEX SAS</v>
      </c>
      <c r="C310" t="str">
        <f>VLOOKUP(A310,'[1]DEPURACION FINAL TRAB'!$1:$1048576,3,0)</f>
        <v>317 6384520</v>
      </c>
      <c r="D310" t="s">
        <v>2584</v>
      </c>
      <c r="E310" t="s">
        <v>3020</v>
      </c>
      <c r="F310" s="17" t="s">
        <v>1932</v>
      </c>
      <c r="G310">
        <v>15898633.350000001</v>
      </c>
      <c r="H310">
        <v>219</v>
      </c>
    </row>
    <row r="311" spans="1:8" ht="15" customHeight="1" x14ac:dyDescent="0.25">
      <c r="A311">
        <v>800052640</v>
      </c>
      <c r="B311" t="str">
        <f>VLOOKUP(A311,'[1]DEPURACION FINAL TRAB'!$A$1:$N$855,2,0)</f>
        <v>EMPRESA DE ENERGIA DEL QUINDIO S.A. E.S.P.</v>
      </c>
      <c r="C311">
        <v>0</v>
      </c>
      <c r="D311" t="s">
        <v>2420</v>
      </c>
      <c r="E311" t="s">
        <v>2866</v>
      </c>
      <c r="F311" s="17" t="s">
        <v>1798</v>
      </c>
      <c r="G311">
        <v>15923210.310000002</v>
      </c>
      <c r="H311">
        <v>219</v>
      </c>
    </row>
    <row r="312" spans="1:8" ht="15" customHeight="1" x14ac:dyDescent="0.25">
      <c r="A312">
        <v>1071940531</v>
      </c>
      <c r="B312" t="str">
        <f>VLOOKUP(A312,'[1]DEPURACION FINAL TRAB'!$A$1:$N$855,2,0)</f>
        <v>MARROQUIN GACHA FABIAN RICARDO</v>
      </c>
      <c r="C312" t="str">
        <f>VLOOKUP(A312,'[1]DEPURACION FINAL TRAB'!$1:$1048576,3,0)</f>
        <v>320 4836664</v>
      </c>
      <c r="D312" t="s">
        <v>2551</v>
      </c>
      <c r="E312" t="s">
        <v>2988</v>
      </c>
      <c r="F312" s="17" t="s">
        <v>1261</v>
      </c>
      <c r="G312">
        <v>16050000</v>
      </c>
      <c r="H312">
        <v>219</v>
      </c>
    </row>
    <row r="313" spans="1:8" ht="15" customHeight="1" x14ac:dyDescent="0.25">
      <c r="A313">
        <v>800225340</v>
      </c>
      <c r="B313" t="str">
        <f>VLOOKUP(A313,'[1]DEPURACION FINAL TRAB'!$A$1:$N$855,2,0)</f>
        <v>UNIVERSIDAD MILITAR NUEVA GRANADA</v>
      </c>
      <c r="C313">
        <f>VLOOKUP(A313,'[1]DEPURACION FINAL TRAB'!$1:$1048576,3,0)</f>
        <v>0</v>
      </c>
      <c r="D313" t="s">
        <v>2703</v>
      </c>
      <c r="E313" t="s">
        <v>2730</v>
      </c>
      <c r="F313" s="17" t="s">
        <v>419</v>
      </c>
      <c r="G313">
        <v>16060500</v>
      </c>
      <c r="H313">
        <v>219</v>
      </c>
    </row>
    <row r="314" spans="1:8" ht="15" customHeight="1" x14ac:dyDescent="0.25">
      <c r="A314">
        <v>830054076</v>
      </c>
      <c r="B314" t="str">
        <f>VLOOKUP(A314,'[1]DEPURACION FINAL TRAB'!$A$1:$N$855,2,0)</f>
        <v>FIDEICOMISOS SOCIEDAD FIDUCIARIA DE OCCIDENTE SA</v>
      </c>
      <c r="C314">
        <v>0</v>
      </c>
      <c r="D314" t="s">
        <v>2448</v>
      </c>
      <c r="E314" t="s">
        <v>2893</v>
      </c>
      <c r="F314" s="17" t="s">
        <v>419</v>
      </c>
      <c r="G314">
        <v>16095428</v>
      </c>
      <c r="H314">
        <v>219</v>
      </c>
    </row>
    <row r="315" spans="1:8" ht="15" customHeight="1" x14ac:dyDescent="0.25">
      <c r="A315">
        <v>890805053</v>
      </c>
      <c r="B315" t="str">
        <f>VLOOKUP(A315,'[1]DEPURACION FINAL TRAB'!$A$1:$N$855,2,0)</f>
        <v>JORGE E. JARAMILLO V Y CIA S.A.S</v>
      </c>
      <c r="C315">
        <v>0</v>
      </c>
      <c r="D315" t="s">
        <v>2529</v>
      </c>
      <c r="E315" t="s">
        <v>2970</v>
      </c>
      <c r="F315" s="17" t="s">
        <v>783</v>
      </c>
      <c r="G315">
        <v>16099427</v>
      </c>
      <c r="H315">
        <v>219</v>
      </c>
    </row>
    <row r="316" spans="1:8" ht="15" customHeight="1" x14ac:dyDescent="0.25">
      <c r="A316">
        <v>800226901</v>
      </c>
      <c r="B316" t="str">
        <f>VLOOKUP(A316,'[1]DEPURACION FINAL TRAB'!$A$1:$N$855,2,0)</f>
        <v>RECICLENE S.A.S.</v>
      </c>
      <c r="C316">
        <v>0</v>
      </c>
      <c r="D316" t="s">
        <v>2616</v>
      </c>
      <c r="E316" t="s">
        <v>3053</v>
      </c>
      <c r="F316" s="17" t="s">
        <v>1259</v>
      </c>
      <c r="G316">
        <v>16244300.77</v>
      </c>
      <c r="H316">
        <v>219</v>
      </c>
    </row>
    <row r="317" spans="1:8" ht="15" customHeight="1" x14ac:dyDescent="0.25">
      <c r="A317">
        <v>901847883</v>
      </c>
      <c r="B317" t="str">
        <f>VLOOKUP(A317,'[1]DEPURACION FINAL TRAB'!$A$1:$N$855,2,0)</f>
        <v>IA4 SAS</v>
      </c>
      <c r="C317" t="str">
        <f>VLOOKUP(A317,'[1]DEPURACION FINAL TRAB'!$1:$1048576,3,0)</f>
        <v>315 8630690</v>
      </c>
      <c r="D317" t="s">
        <v>2490</v>
      </c>
      <c r="E317" t="s">
        <v>2730</v>
      </c>
      <c r="F317" s="17" t="s">
        <v>1275</v>
      </c>
      <c r="G317">
        <v>16283960.170000002</v>
      </c>
      <c r="H317">
        <v>219</v>
      </c>
    </row>
    <row r="318" spans="1:8" ht="15" customHeight="1" x14ac:dyDescent="0.25">
      <c r="A318">
        <v>901161604</v>
      </c>
      <c r="B318" t="str">
        <f>VLOOKUP(A318,'[1]DEPURACION FINAL TRAB'!$A$1:$N$855,2,0)</f>
        <v>DCA INGENIERIA SAS</v>
      </c>
      <c r="C318">
        <v>0</v>
      </c>
      <c r="D318" t="s">
        <v>2393</v>
      </c>
      <c r="E318" t="s">
        <v>2843</v>
      </c>
      <c r="F318" s="17" t="s">
        <v>1820</v>
      </c>
      <c r="G318">
        <v>16301109.300000001</v>
      </c>
      <c r="H318">
        <v>219</v>
      </c>
    </row>
    <row r="319" spans="1:8" ht="15" customHeight="1" x14ac:dyDescent="0.25">
      <c r="A319">
        <v>890200162</v>
      </c>
      <c r="B319" t="str">
        <f>VLOOKUP(A319,'[1]DEPURACION FINAL TRAB'!$A$1:$N$855,2,0)</f>
        <v>ACUEDUCTO METROPOLITANO DE BUCARAMANGA S.A E.S.P.</v>
      </c>
      <c r="C319">
        <v>0</v>
      </c>
      <c r="D319" t="s">
        <v>2267</v>
      </c>
      <c r="E319" t="s">
        <v>2722</v>
      </c>
      <c r="F319" s="17" t="s">
        <v>1755</v>
      </c>
      <c r="G319">
        <v>16339030</v>
      </c>
      <c r="H319">
        <v>219</v>
      </c>
    </row>
    <row r="320" spans="1:8" ht="15" customHeight="1" x14ac:dyDescent="0.25">
      <c r="A320">
        <v>900874191</v>
      </c>
      <c r="B320" t="str">
        <f>VLOOKUP(A320,'[1]DEPURACION FINAL TRAB'!$A$1:$N$855,2,0)</f>
        <v>IGCP INGENIERIA S.A.S</v>
      </c>
      <c r="C320" t="str">
        <f>VLOOKUP(A320,'[1]DEPURACION FINAL TRAB'!$1:$1048576,3,0)</f>
        <v>311 3326154</v>
      </c>
      <c r="D320" t="s">
        <v>2492</v>
      </c>
      <c r="E320" t="s">
        <v>2935</v>
      </c>
      <c r="F320" s="17" t="s">
        <v>783</v>
      </c>
      <c r="G320">
        <v>16341885.120000001</v>
      </c>
      <c r="H320">
        <v>219</v>
      </c>
    </row>
    <row r="321" spans="1:8" ht="15" customHeight="1" x14ac:dyDescent="0.25">
      <c r="A321">
        <v>830007133</v>
      </c>
      <c r="B321" t="str">
        <f>VLOOKUP(A321,'[1]DEPURACION FINAL TRAB'!$A$1:$N$855,2,0)</f>
        <v>CENTRAL DE EQUIPOS Y MONTAJES SAS</v>
      </c>
      <c r="C321">
        <f>VLOOKUP(A321,'[1]DEPURACION FINAL TRAB'!$1:$1048576,3,0)</f>
        <v>3223453181</v>
      </c>
      <c r="D321" t="s">
        <v>2341</v>
      </c>
      <c r="E321" t="s">
        <v>2730</v>
      </c>
      <c r="F321" s="17" t="s">
        <v>419</v>
      </c>
      <c r="G321">
        <v>16394400</v>
      </c>
      <c r="H321">
        <v>219</v>
      </c>
    </row>
    <row r="322" spans="1:8" ht="15" customHeight="1" x14ac:dyDescent="0.25">
      <c r="A322">
        <v>900651115</v>
      </c>
      <c r="B322" t="str">
        <f>VLOOKUP(A322,'[1]DEPURACION FINAL TRAB'!$A$1:$N$855,2,0)</f>
        <v>D&amp;C ENERGY SAS</v>
      </c>
      <c r="C322" t="str">
        <f>VLOOKUP(A322,'[1]DEPURACION FINAL TRAB'!$1:$1048576,3,0)</f>
        <v>313 3618417</v>
      </c>
      <c r="D322" t="s">
        <v>2392</v>
      </c>
      <c r="E322" t="s">
        <v>2841</v>
      </c>
      <c r="F322" s="17" t="s">
        <v>419</v>
      </c>
      <c r="G322">
        <v>16718131.58</v>
      </c>
      <c r="H322">
        <v>219</v>
      </c>
    </row>
    <row r="323" spans="1:8" ht="15" customHeight="1" x14ac:dyDescent="0.25">
      <c r="A323">
        <v>800059470</v>
      </c>
      <c r="B323" t="str">
        <f>VLOOKUP(A323,'[1]DEPURACION FINAL TRAB'!$A$1:$N$855,2,0)</f>
        <v>ESENTTIA S A</v>
      </c>
      <c r="C323">
        <v>0</v>
      </c>
      <c r="D323" t="s">
        <v>2432</v>
      </c>
      <c r="E323" t="s">
        <v>2878</v>
      </c>
      <c r="F323" s="17" t="s">
        <v>439</v>
      </c>
      <c r="G323">
        <v>16745912.4</v>
      </c>
      <c r="H323">
        <v>219</v>
      </c>
    </row>
    <row r="324" spans="1:8" ht="15" customHeight="1" x14ac:dyDescent="0.25">
      <c r="A324">
        <v>890105927</v>
      </c>
      <c r="B324" t="str">
        <f>VLOOKUP(A324,'[1]DEPURACION FINAL TRAB'!$A$1:$N$855,2,0)</f>
        <v>C.I. FARMACAPSULA S.A.S</v>
      </c>
      <c r="C324">
        <v>0</v>
      </c>
      <c r="D324" t="s">
        <v>2323</v>
      </c>
      <c r="E324" t="s">
        <v>2774</v>
      </c>
      <c r="F324" s="17" t="s">
        <v>374</v>
      </c>
      <c r="G324">
        <v>16762149.140000001</v>
      </c>
      <c r="H324">
        <v>219</v>
      </c>
    </row>
    <row r="325" spans="1:8" ht="15" customHeight="1" x14ac:dyDescent="0.25">
      <c r="A325">
        <v>830505238</v>
      </c>
      <c r="B325" t="str">
        <f>VLOOKUP(A325,'[1]DEPURACION FINAL TRAB'!$A$1:$N$855,2,0)</f>
        <v>INSE GROUP S.A.S.</v>
      </c>
      <c r="C325">
        <v>0</v>
      </c>
      <c r="D325" t="s">
        <v>2520</v>
      </c>
      <c r="E325" t="s">
        <v>2963</v>
      </c>
      <c r="F325" s="17" t="s">
        <v>1739</v>
      </c>
      <c r="G325">
        <v>16955076.619999997</v>
      </c>
      <c r="H325">
        <v>219</v>
      </c>
    </row>
    <row r="326" spans="1:8" ht="15" customHeight="1" x14ac:dyDescent="0.25">
      <c r="A326">
        <v>890900118</v>
      </c>
      <c r="B326" t="str">
        <f>VLOOKUP(A326,'[1]DEPURACION FINAL TRAB'!$A$1:$N$855,2,0)</f>
        <v>CRISTALERIA PELDAR S.A</v>
      </c>
      <c r="C326">
        <v>0</v>
      </c>
      <c r="D326" t="s">
        <v>2387</v>
      </c>
      <c r="E326" t="s">
        <v>2837</v>
      </c>
      <c r="F326" s="17" t="s">
        <v>1261</v>
      </c>
      <c r="G326">
        <v>16963531.43</v>
      </c>
      <c r="H326">
        <v>334</v>
      </c>
    </row>
    <row r="327" spans="1:8" ht="15" customHeight="1" x14ac:dyDescent="0.25">
      <c r="A327">
        <v>900526274</v>
      </c>
      <c r="B327" t="str">
        <f>VLOOKUP(A327,'[1]DEPURACION FINAL TRAB'!$A$1:$N$855,2,0)</f>
        <v>INGENIERIA DE PROCESOS EN AUTOMATIZACION INDUSTRIAL S.A.S</v>
      </c>
      <c r="C327" t="str">
        <f>VLOOKUP(A327,'[1]DEPURACION FINAL TRAB'!$1:$1048576,3,0)</f>
        <v>301 7541865</v>
      </c>
      <c r="D327" t="s">
        <v>2510</v>
      </c>
      <c r="E327" t="s">
        <v>2954</v>
      </c>
      <c r="F327" s="17" t="s">
        <v>2205</v>
      </c>
      <c r="G327">
        <v>17029106.18</v>
      </c>
      <c r="H327">
        <v>219</v>
      </c>
    </row>
    <row r="328" spans="1:8" ht="15" customHeight="1" x14ac:dyDescent="0.25">
      <c r="A328">
        <v>800245746</v>
      </c>
      <c r="B328" t="str">
        <f>VLOOKUP(A328,'[1]DEPURACION FINAL TRAB'!$A$1:$N$855,2,0)</f>
        <v>TERMOBARRANQUILLA SA ESP</v>
      </c>
      <c r="C328">
        <v>0</v>
      </c>
      <c r="D328" t="s">
        <v>2684</v>
      </c>
      <c r="E328" t="s">
        <v>3111</v>
      </c>
      <c r="F328" s="17" t="s">
        <v>382</v>
      </c>
      <c r="G328">
        <v>17145398.030000001</v>
      </c>
      <c r="H328">
        <v>219</v>
      </c>
    </row>
    <row r="329" spans="1:8" ht="15" customHeight="1" x14ac:dyDescent="0.25">
      <c r="A329">
        <v>901558442</v>
      </c>
      <c r="B329" t="str">
        <f>VLOOKUP(A329,'[1]DEPURACION FINAL TRAB'!$A$1:$N$855,2,0)</f>
        <v>VFD INGENIERIA SAS</v>
      </c>
      <c r="C329">
        <v>0</v>
      </c>
      <c r="D329" t="s">
        <v>2707</v>
      </c>
      <c r="E329" t="s">
        <v>3133</v>
      </c>
      <c r="F329" s="17" t="s">
        <v>376</v>
      </c>
      <c r="G329">
        <v>17151338.629999999</v>
      </c>
      <c r="H329">
        <v>219</v>
      </c>
    </row>
    <row r="330" spans="1:8" ht="15" customHeight="1" x14ac:dyDescent="0.25">
      <c r="A330">
        <v>900159278</v>
      </c>
      <c r="B330" t="str">
        <f>VLOOKUP(A330,'[1]DEPURACION FINAL TRAB'!$A$1:$N$855,2,0)</f>
        <v>PROCTEK S.A.S</v>
      </c>
      <c r="C330">
        <v>0</v>
      </c>
      <c r="D330" t="s">
        <v>2601</v>
      </c>
      <c r="E330" t="s">
        <v>3036</v>
      </c>
      <c r="F330" s="17" t="s">
        <v>419</v>
      </c>
      <c r="G330">
        <v>17168778.509999998</v>
      </c>
      <c r="H330">
        <v>219</v>
      </c>
    </row>
    <row r="331" spans="1:8" ht="15" customHeight="1" x14ac:dyDescent="0.25">
      <c r="A331">
        <v>900313945</v>
      </c>
      <c r="B331" t="str">
        <f>VLOOKUP(A331,'[1]DEPURACION FINAL TRAB'!$A$1:$N$855,2,0)</f>
        <v>PORCICULTORES APA SAS</v>
      </c>
      <c r="C331">
        <f>VLOOKUP(A331,'[1]DEPURACION FINAL TRAB'!$1:$1048576,3,0)</f>
        <v>4488272</v>
      </c>
      <c r="D331" t="s">
        <v>2593</v>
      </c>
      <c r="E331" t="s">
        <v>3028</v>
      </c>
      <c r="F331" s="17" t="s">
        <v>346</v>
      </c>
      <c r="G331">
        <v>17221957.48</v>
      </c>
      <c r="H331">
        <v>219</v>
      </c>
    </row>
    <row r="332" spans="1:8" ht="15" customHeight="1" x14ac:dyDescent="0.25">
      <c r="A332">
        <v>900134459</v>
      </c>
      <c r="B332" t="str">
        <f>VLOOKUP(A332,'[1]DEPURACION FINAL TRAB'!$A$1:$N$855,2,0)</f>
        <v>TRANSPORTADORA DE GAS INTERNACIONAL S.A. ESP</v>
      </c>
      <c r="C332">
        <v>0</v>
      </c>
      <c r="D332" t="s">
        <v>2691</v>
      </c>
      <c r="E332" t="s">
        <v>3118</v>
      </c>
      <c r="F332" s="17" t="s">
        <v>419</v>
      </c>
      <c r="G332">
        <v>17236561.34</v>
      </c>
      <c r="H332">
        <v>219</v>
      </c>
    </row>
    <row r="333" spans="1:8" ht="15" customHeight="1" x14ac:dyDescent="0.25">
      <c r="A333">
        <v>860002302</v>
      </c>
      <c r="B333" t="str">
        <f>VLOOKUP(A333,'[1]DEPURACION FINAL TRAB'!$A$1:$N$855,2,0)</f>
        <v>ETERNIT COLOMBIANA S.A</v>
      </c>
      <c r="C333">
        <v>0</v>
      </c>
      <c r="D333" t="s">
        <v>2433</v>
      </c>
      <c r="E333" t="s">
        <v>2880</v>
      </c>
      <c r="F333" s="17" t="s">
        <v>374</v>
      </c>
      <c r="G333">
        <v>17532069.989999998</v>
      </c>
      <c r="H333">
        <v>219</v>
      </c>
    </row>
    <row r="334" spans="1:8" ht="15" customHeight="1" x14ac:dyDescent="0.25">
      <c r="A334">
        <v>890907163</v>
      </c>
      <c r="B334" t="str">
        <f>VLOOKUP(A334,'[1]DEPURACION FINAL TRAB'!$A$1:$N$855,2,0)</f>
        <v>COMPAÑIA INDUSTRIAL DE PRODUCTOS AGROPECUARIOS SA</v>
      </c>
      <c r="C334" t="str">
        <f>VLOOKUP(A334,'[1]DEPURACION FINAL TRAB'!$1:$1048576,3,0)</f>
        <v>5200950</v>
      </c>
      <c r="D334" t="s">
        <v>2366</v>
      </c>
      <c r="E334" t="s">
        <v>2817</v>
      </c>
      <c r="F334" s="17" t="s">
        <v>419</v>
      </c>
      <c r="G334">
        <v>17710063.359999999</v>
      </c>
      <c r="H334">
        <v>219</v>
      </c>
    </row>
    <row r="335" spans="1:8" ht="15" customHeight="1" x14ac:dyDescent="0.25">
      <c r="A335">
        <v>900450226</v>
      </c>
      <c r="B335" t="str">
        <f>VLOOKUP(A335,'[1]DEPURACION FINAL TRAB'!$A$1:$N$855,2,0)</f>
        <v>ALKHORAYEF PETROLEUM COLOMBIA</v>
      </c>
      <c r="C335">
        <v>0</v>
      </c>
      <c r="D335" t="s">
        <v>2281</v>
      </c>
      <c r="E335" t="s">
        <v>2736</v>
      </c>
      <c r="F335" s="17" t="s">
        <v>419</v>
      </c>
      <c r="G335">
        <v>18000000</v>
      </c>
      <c r="H335">
        <v>219</v>
      </c>
    </row>
    <row r="336" spans="1:8" ht="15" customHeight="1" x14ac:dyDescent="0.25">
      <c r="A336">
        <v>900709666</v>
      </c>
      <c r="B336" t="str">
        <f>VLOOKUP(A336,'[1]DEPURACION FINAL TRAB'!$A$1:$N$855,2,0)</f>
        <v>MAPACHE MANTENIMIENTOS Y MONTAJES LTDA</v>
      </c>
      <c r="C336">
        <v>0</v>
      </c>
      <c r="D336" t="s">
        <v>2547</v>
      </c>
      <c r="E336" t="s">
        <v>2985</v>
      </c>
      <c r="F336" s="17" t="s">
        <v>1508</v>
      </c>
      <c r="G336">
        <v>18000000</v>
      </c>
      <c r="H336">
        <v>219</v>
      </c>
    </row>
    <row r="337" spans="1:8" ht="15" customHeight="1" x14ac:dyDescent="0.25">
      <c r="A337">
        <v>899999068</v>
      </c>
      <c r="B337" t="str">
        <f>VLOOKUP(A337,'[1]DEPURACION FINAL TRAB'!$A$1:$N$855,2,0)</f>
        <v>ECOPETROL S.A.</v>
      </c>
      <c r="C337">
        <v>0</v>
      </c>
      <c r="D337" t="s">
        <v>2281</v>
      </c>
      <c r="E337" t="s">
        <v>2857</v>
      </c>
      <c r="F337" s="17" t="s">
        <v>1932</v>
      </c>
      <c r="G337">
        <v>18362546</v>
      </c>
      <c r="H337">
        <v>219</v>
      </c>
    </row>
    <row r="338" spans="1:8" ht="15" customHeight="1" x14ac:dyDescent="0.25">
      <c r="A338">
        <v>890301690</v>
      </c>
      <c r="B338" t="str">
        <f>VLOOKUP(A338,'[1]DEPURACION FINAL TRAB'!$A$1:$N$855,2,0)</f>
        <v>INGREDION COLOMBIA S.A.</v>
      </c>
      <c r="C338">
        <v>0</v>
      </c>
      <c r="D338" t="s">
        <v>2283</v>
      </c>
      <c r="E338" t="s">
        <v>2961</v>
      </c>
      <c r="F338" s="17" t="s">
        <v>374</v>
      </c>
      <c r="G338">
        <v>18838552.989999998</v>
      </c>
      <c r="H338">
        <v>219</v>
      </c>
    </row>
    <row r="339" spans="1:8" ht="15" customHeight="1" x14ac:dyDescent="0.25">
      <c r="A339">
        <v>901126044</v>
      </c>
      <c r="B339" t="str">
        <f>VLOOKUP(A339,'[1]DEPURACION FINAL TRAB'!$A$1:$N$855,2,0)</f>
        <v>RED DE SERVICIOS ELECTRICOS AVANZADOS S.A.S.</v>
      </c>
      <c r="C339" t="str">
        <f>VLOOKUP(A339,'[1]DEPURACION FINAL TRAB'!$1:$1048576,3,0)</f>
        <v>313 4403776</v>
      </c>
      <c r="D339" t="s">
        <v>2618</v>
      </c>
      <c r="E339" t="s">
        <v>2730</v>
      </c>
      <c r="F339" s="17" t="s">
        <v>374</v>
      </c>
      <c r="G339">
        <v>18886832.720000003</v>
      </c>
      <c r="H339">
        <v>219</v>
      </c>
    </row>
    <row r="340" spans="1:8" ht="15" customHeight="1" x14ac:dyDescent="0.25">
      <c r="A340">
        <v>901275614</v>
      </c>
      <c r="B340" t="str">
        <f>VLOOKUP(A340,'[1]DEPURACION FINAL TRAB'!$A$1:$N$855,2,0)</f>
        <v>GLOBAL INDUSTRIAL FURNACE &amp; PROJECTS S.A.S</v>
      </c>
      <c r="C340">
        <v>0</v>
      </c>
      <c r="D340" t="s">
        <v>2468</v>
      </c>
      <c r="E340" t="s">
        <v>2911</v>
      </c>
      <c r="F340" s="17" t="s">
        <v>2216</v>
      </c>
      <c r="G340">
        <v>18978599.460000005</v>
      </c>
      <c r="H340">
        <v>219</v>
      </c>
    </row>
    <row r="341" spans="1:8" ht="15" customHeight="1" x14ac:dyDescent="0.25">
      <c r="A341">
        <v>900226838</v>
      </c>
      <c r="B341" t="str">
        <f>VLOOKUP(A341,'[1]DEPURACION FINAL TRAB'!$A$1:$N$855,2,0)</f>
        <v>NOUVELLE DE COLOMBIA EU</v>
      </c>
      <c r="C341">
        <v>0</v>
      </c>
      <c r="D341" t="s">
        <v>2566</v>
      </c>
      <c r="E341" t="s">
        <v>3003</v>
      </c>
      <c r="F341" s="17" t="s">
        <v>439</v>
      </c>
      <c r="G341">
        <v>19204629.140000001</v>
      </c>
      <c r="H341">
        <v>219</v>
      </c>
    </row>
    <row r="342" spans="1:8" ht="15" customHeight="1" x14ac:dyDescent="0.25">
      <c r="A342">
        <v>900718257</v>
      </c>
      <c r="B342" t="str">
        <f>VLOOKUP(A342,'[1]DEPURACION FINAL TRAB'!$A$1:$N$855,2,0)</f>
        <v>CORRUMED S.A.S.</v>
      </c>
      <c r="C342">
        <v>0</v>
      </c>
      <c r="D342" t="s">
        <v>2385</v>
      </c>
      <c r="E342" t="s">
        <v>2835</v>
      </c>
      <c r="F342" s="17" t="s">
        <v>350</v>
      </c>
      <c r="G342">
        <v>19231900</v>
      </c>
      <c r="H342">
        <v>219</v>
      </c>
    </row>
    <row r="343" spans="1:8" ht="15" customHeight="1" x14ac:dyDescent="0.25">
      <c r="A343">
        <v>901480503</v>
      </c>
      <c r="B343" t="str">
        <f>VLOOKUP(A343,'[1]DEPURACION FINAL TRAB'!$A$1:$N$855,2,0)</f>
        <v>PEPSICO ALIMENTOS ANTIOQUIA LTDA</v>
      </c>
      <c r="C343" t="str">
        <f>VLOOKUP(A343,'[1]DEPURACION FINAL TRAB'!$1:$1048576,3,0)</f>
        <v>310 3478697</v>
      </c>
      <c r="D343" t="s">
        <v>2585</v>
      </c>
      <c r="E343" t="s">
        <v>3021</v>
      </c>
      <c r="F343" s="17" t="s">
        <v>234</v>
      </c>
      <c r="G343">
        <v>19559080</v>
      </c>
      <c r="H343">
        <v>219</v>
      </c>
    </row>
    <row r="344" spans="1:8" ht="15" customHeight="1" x14ac:dyDescent="0.25">
      <c r="A344">
        <v>860001965</v>
      </c>
      <c r="B344" t="str">
        <f>VLOOKUP(A344,'[1]DEPURACION FINAL TRAB'!$A$1:$N$855,2,0)</f>
        <v>TEXTILES LAFAYETTE SAS</v>
      </c>
      <c r="C344">
        <v>0</v>
      </c>
      <c r="D344" t="s">
        <v>2687</v>
      </c>
      <c r="E344" t="s">
        <v>2730</v>
      </c>
      <c r="F344" s="17" t="s">
        <v>419</v>
      </c>
      <c r="G344">
        <v>19682077.780000001</v>
      </c>
      <c r="H344">
        <v>219</v>
      </c>
    </row>
    <row r="345" spans="1:8" ht="15" customHeight="1" x14ac:dyDescent="0.25">
      <c r="A345">
        <v>830036921</v>
      </c>
      <c r="B345" t="str">
        <f>VLOOKUP(A345,'[1]DEPURACION FINAL TRAB'!$A$1:$N$855,2,0)</f>
        <v>VIDRIO ANDINO S.A.S</v>
      </c>
      <c r="C345">
        <v>0</v>
      </c>
      <c r="D345" t="s">
        <v>2708</v>
      </c>
      <c r="E345" t="s">
        <v>3134</v>
      </c>
      <c r="F345" s="17" t="s">
        <v>1285</v>
      </c>
      <c r="G345">
        <v>19709938.719999999</v>
      </c>
      <c r="H345">
        <v>219</v>
      </c>
    </row>
    <row r="346" spans="1:8" ht="15" customHeight="1" x14ac:dyDescent="0.25">
      <c r="A346">
        <v>860002537</v>
      </c>
      <c r="B346" t="str">
        <f>VLOOKUP(A346,'[1]DEPURACION FINAL TRAB'!$A$1:$N$855,2,0)</f>
        <v>COMPANIA COLOMBIANA DE EMPAQUES BATES S.A.S</v>
      </c>
      <c r="C346" t="str">
        <f>VLOOKUP(A346,'[1]DEPURACION FINAL TRAB'!$1:$1048576,3,0)</f>
        <v>2818800</v>
      </c>
      <c r="D346" t="s">
        <v>2360</v>
      </c>
      <c r="E346" t="s">
        <v>2811</v>
      </c>
      <c r="F346" s="17" t="s">
        <v>2216</v>
      </c>
      <c r="G346">
        <v>19773660</v>
      </c>
      <c r="H346">
        <v>219</v>
      </c>
    </row>
    <row r="347" spans="1:8" ht="15" customHeight="1" x14ac:dyDescent="0.25">
      <c r="A347">
        <v>901119356</v>
      </c>
      <c r="B347" t="str">
        <f>VLOOKUP(A347,'[1]DEPURACION FINAL TRAB'!$A$1:$N$855,2,0)</f>
        <v>MECATRONICA DE COLOMBIA S.A.S.</v>
      </c>
      <c r="C347">
        <v>0</v>
      </c>
      <c r="D347" t="s">
        <v>2553</v>
      </c>
      <c r="E347" t="s">
        <v>2990</v>
      </c>
      <c r="F347" s="17" t="s">
        <v>2205</v>
      </c>
      <c r="G347">
        <v>19812869.890000001</v>
      </c>
      <c r="H347">
        <v>219</v>
      </c>
    </row>
    <row r="348" spans="1:8" ht="15" customHeight="1" x14ac:dyDescent="0.25">
      <c r="A348">
        <v>890929497</v>
      </c>
      <c r="B348" t="str">
        <f>VLOOKUP(A348,'[1]DEPURACION FINAL TRAB'!$A$1:$N$855,2,0)</f>
        <v xml:space="preserve">	MAPER S.A.S.</v>
      </c>
      <c r="C348">
        <v>0</v>
      </c>
      <c r="D348" t="s">
        <v>2262</v>
      </c>
      <c r="E348" t="s">
        <v>2717</v>
      </c>
      <c r="F348" s="17" t="s">
        <v>350</v>
      </c>
      <c r="G348">
        <v>19838010.199999999</v>
      </c>
      <c r="H348">
        <v>219</v>
      </c>
    </row>
    <row r="349" spans="1:8" ht="15" customHeight="1" x14ac:dyDescent="0.25">
      <c r="A349">
        <v>860002518</v>
      </c>
      <c r="B349" t="str">
        <f>VLOOKUP(A349,'[1]DEPURACION FINAL TRAB'!$A$1:$N$855,2,0)</f>
        <v>UNILEVER ANDINA COLOMBIA LTDA</v>
      </c>
      <c r="C349">
        <v>0</v>
      </c>
      <c r="D349" t="s">
        <v>2697</v>
      </c>
      <c r="E349" t="s">
        <v>3124</v>
      </c>
      <c r="F349" s="17" t="s">
        <v>419</v>
      </c>
      <c r="G349">
        <v>19921780.210000001</v>
      </c>
      <c r="H349">
        <v>219</v>
      </c>
    </row>
    <row r="350" spans="1:8" ht="15" customHeight="1" x14ac:dyDescent="0.25">
      <c r="A350">
        <v>900514678</v>
      </c>
      <c r="B350" t="str">
        <f>VLOOKUP(A350,'[1]DEPURACION FINAL TRAB'!$A$1:$N$855,2,0)</f>
        <v>PROCESOS AUTOMATICOS CELTAR S.A.S</v>
      </c>
      <c r="C350">
        <v>0</v>
      </c>
      <c r="D350" t="s">
        <v>2599</v>
      </c>
      <c r="E350" t="s">
        <v>3034</v>
      </c>
      <c r="F350" s="17" t="s">
        <v>419</v>
      </c>
      <c r="G350">
        <v>19977039.829999998</v>
      </c>
      <c r="H350">
        <v>219</v>
      </c>
    </row>
    <row r="351" spans="1:8" ht="15" customHeight="1" x14ac:dyDescent="0.25">
      <c r="A351">
        <v>900548622</v>
      </c>
      <c r="B351" t="str">
        <f>VLOOKUP(A351,'[1]DEPURACION FINAL TRAB'!$A$1:$N$855,2,0)</f>
        <v>VIVEXCEL S.A.S.</v>
      </c>
      <c r="C351">
        <v>0</v>
      </c>
      <c r="D351" t="s">
        <v>2709</v>
      </c>
      <c r="E351" t="s">
        <v>3135</v>
      </c>
      <c r="F351" s="17" t="s">
        <v>419</v>
      </c>
      <c r="G351">
        <v>20017330.530000001</v>
      </c>
      <c r="H351">
        <v>219</v>
      </c>
    </row>
    <row r="352" spans="1:8" ht="15" customHeight="1" x14ac:dyDescent="0.25">
      <c r="A352">
        <v>472573795</v>
      </c>
      <c r="B352" t="str">
        <f>VLOOKUP(A352,'[1]DEPURACION FINAL TRAB'!$A$1:$N$855,2,0)</f>
        <v xml:space="preserve">AVEVA SOFTWARE LLC </v>
      </c>
      <c r="C352" t="str">
        <f>VLOOKUP(A352,'[1]DEPURACION FINAL TRAB'!$1:$1048576,3,0)</f>
        <v>N/A</v>
      </c>
      <c r="D352" t="s">
        <v>2389</v>
      </c>
      <c r="E352" t="s">
        <v>2720</v>
      </c>
      <c r="F352" s="17" t="s">
        <v>1259</v>
      </c>
      <c r="G352">
        <v>20024208.319999963</v>
      </c>
      <c r="H352">
        <v>219</v>
      </c>
    </row>
    <row r="353" spans="1:8" ht="15" customHeight="1" x14ac:dyDescent="0.25">
      <c r="A353">
        <v>800156044</v>
      </c>
      <c r="B353" t="str">
        <f>VLOOKUP(A353,'[1]DEPURACION FINAL TRAB'!$A$1:$N$855,2,0)</f>
        <v>COMPAÑIA DE PUERTOS ASOCIADOS S.A.</v>
      </c>
      <c r="C353" t="str">
        <f>VLOOKUP(A353,'[1]DEPURACION FINAL TRAB'!$1:$1048576,3,0)</f>
        <v>5897373</v>
      </c>
      <c r="D353" t="s">
        <v>2363</v>
      </c>
      <c r="E353" t="s">
        <v>2814</v>
      </c>
      <c r="F353" s="17" t="s">
        <v>374</v>
      </c>
      <c r="G353">
        <v>20422886.399999999</v>
      </c>
      <c r="H353">
        <v>219</v>
      </c>
    </row>
    <row r="354" spans="1:8" ht="15" customHeight="1" x14ac:dyDescent="0.25">
      <c r="A354">
        <v>860026753</v>
      </c>
      <c r="B354" t="str">
        <f>VLOOKUP(A354,'[1]DEPURACION FINAL TRAB'!$A$1:$N$855,2,0)</f>
        <v>ACESCO COLOMBIA S.A.S.</v>
      </c>
      <c r="C354">
        <v>0</v>
      </c>
      <c r="D354" t="s">
        <v>2264</v>
      </c>
      <c r="E354" t="s">
        <v>2719</v>
      </c>
      <c r="F354" s="17" t="s">
        <v>378</v>
      </c>
      <c r="G354">
        <v>20437238.199999999</v>
      </c>
      <c r="H354">
        <v>219</v>
      </c>
    </row>
    <row r="355" spans="1:8" ht="15" customHeight="1" x14ac:dyDescent="0.25">
      <c r="A355">
        <v>800096040</v>
      </c>
      <c r="B355" t="str">
        <f>VLOOKUP(A355,'[1]DEPURACION FINAL TRAB'!$A$1:$N$855,2,0)</f>
        <v>COMESTIBLES ALDOR S.A.S</v>
      </c>
      <c r="C355" t="str">
        <f>VLOOKUP(A355,'[1]DEPURACION FINAL TRAB'!$1:$1048576,3,0)</f>
        <v>2852852</v>
      </c>
      <c r="D355" t="s">
        <v>2357</v>
      </c>
      <c r="E355" t="s">
        <v>2808</v>
      </c>
      <c r="F355" s="17" t="s">
        <v>419</v>
      </c>
      <c r="G355">
        <v>20523200</v>
      </c>
      <c r="H355">
        <v>219</v>
      </c>
    </row>
    <row r="356" spans="1:8" ht="15" customHeight="1" x14ac:dyDescent="0.25">
      <c r="A356">
        <v>891300241</v>
      </c>
      <c r="B356" t="str">
        <f>VLOOKUP(A356,'[1]DEPURACION FINAL TRAB'!$A$1:$N$855,2,0)</f>
        <v>MANUELITA S.A.</v>
      </c>
      <c r="C356">
        <v>0</v>
      </c>
      <c r="D356" t="s">
        <v>2545</v>
      </c>
      <c r="E356" t="s">
        <v>2983</v>
      </c>
      <c r="F356" s="17" t="s">
        <v>2216</v>
      </c>
      <c r="G356">
        <v>20565749.020000003</v>
      </c>
      <c r="H356">
        <v>219</v>
      </c>
    </row>
    <row r="357" spans="1:8" ht="15" customHeight="1" x14ac:dyDescent="0.25">
      <c r="A357" t="s">
        <v>2254</v>
      </c>
      <c r="B357" t="str">
        <f>VLOOKUP(A357,'[1]DEPURACION FINAL TRAB'!$A$1:$N$855,2,0)</f>
        <v>SICK AG</v>
      </c>
      <c r="C357" t="str">
        <f>VLOOKUP(A357,'[1]DEPURACION FINAL TRAB'!$1:$1048576,3,0)</f>
        <v>N/A</v>
      </c>
      <c r="D357" t="s">
        <v>2261</v>
      </c>
      <c r="E357" t="s">
        <v>2720</v>
      </c>
      <c r="F357" s="17" t="s">
        <v>1259</v>
      </c>
      <c r="G357">
        <v>20820823.189999998</v>
      </c>
      <c r="H357">
        <v>219</v>
      </c>
    </row>
    <row r="358" spans="1:8" ht="15" customHeight="1" x14ac:dyDescent="0.25">
      <c r="A358">
        <v>860036365</v>
      </c>
      <c r="B358" t="str">
        <f>VLOOKUP(A358,'[1]DEPURACION FINAL TRAB'!$A$1:$N$855,2,0)</f>
        <v>CONCRELAB SAS</v>
      </c>
      <c r="C358">
        <v>0</v>
      </c>
      <c r="D358" t="s">
        <v>2371</v>
      </c>
      <c r="E358" t="s">
        <v>2822</v>
      </c>
      <c r="F358" s="17" t="s">
        <v>419</v>
      </c>
      <c r="G358">
        <v>20911000</v>
      </c>
      <c r="H358">
        <v>219</v>
      </c>
    </row>
    <row r="359" spans="1:8" ht="15" customHeight="1" x14ac:dyDescent="0.25">
      <c r="A359">
        <v>860000751</v>
      </c>
      <c r="B359" t="str">
        <f>VLOOKUP(A359,'[1]DEPURACION FINAL TRAB'!$A$1:$N$855,2,0)</f>
        <v>HENKEL COLOMBIANA S.A S</v>
      </c>
      <c r="C359">
        <f>VLOOKUP(A359,'[1]DEPURACION FINAL TRAB'!$1:$1048576,3,0)</f>
        <v>4239000</v>
      </c>
      <c r="D359" t="s">
        <v>2484</v>
      </c>
      <c r="E359" t="s">
        <v>2927</v>
      </c>
      <c r="F359" s="17" t="s">
        <v>419</v>
      </c>
      <c r="G359">
        <v>21083200</v>
      </c>
      <c r="H359">
        <v>219</v>
      </c>
    </row>
    <row r="360" spans="1:8" ht="15" customHeight="1" x14ac:dyDescent="0.25">
      <c r="A360">
        <v>860007538</v>
      </c>
      <c r="B360" t="str">
        <f>VLOOKUP(A360,'[1]DEPURACION FINAL TRAB'!$A$1:$N$855,2,0)</f>
        <v>FEDERACION NACIONAL DE CAFETEROS DE COLOMBIA</v>
      </c>
      <c r="C360">
        <v>0</v>
      </c>
      <c r="D360" t="s">
        <v>2442</v>
      </c>
      <c r="E360" t="s">
        <v>2889</v>
      </c>
      <c r="F360" s="17" t="s">
        <v>781</v>
      </c>
      <c r="G360">
        <v>21131450</v>
      </c>
      <c r="H360">
        <v>219</v>
      </c>
    </row>
    <row r="361" spans="1:8" ht="15" customHeight="1" x14ac:dyDescent="0.25">
      <c r="A361">
        <v>900736003</v>
      </c>
      <c r="B361" t="str">
        <f>VLOOKUP(A361,'[1]DEPURACION FINAL TRAB'!$A$1:$N$855,2,0)</f>
        <v>ZONA FRANCA PIR S.A.S</v>
      </c>
      <c r="C361">
        <v>0</v>
      </c>
      <c r="D361" t="s">
        <v>2716</v>
      </c>
      <c r="E361" t="s">
        <v>3142</v>
      </c>
      <c r="F361" s="17" t="s">
        <v>1275</v>
      </c>
      <c r="G361">
        <v>21319436.359999999</v>
      </c>
      <c r="H361">
        <v>219</v>
      </c>
    </row>
    <row r="362" spans="1:8" ht="15" customHeight="1" x14ac:dyDescent="0.25">
      <c r="A362">
        <v>890900281</v>
      </c>
      <c r="B362" t="str">
        <f>VLOOKUP(A362,'[1]DEPURACION FINAL TRAB'!$A$1:$N$855,2,0)</f>
        <v>INDUSTRIAS HACEB S.A.</v>
      </c>
      <c r="C362">
        <v>0</v>
      </c>
      <c r="D362" t="s">
        <v>2504</v>
      </c>
      <c r="E362" t="s">
        <v>2948</v>
      </c>
      <c r="F362" s="17" t="s">
        <v>342</v>
      </c>
      <c r="G362">
        <v>21470040</v>
      </c>
      <c r="H362">
        <v>219</v>
      </c>
    </row>
    <row r="363" spans="1:8" ht="15" customHeight="1" x14ac:dyDescent="0.25">
      <c r="A363">
        <v>805021980</v>
      </c>
      <c r="B363" t="str">
        <f>VLOOKUP(A363,'[1]DEPURACION FINAL TRAB'!$A$1:$N$855,2,0)</f>
        <v>METROINSTRUMENTS S.A.S</v>
      </c>
      <c r="C363" t="str">
        <f>VLOOKUP(A363,'[1]DEPURACION FINAL TRAB'!$1:$1048576,3,0)</f>
        <v>25242755</v>
      </c>
      <c r="D363" t="s">
        <v>2557</v>
      </c>
      <c r="E363" t="s">
        <v>2730</v>
      </c>
      <c r="F363" s="17" t="s">
        <v>2205</v>
      </c>
      <c r="G363">
        <v>21721000.789999999</v>
      </c>
      <c r="H363">
        <v>219</v>
      </c>
    </row>
    <row r="364" spans="1:8" ht="15" customHeight="1" x14ac:dyDescent="0.25">
      <c r="A364">
        <v>890805267</v>
      </c>
      <c r="B364" t="str">
        <f>VLOOKUP(A364,'[1]DEPURACION FINAL TRAB'!$A$1:$N$855,2,0)</f>
        <v>SUPER DE ALIMENTOS S.A.S.</v>
      </c>
      <c r="C364">
        <v>0</v>
      </c>
      <c r="D364" t="s">
        <v>2669</v>
      </c>
      <c r="E364" t="s">
        <v>3100</v>
      </c>
      <c r="F364" s="17" t="s">
        <v>783</v>
      </c>
      <c r="G364">
        <v>21806200</v>
      </c>
      <c r="H364">
        <v>219</v>
      </c>
    </row>
    <row r="365" spans="1:8" ht="15" customHeight="1" x14ac:dyDescent="0.25">
      <c r="A365">
        <v>901181764</v>
      </c>
      <c r="B365" t="str">
        <f>VLOOKUP(A365,'[1]DEPURACION FINAL TRAB'!$A$1:$N$855,2,0)</f>
        <v>C.I. FLORA FOOD COLOMBIA S.A.S</v>
      </c>
      <c r="C365">
        <v>0</v>
      </c>
      <c r="D365" t="s">
        <v>2324</v>
      </c>
      <c r="E365" t="s">
        <v>2775</v>
      </c>
      <c r="F365" s="17" t="s">
        <v>2205</v>
      </c>
      <c r="G365">
        <v>21882433.550000001</v>
      </c>
      <c r="H365">
        <v>219</v>
      </c>
    </row>
    <row r="366" spans="1:8" ht="15" customHeight="1" x14ac:dyDescent="0.25">
      <c r="A366">
        <v>806008873</v>
      </c>
      <c r="B366" t="str">
        <f>VLOOKUP(A366,'[1]DEPURACION FINAL TRAB'!$A$1:$N$855,2,0)</f>
        <v>COTECMAR</v>
      </c>
      <c r="C366">
        <v>0</v>
      </c>
      <c r="D366" t="s">
        <v>2386</v>
      </c>
      <c r="E366" t="s">
        <v>2836</v>
      </c>
      <c r="F366" s="17" t="s">
        <v>439</v>
      </c>
      <c r="G366">
        <v>22052858.449999999</v>
      </c>
      <c r="H366">
        <v>219</v>
      </c>
    </row>
    <row r="367" spans="1:8" ht="15" customHeight="1" x14ac:dyDescent="0.25">
      <c r="A367">
        <v>900696793</v>
      </c>
      <c r="B367" t="str">
        <f>VLOOKUP(A367,'[1]DEPURACION FINAL TRAB'!$A$1:$N$855,2,0)</f>
        <v>INNGENIA S.A.S</v>
      </c>
      <c r="C367" t="str">
        <f>VLOOKUP(A367,'[1]DEPURACION FINAL TRAB'!$1:$1048576,3,0)</f>
        <v>316 3815714</v>
      </c>
      <c r="D367" t="s">
        <v>2518</v>
      </c>
      <c r="E367" t="s">
        <v>2730</v>
      </c>
      <c r="F367" s="17" t="s">
        <v>2205</v>
      </c>
      <c r="G367">
        <v>22061782.789999999</v>
      </c>
      <c r="H367">
        <v>219</v>
      </c>
    </row>
    <row r="368" spans="1:8" ht="15" customHeight="1" x14ac:dyDescent="0.25">
      <c r="A368">
        <v>900221155</v>
      </c>
      <c r="B368" t="str">
        <f>VLOOKUP(A368,'[1]DEPURACION FINAL TRAB'!$A$1:$N$855,2,0)</f>
        <v>EMPRENDER SOLUCIONES LTDA</v>
      </c>
      <c r="C368">
        <v>0</v>
      </c>
      <c r="D368" t="s">
        <v>2418</v>
      </c>
      <c r="E368" t="s">
        <v>2730</v>
      </c>
      <c r="F368" s="17" t="s">
        <v>1945</v>
      </c>
      <c r="G368">
        <v>22408539.399999999</v>
      </c>
      <c r="H368">
        <v>219</v>
      </c>
    </row>
    <row r="369" spans="1:8" ht="15" customHeight="1" x14ac:dyDescent="0.25">
      <c r="A369">
        <v>900907364</v>
      </c>
      <c r="B369" t="str">
        <f>VLOOKUP(A369,'[1]DEPURACION FINAL TRAB'!$A$1:$N$855,2,0)</f>
        <v>EMPRESA COLOMBIANA DE CEMENTOS S.A.S</v>
      </c>
      <c r="C369" t="str">
        <f>VLOOKUP(A369,'[1]DEPURACION FINAL TRAB'!$1:$1048576,3,0)</f>
        <v>3787353</v>
      </c>
      <c r="D369" t="s">
        <v>2419</v>
      </c>
      <c r="E369" t="s">
        <v>2865</v>
      </c>
      <c r="F369" s="17" t="s">
        <v>264</v>
      </c>
      <c r="G369">
        <v>22420160</v>
      </c>
      <c r="H369">
        <v>219</v>
      </c>
    </row>
    <row r="370" spans="1:8" ht="15" customHeight="1" x14ac:dyDescent="0.25">
      <c r="A370">
        <v>830013789</v>
      </c>
      <c r="B370" t="str">
        <f>VLOOKUP(A370,'[1]DEPURACION FINAL TRAB'!$A$1:$N$855,2,0)</f>
        <v>AUTOPACK LTDA</v>
      </c>
      <c r="C370">
        <v>0</v>
      </c>
      <c r="D370" t="s">
        <v>2300</v>
      </c>
      <c r="E370" t="s">
        <v>2752</v>
      </c>
      <c r="F370" s="17" t="s">
        <v>419</v>
      </c>
      <c r="G370">
        <v>22452449.039999999</v>
      </c>
      <c r="H370">
        <v>219</v>
      </c>
    </row>
    <row r="371" spans="1:8" ht="15" customHeight="1" x14ac:dyDescent="0.25">
      <c r="A371">
        <v>860009873</v>
      </c>
      <c r="B371" t="str">
        <f>VLOOKUP(A371,'[1]DEPURACION FINAL TRAB'!$A$1:$N$855,2,0)</f>
        <v>SOCIEDAD PORTUARIA PUERTO BAHIA S A</v>
      </c>
      <c r="C371">
        <v>0</v>
      </c>
      <c r="D371" t="s">
        <v>2281</v>
      </c>
      <c r="E371" t="s">
        <v>3082</v>
      </c>
      <c r="F371" s="17" t="s">
        <v>439</v>
      </c>
      <c r="G371">
        <v>22474594</v>
      </c>
      <c r="H371">
        <v>219</v>
      </c>
    </row>
    <row r="372" spans="1:8" ht="15" customHeight="1" x14ac:dyDescent="0.25">
      <c r="A372">
        <v>860005669</v>
      </c>
      <c r="B372" t="str">
        <f>VLOOKUP(A372,'[1]DEPURACION FINAL TRAB'!$A$1:$N$855,2,0)</f>
        <v>LEGRAND COLOMBIA S.A</v>
      </c>
      <c r="C372">
        <v>0</v>
      </c>
      <c r="D372" t="s">
        <v>2540</v>
      </c>
      <c r="E372" t="s">
        <v>2979</v>
      </c>
      <c r="F372" s="17" t="s">
        <v>419</v>
      </c>
      <c r="G372">
        <v>22552455.329999998</v>
      </c>
      <c r="H372">
        <v>219</v>
      </c>
    </row>
    <row r="373" spans="1:8" ht="15" customHeight="1" x14ac:dyDescent="0.25">
      <c r="A373">
        <v>830129277</v>
      </c>
      <c r="B373" t="str">
        <f>VLOOKUP(A373,'[1]DEPURACION FINAL TRAB'!$A$1:$N$855,2,0)</f>
        <v>TERMOYOPAL GENERACION 2 SAS</v>
      </c>
      <c r="C373">
        <f>VLOOKUP(A373,'[1]DEPURACION FINAL TRAB'!$1:$1048576,3,0)</f>
        <v>0</v>
      </c>
      <c r="D373" t="s">
        <v>2685</v>
      </c>
      <c r="E373" t="s">
        <v>3112</v>
      </c>
      <c r="F373" s="17" t="s">
        <v>419</v>
      </c>
      <c r="G373">
        <v>22721564</v>
      </c>
      <c r="H373">
        <v>219</v>
      </c>
    </row>
    <row r="374" spans="1:8" ht="15" customHeight="1" x14ac:dyDescent="0.25">
      <c r="A374">
        <v>901131909</v>
      </c>
      <c r="B374" t="str">
        <f>VLOOKUP(A374,'[1]DEPURACION FINAL TRAB'!$A$1:$N$855,2,0)</f>
        <v>TERNIUM DEL ATLÁNTICO S.A.S.</v>
      </c>
      <c r="C374">
        <v>0</v>
      </c>
      <c r="D374" t="s">
        <v>2686</v>
      </c>
      <c r="E374" t="s">
        <v>3114</v>
      </c>
      <c r="F374" s="17" t="s">
        <v>348</v>
      </c>
      <c r="G374">
        <v>22821605.100000001</v>
      </c>
      <c r="H374">
        <v>219</v>
      </c>
    </row>
    <row r="375" spans="1:8" ht="15" customHeight="1" x14ac:dyDescent="0.25">
      <c r="A375">
        <v>830021253</v>
      </c>
      <c r="B375" t="str">
        <f>VLOOKUP(A375,'[1]DEPURACION FINAL TRAB'!$A$1:$N$855,2,0)</f>
        <v>CROWN COLOMBIANA S.A.</v>
      </c>
      <c r="C375">
        <v>0</v>
      </c>
      <c r="D375" t="s">
        <v>2390</v>
      </c>
      <c r="E375" t="s">
        <v>2839</v>
      </c>
      <c r="F375" s="17" t="s">
        <v>1259</v>
      </c>
      <c r="G375">
        <v>22910000</v>
      </c>
      <c r="H375">
        <v>334</v>
      </c>
    </row>
    <row r="376" spans="1:8" ht="15" customHeight="1" x14ac:dyDescent="0.25">
      <c r="A376">
        <v>900121912</v>
      </c>
      <c r="B376" t="str">
        <f>VLOOKUP(A376,'[1]DEPURACION FINAL TRAB'!$A$1:$N$855,2,0)</f>
        <v>SOFTWARE &amp;SOLUCION INDUSTRIAL LTDA</v>
      </c>
      <c r="C376">
        <v>0</v>
      </c>
      <c r="D376" t="s">
        <v>2654</v>
      </c>
      <c r="E376" t="s">
        <v>3085</v>
      </c>
      <c r="F376" s="17" t="s">
        <v>419</v>
      </c>
      <c r="G376">
        <v>23417480</v>
      </c>
      <c r="H376">
        <v>219</v>
      </c>
    </row>
    <row r="377" spans="1:8" ht="15" customHeight="1" x14ac:dyDescent="0.25">
      <c r="A377">
        <v>900362965</v>
      </c>
      <c r="B377" t="str">
        <f>VLOOKUP(A377,'[1]DEPURACION FINAL TRAB'!$A$1:$N$855,2,0)</f>
        <v>MEDICABLES S.A.S.</v>
      </c>
      <c r="C377" t="str">
        <f>VLOOKUP(A377,'[1]DEPURACION FINAL TRAB'!$1:$1048576,3,0)</f>
        <v>3377342</v>
      </c>
      <c r="D377" t="s">
        <v>2554</v>
      </c>
      <c r="E377" t="s">
        <v>2991</v>
      </c>
      <c r="F377" s="17" t="s">
        <v>2205</v>
      </c>
      <c r="G377">
        <v>23819959.170000002</v>
      </c>
      <c r="H377">
        <v>219</v>
      </c>
    </row>
    <row r="378" spans="1:8" ht="15" customHeight="1" x14ac:dyDescent="0.25">
      <c r="A378">
        <v>901194348</v>
      </c>
      <c r="B378" t="str">
        <f>VLOOKUP(A378,'[1]DEPURACION FINAL TRAB'!$A$1:$N$855,2,0)</f>
        <v>PROELECTRIC VELANDIA SAS</v>
      </c>
      <c r="C378" t="str">
        <f>VLOOKUP(A378,'[1]DEPURACION FINAL TRAB'!$1:$1048576,3,0)</f>
        <v>313 4908541</v>
      </c>
      <c r="D378" t="s">
        <v>2606</v>
      </c>
      <c r="E378" t="s">
        <v>3042</v>
      </c>
      <c r="F378" s="17" t="s">
        <v>1549</v>
      </c>
      <c r="G378">
        <v>23979493.559999999</v>
      </c>
      <c r="H378">
        <v>219</v>
      </c>
    </row>
    <row r="379" spans="1:8" ht="15" customHeight="1" x14ac:dyDescent="0.25">
      <c r="A379">
        <v>800224082</v>
      </c>
      <c r="B379" t="str">
        <f>VLOOKUP(A379,'[1]DEPURACION FINAL TRAB'!$A$1:$N$855,2,0)</f>
        <v>COLOMBIANA DE CONTROLES S.A.S.</v>
      </c>
      <c r="C379">
        <v>0</v>
      </c>
      <c r="D379" t="s">
        <v>2352</v>
      </c>
      <c r="E379" t="s">
        <v>2802</v>
      </c>
      <c r="F379" s="17" t="s">
        <v>352</v>
      </c>
      <c r="G379">
        <v>23994340.16</v>
      </c>
      <c r="H379">
        <v>219</v>
      </c>
    </row>
    <row r="380" spans="1:8" ht="15" customHeight="1" x14ac:dyDescent="0.25">
      <c r="A380">
        <v>890311875</v>
      </c>
      <c r="B380" t="str">
        <f>VLOOKUP(A380,'[1]DEPURACION FINAL TRAB'!$A$1:$N$855,2,0)</f>
        <v>SCHNEIDER ELECTRIC DE COLOMBIA S.A.S.</v>
      </c>
      <c r="C380">
        <v>0</v>
      </c>
      <c r="D380" t="s">
        <v>2634</v>
      </c>
      <c r="E380" t="s">
        <v>3067</v>
      </c>
      <c r="F380" s="17" t="s">
        <v>1271</v>
      </c>
      <c r="G380">
        <v>24191773.140000001</v>
      </c>
      <c r="H380">
        <v>219</v>
      </c>
    </row>
    <row r="381" spans="1:8" ht="15" customHeight="1" x14ac:dyDescent="0.25">
      <c r="A381">
        <v>901862068</v>
      </c>
      <c r="B381" t="str">
        <f>VLOOKUP(A381,'[1]DEPURACION FINAL TRAB'!$A$1:$N$855,2,0)</f>
        <v>POWER NOVA SAS</v>
      </c>
      <c r="C381" t="str">
        <f>VLOOKUP(A381,'[1]DEPURACION FINAL TRAB'!$1:$1048576,3,0)</f>
        <v>312 4346798</v>
      </c>
      <c r="D381" t="s">
        <v>2596</v>
      </c>
      <c r="E381" t="s">
        <v>3031</v>
      </c>
      <c r="F381" s="17" t="s">
        <v>419</v>
      </c>
      <c r="G381">
        <v>24268278.239999998</v>
      </c>
      <c r="H381">
        <v>219</v>
      </c>
    </row>
    <row r="382" spans="1:8" ht="15" customHeight="1" x14ac:dyDescent="0.25">
      <c r="A382">
        <v>900742771</v>
      </c>
      <c r="B382" t="str">
        <f>VLOOKUP(A382,'[1]DEPURACION FINAL TRAB'!$A$1:$N$855,2,0)</f>
        <v>BERHLAN DE COLOMBIA S.A.S</v>
      </c>
      <c r="C382">
        <v>0</v>
      </c>
      <c r="D382" t="s">
        <v>2315</v>
      </c>
      <c r="E382" t="s">
        <v>2767</v>
      </c>
      <c r="F382" s="17" t="s">
        <v>376</v>
      </c>
      <c r="G382">
        <v>24393200</v>
      </c>
      <c r="H382">
        <v>219</v>
      </c>
    </row>
    <row r="383" spans="1:8" ht="15" customHeight="1" x14ac:dyDescent="0.25">
      <c r="A383">
        <v>901038783</v>
      </c>
      <c r="B383" t="str">
        <f>VLOOKUP(A383,'[1]DEPURACION FINAL TRAB'!$A$1:$N$855,2,0)</f>
        <v>ENCERT INGENIERIA S.A.S</v>
      </c>
      <c r="C383">
        <v>0</v>
      </c>
      <c r="D383" t="s">
        <v>2423</v>
      </c>
      <c r="E383" t="s">
        <v>2869</v>
      </c>
      <c r="F383" s="17" t="s">
        <v>352</v>
      </c>
      <c r="G383">
        <v>24443017.119999997</v>
      </c>
      <c r="H383">
        <v>219</v>
      </c>
    </row>
    <row r="384" spans="1:8" ht="15" customHeight="1" x14ac:dyDescent="0.25">
      <c r="A384">
        <v>830128434</v>
      </c>
      <c r="B384" t="str">
        <f>VLOOKUP(A384,'[1]DEPURACION FINAL TRAB'!$A$1:$N$855,2,0)</f>
        <v>WEG COLOMBIA SAS</v>
      </c>
      <c r="C384">
        <v>0</v>
      </c>
      <c r="D384" t="s">
        <v>2711</v>
      </c>
      <c r="E384" t="s">
        <v>3137</v>
      </c>
      <c r="F384" s="17" t="s">
        <v>354</v>
      </c>
      <c r="G384">
        <v>24458154.879999999</v>
      </c>
      <c r="H384">
        <v>219</v>
      </c>
    </row>
    <row r="385" spans="1:8" ht="15" customHeight="1" x14ac:dyDescent="0.25">
      <c r="A385">
        <v>860041662</v>
      </c>
      <c r="B385" t="str">
        <f>VLOOKUP(A385,'[1]DEPURACION FINAL TRAB'!$A$1:$N$855,2,0)</f>
        <v>RAMBAL S.A.S.</v>
      </c>
      <c r="C385">
        <f>VLOOKUP(A385,'[1]DEPURACION FINAL TRAB'!$1:$1048576,3,0)</f>
        <v>6761476</v>
      </c>
      <c r="D385" t="s">
        <v>2614</v>
      </c>
      <c r="E385" t="s">
        <v>3051</v>
      </c>
      <c r="F385" s="17" t="s">
        <v>1945</v>
      </c>
      <c r="G385">
        <v>24601680</v>
      </c>
      <c r="H385">
        <v>219</v>
      </c>
    </row>
    <row r="386" spans="1:8" ht="15" customHeight="1" x14ac:dyDescent="0.25">
      <c r="A386">
        <v>890901389</v>
      </c>
      <c r="B386" t="str">
        <f>VLOOKUP(A386,'[1]DEPURACION FINAL TRAB'!$A$1:$N$855,2,0)</f>
        <v>UNIVERSIDAD - EAFIT</v>
      </c>
      <c r="C386">
        <v>0</v>
      </c>
      <c r="D386" t="s">
        <v>2701</v>
      </c>
      <c r="E386" t="s">
        <v>3128</v>
      </c>
      <c r="F386" s="17" t="s">
        <v>352</v>
      </c>
      <c r="G386">
        <v>24663000</v>
      </c>
      <c r="H386">
        <v>219</v>
      </c>
    </row>
    <row r="387" spans="1:8" ht="15" customHeight="1" x14ac:dyDescent="0.25">
      <c r="A387">
        <v>900262908</v>
      </c>
      <c r="B387" t="str">
        <f>VLOOKUP(A387,'[1]DEPURACION FINAL TRAB'!$A$1:$N$855,2,0)</f>
        <v>DEMCA SAS</v>
      </c>
      <c r="C387" t="str">
        <f>VLOOKUP(A387,'[1]DEPURACION FINAL TRAB'!$1:$1048576,3,0)</f>
        <v>315 7366586</v>
      </c>
      <c r="D387" t="s">
        <v>2395</v>
      </c>
      <c r="E387" t="s">
        <v>2845</v>
      </c>
      <c r="F387" s="17" t="s">
        <v>439</v>
      </c>
      <c r="G387">
        <v>24712935.600000001</v>
      </c>
      <c r="H387">
        <v>219</v>
      </c>
    </row>
    <row r="388" spans="1:8" ht="15" customHeight="1" x14ac:dyDescent="0.25">
      <c r="A388">
        <v>890300431</v>
      </c>
      <c r="B388" t="str">
        <f>VLOOKUP(A388,'[1]DEPURACION FINAL TRAB'!$A$1:$N$855,2,0)</f>
        <v>CABLES DE ENERGIA Y DE TELECOMUNICACIONES S.A.S</v>
      </c>
      <c r="C388">
        <v>0</v>
      </c>
      <c r="D388" t="s">
        <v>2281</v>
      </c>
      <c r="E388" t="s">
        <v>2777</v>
      </c>
      <c r="F388" s="17" t="s">
        <v>2222</v>
      </c>
      <c r="G388">
        <v>24737423.710000001</v>
      </c>
      <c r="H388">
        <v>219</v>
      </c>
    </row>
    <row r="389" spans="1:8" ht="15" customHeight="1" x14ac:dyDescent="0.25">
      <c r="A389">
        <v>830074182</v>
      </c>
      <c r="B389" t="str">
        <f>VLOOKUP(A389,'[1]DEPURACION FINAL TRAB'!$A$1:$N$855,2,0)</f>
        <v>DISTRIELECTRICOS JM Y CIA LTDA</v>
      </c>
      <c r="C389">
        <v>0</v>
      </c>
      <c r="D389" t="s">
        <v>2402</v>
      </c>
      <c r="E389" t="s">
        <v>2851</v>
      </c>
      <c r="F389" s="17" t="s">
        <v>419</v>
      </c>
      <c r="G389">
        <v>24738000</v>
      </c>
      <c r="H389">
        <v>219</v>
      </c>
    </row>
    <row r="390" spans="1:8" ht="15" customHeight="1" x14ac:dyDescent="0.25">
      <c r="A390">
        <v>900954350</v>
      </c>
      <c r="B390" t="str">
        <f>VLOOKUP(A390,'[1]DEPURACION FINAL TRAB'!$A$1:$N$855,2,0)</f>
        <v>FC-MECATRONICA S.A.S</v>
      </c>
      <c r="C390">
        <v>0</v>
      </c>
      <c r="D390" t="s">
        <v>2441</v>
      </c>
      <c r="E390" t="s">
        <v>2888</v>
      </c>
      <c r="F390" s="17" t="s">
        <v>783</v>
      </c>
      <c r="G390">
        <v>25136081.220000003</v>
      </c>
      <c r="H390">
        <v>219</v>
      </c>
    </row>
    <row r="391" spans="1:8" ht="15" customHeight="1" x14ac:dyDescent="0.25">
      <c r="A391">
        <v>890304345</v>
      </c>
      <c r="B391" t="str">
        <f>VLOOKUP(A391,'[1]DEPURACION FINAL TRAB'!$A$1:$N$855,2,0)</f>
        <v>ELECTRICOS DEL VALLE SAS</v>
      </c>
      <c r="C391">
        <v>0</v>
      </c>
      <c r="D391" t="s">
        <v>2410</v>
      </c>
      <c r="E391" t="s">
        <v>2858</v>
      </c>
      <c r="F391" s="17" t="s">
        <v>1826</v>
      </c>
      <c r="G391">
        <v>25201346.93</v>
      </c>
      <c r="H391">
        <v>219</v>
      </c>
    </row>
    <row r="392" spans="1:8" ht="15" customHeight="1" x14ac:dyDescent="0.25">
      <c r="A392">
        <v>800194208</v>
      </c>
      <c r="B392" t="str">
        <f>VLOOKUP(A392,'[1]DEPURACION FINAL TRAB'!$A$1:$N$855,2,0)</f>
        <v>GESTION ENERGETICA S.A E.S.P</v>
      </c>
      <c r="C392">
        <f>VLOOKUP(A392,'[1]DEPURACION FINAL TRAB'!$1:$1048576,3,0)</f>
        <v>8756262</v>
      </c>
      <c r="D392" t="s">
        <v>2464</v>
      </c>
      <c r="E392" t="s">
        <v>2730</v>
      </c>
      <c r="F392" s="17" t="s">
        <v>783</v>
      </c>
      <c r="G392">
        <v>25210084</v>
      </c>
      <c r="H392">
        <v>219</v>
      </c>
    </row>
    <row r="393" spans="1:8" ht="15" customHeight="1" x14ac:dyDescent="0.25">
      <c r="A393">
        <v>802025044</v>
      </c>
      <c r="B393" t="str">
        <f>VLOOKUP(A393,'[1]DEPURACION FINAL TRAB'!$A$1:$N$855,2,0)</f>
        <v>INTELPRO SAS</v>
      </c>
      <c r="C393">
        <v>0</v>
      </c>
      <c r="D393" t="s">
        <v>2524</v>
      </c>
      <c r="E393" t="s">
        <v>2966</v>
      </c>
      <c r="F393" s="17" t="s">
        <v>374</v>
      </c>
      <c r="G393">
        <v>25424133.779999997</v>
      </c>
      <c r="H393">
        <v>219</v>
      </c>
    </row>
    <row r="394" spans="1:8" ht="15" customHeight="1" x14ac:dyDescent="0.25">
      <c r="A394">
        <v>830130106</v>
      </c>
      <c r="B394" t="str">
        <f>VLOOKUP(A394,'[1]DEPURACION FINAL TRAB'!$A$1:$N$855,2,0)</f>
        <v>SOENERGY INTERNATIONAL COLOMBIA S.A.S.</v>
      </c>
      <c r="C394" t="str">
        <f>VLOOKUP(A394,'[1]DEPURACION FINAL TRAB'!$1:$1048576,3,0)</f>
        <v>312 5835235</v>
      </c>
      <c r="D394" t="s">
        <v>2653</v>
      </c>
      <c r="E394" t="s">
        <v>3084</v>
      </c>
      <c r="F394" s="17" t="s">
        <v>419</v>
      </c>
      <c r="G394">
        <v>25498649.5</v>
      </c>
      <c r="H394">
        <v>334</v>
      </c>
    </row>
    <row r="395" spans="1:8" ht="15" customHeight="1" x14ac:dyDescent="0.25">
      <c r="A395">
        <v>900379770</v>
      </c>
      <c r="B395" t="str">
        <f>VLOOKUP(A395,'[1]DEPURACION FINAL TRAB'!$A$1:$N$855,2,0)</f>
        <v>SIGMATECNOL S.A.S</v>
      </c>
      <c r="C395" t="str">
        <f>VLOOKUP(A395,'[1]DEPURACION FINAL TRAB'!$1:$1048576,3,0)</f>
        <v>313 5782680</v>
      </c>
      <c r="D395" t="s">
        <v>2645</v>
      </c>
      <c r="E395" t="s">
        <v>3075</v>
      </c>
      <c r="F395" s="17" t="s">
        <v>439</v>
      </c>
      <c r="G395">
        <v>25803096</v>
      </c>
      <c r="H395">
        <v>219</v>
      </c>
    </row>
    <row r="396" spans="1:8" ht="15" customHeight="1" x14ac:dyDescent="0.25">
      <c r="A396">
        <v>800007202</v>
      </c>
      <c r="B396" t="str">
        <f>VLOOKUP(A396,'[1]DEPURACION FINAL TRAB'!$A$1:$N$855,2,0)</f>
        <v>ALTALENE SA</v>
      </c>
      <c r="C396">
        <f>VLOOKUP(A396,'[1]DEPURACION FINAL TRAB'!$1:$1048576,3,0)</f>
        <v>0</v>
      </c>
      <c r="D396" t="s">
        <v>2284</v>
      </c>
      <c r="E396" t="s">
        <v>2739</v>
      </c>
      <c r="F396" s="17" t="s">
        <v>419</v>
      </c>
      <c r="G396">
        <v>25988561.170000002</v>
      </c>
      <c r="H396">
        <v>219</v>
      </c>
    </row>
    <row r="397" spans="1:8" ht="15" customHeight="1" x14ac:dyDescent="0.25">
      <c r="A397">
        <v>901238999</v>
      </c>
      <c r="B397" t="str">
        <f>VLOOKUP(A397,'[1]DEPURACION FINAL TRAB'!$A$1:$N$855,2,0)</f>
        <v>CONSORCIO SKF-OMIA</v>
      </c>
      <c r="C397">
        <f>VLOOKUP(A397,'[1]DEPURACION FINAL TRAB'!$1:$1048576,3,0)</f>
        <v>3905778</v>
      </c>
      <c r="D397" t="s">
        <v>2375</v>
      </c>
      <c r="E397" t="s">
        <v>2730</v>
      </c>
      <c r="F397" s="17" t="s">
        <v>419</v>
      </c>
      <c r="G397">
        <v>26035093.140000001</v>
      </c>
      <c r="H397">
        <v>334</v>
      </c>
    </row>
    <row r="398" spans="1:8" ht="15" customHeight="1" x14ac:dyDescent="0.25">
      <c r="A398">
        <v>900606828</v>
      </c>
      <c r="B398" t="str">
        <f>VLOOKUP(A398,'[1]DEPURACION FINAL TRAB'!$A$1:$N$855,2,0)</f>
        <v>CONTROL Y AUTOMATIZACION INDUSTRIAL CONTROLMATICA S.A.S</v>
      </c>
      <c r="C398">
        <v>0</v>
      </c>
      <c r="D398" t="s">
        <v>2379</v>
      </c>
      <c r="E398" t="s">
        <v>2830</v>
      </c>
      <c r="F398" s="17" t="s">
        <v>352</v>
      </c>
      <c r="G398">
        <v>26300188.479999997</v>
      </c>
      <c r="H398">
        <v>219</v>
      </c>
    </row>
    <row r="399" spans="1:8" ht="15" customHeight="1" x14ac:dyDescent="0.25">
      <c r="A399">
        <v>860005265</v>
      </c>
      <c r="B399" t="str">
        <f>VLOOKUP(A399,'[1]DEPURACION FINAL TRAB'!$A$1:$N$855,2,0)</f>
        <v>GASEOSAS COLOMBIANAS S.A.S</v>
      </c>
      <c r="C399">
        <v>0</v>
      </c>
      <c r="D399" t="s">
        <v>2458</v>
      </c>
      <c r="E399" t="s">
        <v>2902</v>
      </c>
      <c r="F399" s="17" t="s">
        <v>419</v>
      </c>
      <c r="G399">
        <v>26867400</v>
      </c>
      <c r="H399">
        <v>219</v>
      </c>
    </row>
    <row r="400" spans="1:8" ht="15" customHeight="1" x14ac:dyDescent="0.25">
      <c r="A400">
        <v>811000740</v>
      </c>
      <c r="B400" t="str">
        <f>VLOOKUP(A400,'[1]DEPURACION FINAL TRAB'!$A$1:$N$855,2,0)</f>
        <v>ISAGEN S.A - E.S.P</v>
      </c>
      <c r="C400">
        <v>0</v>
      </c>
      <c r="D400" t="s">
        <v>2528</v>
      </c>
      <c r="E400" t="s">
        <v>2730</v>
      </c>
      <c r="F400" s="17" t="s">
        <v>352</v>
      </c>
      <c r="G400">
        <v>26971011.459999993</v>
      </c>
      <c r="H400">
        <v>219</v>
      </c>
    </row>
    <row r="401" spans="1:8" ht="15" customHeight="1" x14ac:dyDescent="0.25">
      <c r="A401">
        <v>817000680</v>
      </c>
      <c r="B401" t="str">
        <f>VLOOKUP(A401,'[1]DEPURACION FINAL TRAB'!$A$1:$N$855,2,0)</f>
        <v>FAMILIA DEL PACIFICO S.A.S.</v>
      </c>
      <c r="C401">
        <v>0</v>
      </c>
      <c r="D401" t="s">
        <v>2438</v>
      </c>
      <c r="E401" t="s">
        <v>2885</v>
      </c>
      <c r="F401" s="17" t="s">
        <v>893</v>
      </c>
      <c r="G401">
        <v>27081302.179999996</v>
      </c>
      <c r="H401">
        <v>219</v>
      </c>
    </row>
    <row r="402" spans="1:8" ht="15" customHeight="1" x14ac:dyDescent="0.25">
      <c r="A402">
        <v>900905234</v>
      </c>
      <c r="B402" t="str">
        <f>VLOOKUP(A402,'[1]DEPURACION FINAL TRAB'!$A$1:$N$855,2,0)</f>
        <v>SUPPLIE INDUSTRIALES SAS</v>
      </c>
      <c r="C402" t="str">
        <f>VLOOKUP(A402,'[1]DEPURACION FINAL TRAB'!$1:$1048576,3,0)</f>
        <v>301 2473684</v>
      </c>
      <c r="D402" t="s">
        <v>2670</v>
      </c>
      <c r="E402" t="s">
        <v>2730</v>
      </c>
      <c r="F402" s="17" t="s">
        <v>419</v>
      </c>
      <c r="G402">
        <v>27252481.329999998</v>
      </c>
      <c r="H402">
        <v>219</v>
      </c>
    </row>
    <row r="403" spans="1:8" ht="15" customHeight="1" x14ac:dyDescent="0.25">
      <c r="A403">
        <v>900268940</v>
      </c>
      <c r="B403" t="str">
        <f>VLOOKUP(A403,'[1]DEPURACION FINAL TRAB'!$A$1:$N$855,2,0)</f>
        <v>DOLPHIN INGENIERIA S.A.S</v>
      </c>
      <c r="C403">
        <f>VLOOKUP(A403,'[1]DEPURACION FINAL TRAB'!$1:$1048576,3,0)</f>
        <v>0</v>
      </c>
      <c r="D403" t="s">
        <v>2405</v>
      </c>
      <c r="E403" t="s">
        <v>2854</v>
      </c>
      <c r="F403" s="17" t="s">
        <v>419</v>
      </c>
      <c r="G403">
        <v>27254281.93</v>
      </c>
      <c r="H403">
        <v>219</v>
      </c>
    </row>
    <row r="404" spans="1:8" ht="15" customHeight="1" x14ac:dyDescent="0.25">
      <c r="A404">
        <v>900211167</v>
      </c>
      <c r="B404" t="str">
        <f>VLOOKUP(A404,'[1]DEPURACION FINAL TRAB'!$A$1:$N$855,2,0)</f>
        <v>SANTA ANITA NAPOLES S.A.S.</v>
      </c>
      <c r="C404">
        <v>0</v>
      </c>
      <c r="D404" t="s">
        <v>2630</v>
      </c>
      <c r="E404" t="s">
        <v>3065</v>
      </c>
      <c r="F404" s="17" t="s">
        <v>2205</v>
      </c>
      <c r="G404">
        <v>27558002.900000006</v>
      </c>
      <c r="H404">
        <v>219</v>
      </c>
    </row>
    <row r="405" spans="1:8" ht="15" customHeight="1" x14ac:dyDescent="0.25">
      <c r="A405">
        <v>860025792</v>
      </c>
      <c r="B405" t="str">
        <f>VLOOKUP(A405,'[1]DEPURACION FINAL TRAB'!$A$1:$N$855,2,0)</f>
        <v>RENAULT SOCIEDAD DE FABRICACION DE AUTOMOTORES S.A.S.</v>
      </c>
      <c r="C405">
        <v>0</v>
      </c>
      <c r="D405" t="s">
        <v>2619</v>
      </c>
      <c r="E405" t="s">
        <v>3055</v>
      </c>
      <c r="F405" s="17" t="s">
        <v>344</v>
      </c>
      <c r="G405">
        <v>27637910</v>
      </c>
      <c r="H405">
        <v>219</v>
      </c>
    </row>
    <row r="406" spans="1:8" ht="15" customHeight="1" x14ac:dyDescent="0.25">
      <c r="A406">
        <v>901154059</v>
      </c>
      <c r="B406" t="str">
        <f>VLOOKUP(A406,'[1]DEPURACION FINAL TRAB'!$A$1:$N$855,2,0)</f>
        <v>TERMACOL S.A.S</v>
      </c>
      <c r="C406">
        <v>0</v>
      </c>
      <c r="D406" t="s">
        <v>2682</v>
      </c>
      <c r="E406" t="s">
        <v>3110</v>
      </c>
      <c r="F406" s="17" t="s">
        <v>2205</v>
      </c>
      <c r="G406">
        <v>28024786.300000001</v>
      </c>
      <c r="H406">
        <v>219</v>
      </c>
    </row>
    <row r="407" spans="1:8" ht="15" customHeight="1" x14ac:dyDescent="0.25">
      <c r="A407">
        <v>891412809</v>
      </c>
      <c r="B407" t="str">
        <f>VLOOKUP(A407,'[1]DEPURACION FINAL TRAB'!$A$1:$N$855,2,0)</f>
        <v>SUMINISTROS ELECTRICOS E INDUSTRIALES SUMILEC S.A</v>
      </c>
      <c r="C407">
        <v>0</v>
      </c>
      <c r="D407" t="s">
        <v>2663</v>
      </c>
      <c r="E407" t="s">
        <v>3094</v>
      </c>
      <c r="F407" s="17" t="s">
        <v>1826</v>
      </c>
      <c r="G407">
        <v>28066540</v>
      </c>
      <c r="H407">
        <v>219</v>
      </c>
    </row>
    <row r="408" spans="1:8" ht="15" customHeight="1" x14ac:dyDescent="0.25">
      <c r="A408">
        <v>891800111</v>
      </c>
      <c r="B408" t="str">
        <f>VLOOKUP(A408,'[1]DEPURACION FINAL TRAB'!$A$1:$N$855,2,0)</f>
        <v>DIACO S.A.</v>
      </c>
      <c r="C408">
        <v>0</v>
      </c>
      <c r="D408" t="s">
        <v>2283</v>
      </c>
      <c r="E408" t="s">
        <v>2847</v>
      </c>
      <c r="F408" s="17" t="s">
        <v>419</v>
      </c>
      <c r="G408">
        <v>28269450</v>
      </c>
      <c r="H408">
        <v>219</v>
      </c>
    </row>
    <row r="409" spans="1:8" ht="15" customHeight="1" x14ac:dyDescent="0.25">
      <c r="A409">
        <v>901993003</v>
      </c>
      <c r="B409" t="str">
        <f>VLOOKUP(A409,'[1]DEPURACION FINAL TRAB'!$A$1:$N$855,2,0)</f>
        <v>UNIÓN TEMPORAL SCADA ALBONAR 2025</v>
      </c>
      <c r="C409" t="str">
        <f>VLOOKUP(A409,'[1]DEPURACION FINAL TRAB'!$1:$1048576,3,0)</f>
        <v>316381571</v>
      </c>
      <c r="D409" t="s">
        <v>2698</v>
      </c>
      <c r="E409" t="s">
        <v>3125</v>
      </c>
      <c r="F409" s="17" t="s">
        <v>2205</v>
      </c>
      <c r="G409">
        <v>28283225.440000001</v>
      </c>
      <c r="H409">
        <v>219</v>
      </c>
    </row>
    <row r="410" spans="1:8" ht="15" customHeight="1" x14ac:dyDescent="0.25">
      <c r="A410">
        <v>800048974</v>
      </c>
      <c r="B410" t="str">
        <f>VLOOKUP(A410,'[1]DEPURACION FINAL TRAB'!$A$1:$N$855,2,0)</f>
        <v>P S I FERRETERIA LIMITADA</v>
      </c>
      <c r="C410">
        <v>0</v>
      </c>
      <c r="D410" t="s">
        <v>2574</v>
      </c>
      <c r="E410" t="s">
        <v>3011</v>
      </c>
      <c r="F410" s="17" t="s">
        <v>419</v>
      </c>
      <c r="G410">
        <v>28361948.539999999</v>
      </c>
      <c r="H410">
        <v>219</v>
      </c>
    </row>
    <row r="411" spans="1:8" ht="15" customHeight="1" x14ac:dyDescent="0.25">
      <c r="A411">
        <v>901782993</v>
      </c>
      <c r="B411" t="str">
        <f>VLOOKUP(A411,'[1]DEPURACION FINAL TRAB'!$A$1:$N$855,2,0)</f>
        <v>CONSORCIO LA FLORA 2023</v>
      </c>
      <c r="C411" t="str">
        <f>VLOOKUP(A411,'[1]DEPURACION FINAL TRAB'!$1:$1048576,3,0)</f>
        <v>315 5663659</v>
      </c>
      <c r="D411" t="s">
        <v>2374</v>
      </c>
      <c r="E411" t="s">
        <v>2826</v>
      </c>
      <c r="F411" s="17" t="s">
        <v>1739</v>
      </c>
      <c r="G411">
        <v>28382454.77</v>
      </c>
      <c r="H411">
        <v>219</v>
      </c>
    </row>
    <row r="412" spans="1:8" ht="15" customHeight="1" x14ac:dyDescent="0.25">
      <c r="A412">
        <v>817000747</v>
      </c>
      <c r="B412" t="str">
        <f>VLOOKUP(A412,'[1]DEPURACION FINAL TRAB'!$A$1:$N$855,2,0)</f>
        <v>COMPAÑIA INTERNACIONAL DE ALIMENTOS S.A.S</v>
      </c>
      <c r="C412">
        <v>0</v>
      </c>
      <c r="D412" t="s">
        <v>2367</v>
      </c>
      <c r="E412" t="s">
        <v>2818</v>
      </c>
      <c r="F412" s="17" t="s">
        <v>893</v>
      </c>
      <c r="G412">
        <v>28407395.460000001</v>
      </c>
      <c r="H412">
        <v>219</v>
      </c>
    </row>
    <row r="413" spans="1:8" ht="15" customHeight="1" x14ac:dyDescent="0.25">
      <c r="A413">
        <v>900684305</v>
      </c>
      <c r="B413" t="str">
        <f>VLOOKUP(A413,'[1]DEPURACION FINAL TRAB'!$A$1:$N$855,2,0)</f>
        <v>KATARA SAS</v>
      </c>
      <c r="C413" t="str">
        <f>VLOOKUP(A413,'[1]DEPURACION FINAL TRAB'!$1:$1048576,3,0)</f>
        <v>318 5214674</v>
      </c>
      <c r="D413" t="s">
        <v>2530</v>
      </c>
      <c r="E413" t="s">
        <v>2971</v>
      </c>
      <c r="F413" s="17" t="s">
        <v>1259</v>
      </c>
      <c r="G413">
        <v>28915460</v>
      </c>
      <c r="H413">
        <v>219</v>
      </c>
    </row>
    <row r="414" spans="1:8" ht="15" customHeight="1" x14ac:dyDescent="0.25">
      <c r="A414">
        <v>900527370</v>
      </c>
      <c r="B414" t="str">
        <f>VLOOKUP(A414,'[1]DEPURACION FINAL TRAB'!$A$1:$N$855,2,0)</f>
        <v>DEJA-MU SUBACHOQUE SAS</v>
      </c>
      <c r="C414" t="str">
        <f>VLOOKUP(A414,'[1]DEPURACION FINAL TRAB'!$1:$1048576,3,0)</f>
        <v>312 4742249</v>
      </c>
      <c r="D414" t="s">
        <v>2394</v>
      </c>
      <c r="E414" t="s">
        <v>2844</v>
      </c>
      <c r="F414" s="17" t="s">
        <v>1277</v>
      </c>
      <c r="G414">
        <v>28941272.800000001</v>
      </c>
      <c r="H414">
        <v>219</v>
      </c>
    </row>
    <row r="415" spans="1:8" ht="15" customHeight="1" x14ac:dyDescent="0.25">
      <c r="A415">
        <v>830015534</v>
      </c>
      <c r="B415" t="str">
        <f>VLOOKUP(A415,'[1]DEPURACION FINAL TRAB'!$A$1:$N$855,2,0)</f>
        <v>OGA SISTEMVAC SAS</v>
      </c>
      <c r="C415">
        <f>VLOOKUP(A415,'[1]DEPURACION FINAL TRAB'!$1:$1048576,3,0)</f>
        <v>7164272</v>
      </c>
      <c r="D415" t="s">
        <v>2571</v>
      </c>
      <c r="E415" t="s">
        <v>3008</v>
      </c>
      <c r="F415" s="17" t="s">
        <v>1265</v>
      </c>
      <c r="G415">
        <v>29199524.100000001</v>
      </c>
      <c r="H415">
        <v>219</v>
      </c>
    </row>
    <row r="416" spans="1:8" ht="15" customHeight="1" x14ac:dyDescent="0.25">
      <c r="A416">
        <v>800008639</v>
      </c>
      <c r="B416" t="str">
        <f>VLOOKUP(A416,'[1]DEPURACION FINAL TRAB'!$A$1:$N$855,2,0)</f>
        <v>INESSMAN LTDA</v>
      </c>
      <c r="C416" t="str">
        <f>VLOOKUP(A416,'[1]DEPURACION FINAL TRAB'!$1:$1048576,3,0)</f>
        <v>4162296</v>
      </c>
      <c r="D416" t="s">
        <v>2505</v>
      </c>
      <c r="E416" t="s">
        <v>2949</v>
      </c>
      <c r="F416" s="17" t="s">
        <v>419</v>
      </c>
      <c r="G416">
        <v>29259941.099999998</v>
      </c>
      <c r="H416">
        <v>334</v>
      </c>
    </row>
    <row r="417" spans="1:8" ht="15" customHeight="1" x14ac:dyDescent="0.25">
      <c r="A417">
        <v>800229172</v>
      </c>
      <c r="B417" t="str">
        <f>VLOOKUP(A417,'[1]DEPURACION FINAL TRAB'!$A$1:$N$855,2,0)</f>
        <v>POLYBOL S.A.S</v>
      </c>
      <c r="C417">
        <v>0</v>
      </c>
      <c r="D417" t="s">
        <v>2592</v>
      </c>
      <c r="E417" t="s">
        <v>3027</v>
      </c>
      <c r="F417" s="17" t="s">
        <v>439</v>
      </c>
      <c r="G417">
        <v>29306121.939999998</v>
      </c>
      <c r="H417">
        <v>219</v>
      </c>
    </row>
    <row r="418" spans="1:8" ht="15" customHeight="1" x14ac:dyDescent="0.25">
      <c r="A418">
        <v>900809717</v>
      </c>
      <c r="B418" t="str">
        <f>VLOOKUP(A418,'[1]DEPURACION FINAL TRAB'!$A$1:$N$855,2,0)</f>
        <v>INDUSTRIA GRAFICA LATINOAMERICA SA</v>
      </c>
      <c r="C418">
        <v>0</v>
      </c>
      <c r="D418" t="s">
        <v>2499</v>
      </c>
      <c r="E418" t="s">
        <v>2942</v>
      </c>
      <c r="F418" s="17" t="s">
        <v>2216</v>
      </c>
      <c r="G418">
        <v>29591673.120000001</v>
      </c>
      <c r="H418">
        <v>219</v>
      </c>
    </row>
    <row r="419" spans="1:8" ht="15" customHeight="1" x14ac:dyDescent="0.25">
      <c r="A419">
        <v>891300382</v>
      </c>
      <c r="B419" t="str">
        <f>VLOOKUP(A419,'[1]DEPURACION FINAL TRAB'!$A$1:$N$855,2,0)</f>
        <v>HARINERA DEL VALLE S.A</v>
      </c>
      <c r="C419">
        <v>0</v>
      </c>
      <c r="D419" t="s">
        <v>2482</v>
      </c>
      <c r="E419" t="s">
        <v>2925</v>
      </c>
      <c r="F419" s="17" t="s">
        <v>907</v>
      </c>
      <c r="G419">
        <v>29662510.839999996</v>
      </c>
      <c r="H419">
        <v>219</v>
      </c>
    </row>
    <row r="420" spans="1:8" ht="15" customHeight="1" x14ac:dyDescent="0.25">
      <c r="A420" t="s">
        <v>2254</v>
      </c>
      <c r="B420" t="str">
        <f>VLOOKUP(A420,'[1]DEPURACION FINAL TRAB'!$A$1:$N$855,2,0)</f>
        <v>SICK AG</v>
      </c>
      <c r="C420" t="str">
        <f>VLOOKUP(A420,'[1]DEPURACION FINAL TRAB'!$1:$1048576,3,0)</f>
        <v>N/A</v>
      </c>
      <c r="D420" t="s">
        <v>2261</v>
      </c>
      <c r="E420" t="s">
        <v>2720</v>
      </c>
      <c r="F420" s="17" t="s">
        <v>1259</v>
      </c>
      <c r="G420">
        <v>29692620.34</v>
      </c>
      <c r="H420">
        <v>219</v>
      </c>
    </row>
    <row r="421" spans="1:8" ht="15" customHeight="1" x14ac:dyDescent="0.25">
      <c r="A421">
        <v>900349378</v>
      </c>
      <c r="B421" t="str">
        <f>VLOOKUP(A421,'[1]DEPURACION FINAL TRAB'!$A$1:$N$855,2,0)</f>
        <v>INVERSIONES KASSEL NAVAS SAS</v>
      </c>
      <c r="C421">
        <v>0</v>
      </c>
      <c r="D421" t="s">
        <v>2526</v>
      </c>
      <c r="E421" t="s">
        <v>2968</v>
      </c>
      <c r="F421" s="17" t="s">
        <v>1259</v>
      </c>
      <c r="G421">
        <v>29968902.340000004</v>
      </c>
      <c r="H421">
        <v>219</v>
      </c>
    </row>
    <row r="422" spans="1:8" ht="15" customHeight="1" x14ac:dyDescent="0.25">
      <c r="A422">
        <v>900298181</v>
      </c>
      <c r="B422" t="str">
        <f>VLOOKUP(A422,'[1]DEPURACION FINAL TRAB'!$A$1:$N$855,2,0)</f>
        <v>SERVICIO MECATRONICO DE COLOMBIA LTDA</v>
      </c>
      <c r="C422">
        <v>0</v>
      </c>
      <c r="D422" t="s">
        <v>2642</v>
      </c>
      <c r="E422" t="s">
        <v>3072</v>
      </c>
      <c r="F422" s="17" t="s">
        <v>419</v>
      </c>
      <c r="G422">
        <v>30076506.77</v>
      </c>
      <c r="H422">
        <v>219</v>
      </c>
    </row>
    <row r="423" spans="1:8" ht="15" customHeight="1" x14ac:dyDescent="0.25">
      <c r="A423">
        <v>890900148</v>
      </c>
      <c r="B423" t="str">
        <f>VLOOKUP(A423,'[1]DEPURACION FINAL TRAB'!$A$1:$N$855,2,0)</f>
        <v>COMPAÑIA GLOBAL DE PINTURAS S.A.S</v>
      </c>
      <c r="C423" t="str">
        <f>VLOOKUP(A423,'[1]DEPURACION FINAL TRAB'!$1:$1048576,3,0)</f>
        <v>3848484</v>
      </c>
      <c r="D423" t="s">
        <v>2365</v>
      </c>
      <c r="E423" t="s">
        <v>2816</v>
      </c>
      <c r="F423" s="17" t="s">
        <v>352</v>
      </c>
      <c r="G423">
        <v>30690858.879999999</v>
      </c>
      <c r="H423">
        <v>219</v>
      </c>
    </row>
    <row r="424" spans="1:8" ht="15" customHeight="1" x14ac:dyDescent="0.25">
      <c r="A424">
        <v>890900769</v>
      </c>
      <c r="B424" t="str">
        <f>VLOOKUP(A424,'[1]DEPURACION FINAL TRAB'!$A$1:$N$855,2,0)</f>
        <v>AUTOMATIZACION SA</v>
      </c>
      <c r="C424">
        <v>0</v>
      </c>
      <c r="D424" t="s">
        <v>2295</v>
      </c>
      <c r="E424" t="s">
        <v>2748</v>
      </c>
      <c r="F424" s="17" t="s">
        <v>419</v>
      </c>
      <c r="G424">
        <v>30850464.269999996</v>
      </c>
      <c r="H424">
        <v>219</v>
      </c>
    </row>
    <row r="425" spans="1:8" ht="15" customHeight="1" x14ac:dyDescent="0.25">
      <c r="A425" t="s">
        <v>2252</v>
      </c>
      <c r="B425" t="str">
        <f>VLOOKUP(A425,'[1]DEPURACION FINAL TRAB'!$A$1:$N$855,2,0)</f>
        <v xml:space="preserve">LACROIX CITY MADRID SA </v>
      </c>
      <c r="C425" t="str">
        <f>VLOOKUP(A425,'[1]DEPURACION FINAL TRAB'!$1:$1048576,3,0)</f>
        <v>N/A</v>
      </c>
      <c r="D425" t="s">
        <v>2536</v>
      </c>
      <c r="E425" t="s">
        <v>2720</v>
      </c>
      <c r="F425" s="17" t="s">
        <v>1259</v>
      </c>
      <c r="G425">
        <v>31283030.559999999</v>
      </c>
      <c r="H425">
        <v>219</v>
      </c>
    </row>
    <row r="426" spans="1:8" ht="15" customHeight="1" x14ac:dyDescent="0.25">
      <c r="A426">
        <v>830051764</v>
      </c>
      <c r="B426" t="str">
        <f>VLOOKUP(A426,'[1]DEPURACION FINAL TRAB'!$A$1:$N$855,2,0)</f>
        <v>INTERPESAJE S.A.S.</v>
      </c>
      <c r="C426">
        <v>0</v>
      </c>
      <c r="D426" t="s">
        <v>2525</v>
      </c>
      <c r="E426" t="s">
        <v>2967</v>
      </c>
      <c r="F426" s="17" t="s">
        <v>374</v>
      </c>
      <c r="G426">
        <v>31585061.050000001</v>
      </c>
      <c r="H426">
        <v>219</v>
      </c>
    </row>
    <row r="427" spans="1:8" ht="15" customHeight="1" x14ac:dyDescent="0.25">
      <c r="A427">
        <v>890300292</v>
      </c>
      <c r="B427" t="str">
        <f>VLOOKUP(A427,'[1]DEPURACION FINAL TRAB'!$A$1:$N$855,2,0)</f>
        <v>LABORATORIOS BAXTER S.A.</v>
      </c>
      <c r="C427">
        <v>0</v>
      </c>
      <c r="D427" t="s">
        <v>2534</v>
      </c>
      <c r="E427" t="s">
        <v>2974</v>
      </c>
      <c r="F427" s="17" t="s">
        <v>2205</v>
      </c>
      <c r="G427">
        <v>31682754.539999999</v>
      </c>
      <c r="H427">
        <v>219</v>
      </c>
    </row>
    <row r="428" spans="1:8" ht="15" customHeight="1" x14ac:dyDescent="0.25">
      <c r="A428">
        <v>900709666</v>
      </c>
      <c r="B428" t="str">
        <f>VLOOKUP(A428,'[1]DEPURACION FINAL TRAB'!$A$1:$N$855,2,0)</f>
        <v>MAPACHE MANTENIMIENTOS Y MONTAJES LTDA</v>
      </c>
      <c r="C428">
        <v>0</v>
      </c>
      <c r="D428" t="s">
        <v>2547</v>
      </c>
      <c r="E428" t="s">
        <v>2985</v>
      </c>
      <c r="F428" s="17" t="s">
        <v>1508</v>
      </c>
      <c r="G428">
        <v>32041032.869999997</v>
      </c>
      <c r="H428">
        <v>219</v>
      </c>
    </row>
    <row r="429" spans="1:8" ht="15" customHeight="1" x14ac:dyDescent="0.25">
      <c r="A429">
        <v>800163515</v>
      </c>
      <c r="B429" t="str">
        <f>VLOOKUP(A429,'[1]DEPURACION FINAL TRAB'!$A$1:$N$855,2,0)</f>
        <v>FACELEC S.A.S</v>
      </c>
      <c r="C429">
        <v>0</v>
      </c>
      <c r="D429" t="s">
        <v>2437</v>
      </c>
      <c r="E429" t="s">
        <v>2884</v>
      </c>
      <c r="F429" s="17" t="s">
        <v>1273</v>
      </c>
      <c r="G429">
        <v>32068868.839999996</v>
      </c>
      <c r="H429">
        <v>219</v>
      </c>
    </row>
    <row r="430" spans="1:8" ht="15" customHeight="1" x14ac:dyDescent="0.25">
      <c r="A430">
        <v>800249313</v>
      </c>
      <c r="B430" t="str">
        <f>VLOOKUP(A430,'[1]DEPURACION FINAL TRAB'!$A$1:$N$855,2,0)</f>
        <v>MANSAROVAR ENERGY COLOMBIA LTDA</v>
      </c>
      <c r="C430">
        <f>VLOOKUP(A430,'[1]DEPURACION FINAL TRAB'!$1:$1048576,3,0)</f>
        <v>4851212</v>
      </c>
      <c r="D430" t="s">
        <v>2544</v>
      </c>
      <c r="E430" t="s">
        <v>2982</v>
      </c>
      <c r="F430" s="17" t="s">
        <v>419</v>
      </c>
      <c r="G430">
        <v>32119036</v>
      </c>
      <c r="H430">
        <v>219</v>
      </c>
    </row>
    <row r="431" spans="1:8" ht="15" customHeight="1" x14ac:dyDescent="0.25">
      <c r="A431">
        <v>901087334</v>
      </c>
      <c r="B431" t="str">
        <f>VLOOKUP(A431,'[1]DEPURACION FINAL TRAB'!$A$1:$N$855,2,0)</f>
        <v>INGETUM GROUP S.A.S.</v>
      </c>
      <c r="C431" t="str">
        <f>VLOOKUP(A431,'[1]DEPURACION FINAL TRAB'!$1:$1048576,3,0)</f>
        <v>315 5455598</v>
      </c>
      <c r="D431" t="s">
        <v>2517</v>
      </c>
      <c r="E431" t="s">
        <v>2730</v>
      </c>
      <c r="F431" s="17" t="s">
        <v>2205</v>
      </c>
      <c r="G431">
        <v>32147293.419999998</v>
      </c>
      <c r="H431">
        <v>219</v>
      </c>
    </row>
    <row r="432" spans="1:8" ht="15" customHeight="1" x14ac:dyDescent="0.25">
      <c r="A432">
        <v>830113630</v>
      </c>
      <c r="B432" t="str">
        <f>VLOOKUP(A432,'[1]DEPURACION FINAL TRAB'!$A$1:$N$855,2,0)</f>
        <v>ENFRAGEN TERMOFLORES S.A.S. E.S.P.</v>
      </c>
      <c r="C432">
        <v>0</v>
      </c>
      <c r="D432" t="s">
        <v>2425</v>
      </c>
      <c r="E432" t="s">
        <v>2871</v>
      </c>
      <c r="F432" s="17" t="s">
        <v>374</v>
      </c>
      <c r="G432">
        <v>32371578.740000002</v>
      </c>
      <c r="H432">
        <v>219</v>
      </c>
    </row>
    <row r="433" spans="1:8" ht="15" customHeight="1" x14ac:dyDescent="0.25">
      <c r="A433">
        <v>800153961</v>
      </c>
      <c r="B433" t="str">
        <f>VLOOKUP(A433,'[1]DEPURACION FINAL TRAB'!$A$1:$N$855,2,0)</f>
        <v>OMNICON S.A.S</v>
      </c>
      <c r="C433">
        <v>0</v>
      </c>
      <c r="D433" t="s">
        <v>2573</v>
      </c>
      <c r="E433" t="s">
        <v>3010</v>
      </c>
      <c r="F433" s="17" t="s">
        <v>374</v>
      </c>
      <c r="G433">
        <v>32594386.190000001</v>
      </c>
      <c r="H433">
        <v>219</v>
      </c>
    </row>
    <row r="434" spans="1:8" ht="15" customHeight="1" x14ac:dyDescent="0.25">
      <c r="A434">
        <v>900554594</v>
      </c>
      <c r="B434" t="str">
        <f>VLOOKUP(A434,'[1]DEPURACION FINAL TRAB'!$A$1:$N$855,2,0)</f>
        <v>HIGHCOM CALA SAS</v>
      </c>
      <c r="C434">
        <f>VLOOKUP(A434,'[1]DEPURACION FINAL TRAB'!$1:$1048576,3,0)</f>
        <v>8698789</v>
      </c>
      <c r="D434" t="s">
        <v>2486</v>
      </c>
      <c r="E434" t="s">
        <v>2929</v>
      </c>
      <c r="F434" s="17" t="s">
        <v>419</v>
      </c>
      <c r="G434">
        <v>32704350</v>
      </c>
      <c r="H434">
        <v>219</v>
      </c>
    </row>
    <row r="435" spans="1:8" ht="15" customHeight="1" x14ac:dyDescent="0.25">
      <c r="A435">
        <v>800018359</v>
      </c>
      <c r="B435" t="str">
        <f>VLOOKUP(A435,'[1]DEPURACION FINAL TRAB'!$A$1:$N$855,2,0)</f>
        <v>BEL STAR S.A.</v>
      </c>
      <c r="C435">
        <v>0</v>
      </c>
      <c r="D435" t="s">
        <v>2313</v>
      </c>
      <c r="E435" t="s">
        <v>2765</v>
      </c>
      <c r="F435" s="17" t="s">
        <v>1259</v>
      </c>
      <c r="G435">
        <v>33042883.149999999</v>
      </c>
      <c r="H435">
        <v>219</v>
      </c>
    </row>
    <row r="436" spans="1:8" ht="15" customHeight="1" x14ac:dyDescent="0.25">
      <c r="A436">
        <v>860007277</v>
      </c>
      <c r="B436" t="str">
        <f>VLOOKUP(A436,'[1]DEPURACION FINAL TRAB'!$A$1:$N$855,2,0)</f>
        <v>MEXICHEM RESINAS COLOMBIA S.A.S.</v>
      </c>
      <c r="C436">
        <v>0</v>
      </c>
      <c r="D436" t="s">
        <v>2558</v>
      </c>
      <c r="E436" t="s">
        <v>2878</v>
      </c>
      <c r="F436" s="17" t="s">
        <v>439</v>
      </c>
      <c r="G436">
        <v>33067053.57</v>
      </c>
      <c r="H436">
        <v>219</v>
      </c>
    </row>
    <row r="437" spans="1:8" ht="15" customHeight="1" x14ac:dyDescent="0.25">
      <c r="A437">
        <v>900268940</v>
      </c>
      <c r="B437" t="str">
        <f>VLOOKUP(A437,'[1]DEPURACION FINAL TRAB'!$A$1:$N$855,2,0)</f>
        <v>DOLPHIN INGENIERIA S.A.S</v>
      </c>
      <c r="C437">
        <f>VLOOKUP(A437,'[1]DEPURACION FINAL TRAB'!$1:$1048576,3,0)</f>
        <v>0</v>
      </c>
      <c r="D437" t="s">
        <v>2405</v>
      </c>
      <c r="E437" t="s">
        <v>2854</v>
      </c>
      <c r="F437" s="17" t="s">
        <v>419</v>
      </c>
      <c r="G437">
        <v>33320001.180000003</v>
      </c>
      <c r="H437">
        <v>219</v>
      </c>
    </row>
    <row r="438" spans="1:8" ht="15" customHeight="1" x14ac:dyDescent="0.25">
      <c r="A438">
        <v>860001697</v>
      </c>
      <c r="B438" t="str">
        <f>VLOOKUP(A438,'[1]DEPURACION FINAL TRAB'!$A$1:$N$855,2,0)</f>
        <v>GASEOSAS LUX S.A.S</v>
      </c>
      <c r="C438">
        <v>0</v>
      </c>
      <c r="D438" t="s">
        <v>2459</v>
      </c>
      <c r="E438" t="s">
        <v>2903</v>
      </c>
      <c r="F438" s="17" t="s">
        <v>419</v>
      </c>
      <c r="G438">
        <v>33550768</v>
      </c>
      <c r="H438">
        <v>219</v>
      </c>
    </row>
    <row r="439" spans="1:8" ht="15" customHeight="1" x14ac:dyDescent="0.25">
      <c r="A439">
        <v>901159464</v>
      </c>
      <c r="B439" t="str">
        <f>VLOOKUP(A439,'[1]DEPURACION FINAL TRAB'!$A$1:$N$855,2,0)</f>
        <v>PROYECTOS DE INGENIERIA APLICADA S.A.S</v>
      </c>
      <c r="C439">
        <v>0</v>
      </c>
      <c r="D439" t="s">
        <v>2609</v>
      </c>
      <c r="E439" t="s">
        <v>3046</v>
      </c>
      <c r="F439" s="17" t="s">
        <v>419</v>
      </c>
      <c r="G439">
        <v>33564907.390000001</v>
      </c>
      <c r="H439">
        <v>219</v>
      </c>
    </row>
    <row r="440" spans="1:8" ht="15" customHeight="1" x14ac:dyDescent="0.25">
      <c r="A440">
        <v>890301884</v>
      </c>
      <c r="B440" t="str">
        <f>VLOOKUP(A440,'[1]DEPURACION FINAL TRAB'!$A$1:$N$855,2,0)</f>
        <v>COLOMBINA S.A.</v>
      </c>
      <c r="C440">
        <f>VLOOKUP(A440,'[1]DEPURACION FINAL TRAB'!$1:$1048576,3,0)</f>
        <v>6043312</v>
      </c>
      <c r="D440" t="s">
        <v>2354</v>
      </c>
      <c r="E440" t="s">
        <v>2805</v>
      </c>
      <c r="F440" s="17" t="s">
        <v>348</v>
      </c>
      <c r="G440">
        <v>34193261.649999999</v>
      </c>
      <c r="H440">
        <v>219</v>
      </c>
    </row>
    <row r="441" spans="1:8" ht="15" customHeight="1" x14ac:dyDescent="0.25">
      <c r="A441">
        <v>900628124</v>
      </c>
      <c r="B441" t="str">
        <f>VLOOKUP(A441,'[1]DEPURACION FINAL TRAB'!$A$1:$N$855,2,0)</f>
        <v>SAVAN S.A.S</v>
      </c>
      <c r="C441">
        <f>VLOOKUP(A441,'[1]DEPURACION FINAL TRAB'!$1:$1048576,3,0)</f>
        <v>0</v>
      </c>
      <c r="D441" t="s">
        <v>2632</v>
      </c>
      <c r="E441" t="s">
        <v>2971</v>
      </c>
      <c r="F441" s="17" t="s">
        <v>1259</v>
      </c>
      <c r="G441">
        <v>34698552</v>
      </c>
      <c r="H441">
        <v>219</v>
      </c>
    </row>
    <row r="442" spans="1:8" ht="15" customHeight="1" x14ac:dyDescent="0.25">
      <c r="A442">
        <v>901209021</v>
      </c>
      <c r="B442" t="str">
        <f>VLOOKUP(A442,'[1]DEPURACION FINAL TRAB'!$A$1:$N$855,2,0)</f>
        <v>DEVISAB SAS</v>
      </c>
      <c r="C442" t="str">
        <f>VLOOKUP(A442,'[1]DEPURACION FINAL TRAB'!$1:$1048576,3,0)</f>
        <v>323 2527432</v>
      </c>
      <c r="D442" t="s">
        <v>2397</v>
      </c>
      <c r="E442" t="s">
        <v>2730</v>
      </c>
      <c r="F442" s="17" t="s">
        <v>419</v>
      </c>
      <c r="G442">
        <v>35256650</v>
      </c>
      <c r="H442">
        <v>219</v>
      </c>
    </row>
    <row r="443" spans="1:8" ht="15" customHeight="1" x14ac:dyDescent="0.25">
      <c r="A443">
        <v>800249860</v>
      </c>
      <c r="B443" t="str">
        <f>VLOOKUP(A443,'[1]DEPURACION FINAL TRAB'!$A$1:$N$855,2,0)</f>
        <v>CELSIA COLOMBIA S.A. E.S.P.</v>
      </c>
      <c r="C443">
        <v>0</v>
      </c>
      <c r="D443" t="s">
        <v>2336</v>
      </c>
      <c r="E443" t="s">
        <v>2788</v>
      </c>
      <c r="F443" s="17" t="s">
        <v>2222</v>
      </c>
      <c r="G443">
        <v>35461649.449999996</v>
      </c>
      <c r="H443">
        <v>219</v>
      </c>
    </row>
    <row r="444" spans="1:8" ht="15" customHeight="1" x14ac:dyDescent="0.25">
      <c r="A444">
        <v>890805453</v>
      </c>
      <c r="B444" t="str">
        <f>VLOOKUP(A444,'[1]DEPURACION FINAL TRAB'!$A$1:$N$855,2,0)</f>
        <v>TECNOLOGIA EN CUBRIMIENTO S.A.</v>
      </c>
      <c r="C444">
        <v>0</v>
      </c>
      <c r="D444" t="s">
        <v>2679</v>
      </c>
      <c r="E444" t="s">
        <v>3106</v>
      </c>
      <c r="F444" s="17" t="s">
        <v>783</v>
      </c>
      <c r="G444">
        <v>36213765.370000005</v>
      </c>
      <c r="H444">
        <v>219</v>
      </c>
    </row>
    <row r="445" spans="1:8" ht="15" customHeight="1" x14ac:dyDescent="0.25">
      <c r="A445">
        <v>890929497</v>
      </c>
      <c r="B445" t="str">
        <f>VLOOKUP(A445,'[1]DEPURACION FINAL TRAB'!$A$1:$N$855,2,0)</f>
        <v xml:space="preserve">	MAPER S.A.S.</v>
      </c>
      <c r="C445">
        <v>0</v>
      </c>
      <c r="D445" t="s">
        <v>2262</v>
      </c>
      <c r="E445" t="s">
        <v>2717</v>
      </c>
      <c r="F445" s="17" t="s">
        <v>350</v>
      </c>
      <c r="G445">
        <v>36530594.119999997</v>
      </c>
      <c r="H445">
        <v>219</v>
      </c>
    </row>
    <row r="446" spans="1:8" ht="15" customHeight="1" x14ac:dyDescent="0.25">
      <c r="A446">
        <v>900297009</v>
      </c>
      <c r="B446" t="str">
        <f>VLOOKUP(A446,'[1]DEPURACION FINAL TRAB'!$A$1:$N$855,2,0)</f>
        <v>FRESENIUS MEDICAL CARE ANDINA S.A.S</v>
      </c>
      <c r="C446">
        <v>0</v>
      </c>
      <c r="D446" t="s">
        <v>2451</v>
      </c>
      <c r="E446" t="s">
        <v>2896</v>
      </c>
      <c r="F446" s="17" t="s">
        <v>419</v>
      </c>
      <c r="G446">
        <v>37062908.189999998</v>
      </c>
      <c r="H446">
        <v>219</v>
      </c>
    </row>
    <row r="447" spans="1:8" ht="15" customHeight="1" x14ac:dyDescent="0.25">
      <c r="A447">
        <v>890932389</v>
      </c>
      <c r="B447" t="str">
        <f>VLOOKUP(A447,'[1]DEPURACION FINAL TRAB'!$A$1:$N$855,2,0)</f>
        <v>TERNIUM COLOMBIA SAS</v>
      </c>
      <c r="C447">
        <v>0</v>
      </c>
      <c r="D447" t="s">
        <v>2686</v>
      </c>
      <c r="E447" t="s">
        <v>3113</v>
      </c>
      <c r="F447" s="17" t="s">
        <v>352</v>
      </c>
      <c r="G447">
        <v>37084742</v>
      </c>
      <c r="H447">
        <v>219</v>
      </c>
    </row>
    <row r="448" spans="1:8" ht="15" customHeight="1" x14ac:dyDescent="0.25">
      <c r="A448">
        <v>890329438</v>
      </c>
      <c r="B448" t="str">
        <f>VLOOKUP(A448,'[1]DEPURACION FINAL TRAB'!$A$1:$N$855,2,0)</f>
        <v>CLOROX DE COLOMBIA SA</v>
      </c>
      <c r="C448">
        <v>0</v>
      </c>
      <c r="D448" t="s">
        <v>2348</v>
      </c>
      <c r="E448" t="s">
        <v>2798</v>
      </c>
      <c r="F448" s="17" t="s">
        <v>419</v>
      </c>
      <c r="G448">
        <v>37571360</v>
      </c>
      <c r="H448">
        <v>219</v>
      </c>
    </row>
    <row r="449" spans="1:8" ht="15" customHeight="1" x14ac:dyDescent="0.25">
      <c r="A449">
        <v>901161604</v>
      </c>
      <c r="B449" t="str">
        <f>VLOOKUP(A449,'[1]DEPURACION FINAL TRAB'!$A$1:$N$855,2,0)</f>
        <v>DCA INGENIERIA SAS</v>
      </c>
      <c r="C449">
        <v>0</v>
      </c>
      <c r="D449" t="s">
        <v>2393</v>
      </c>
      <c r="E449" t="s">
        <v>2843</v>
      </c>
      <c r="F449" s="17" t="s">
        <v>1820</v>
      </c>
      <c r="G449">
        <v>37621647.389999993</v>
      </c>
      <c r="H449">
        <v>219</v>
      </c>
    </row>
    <row r="450" spans="1:8" ht="15" customHeight="1" x14ac:dyDescent="0.25">
      <c r="A450">
        <v>830504700</v>
      </c>
      <c r="B450" t="str">
        <f>VLOOKUP(A450,'[1]DEPURACION FINAL TRAB'!$A$1:$N$855,2,0)</f>
        <v>DAVIBANK COMISIONISTA DE BOLSA S.A</v>
      </c>
      <c r="C450" t="e">
        <f>VLOOKUP(A450,'[1]DEPURACION FINAL TRAB'!$1:$1048576,3,0)</f>
        <v>#N/A</v>
      </c>
      <c r="D450" t="e">
        <v>#N/A</v>
      </c>
      <c r="E450" t="e">
        <v>#N/A</v>
      </c>
      <c r="F450" s="17" t="s">
        <v>419</v>
      </c>
      <c r="G450">
        <v>37676088.520000011</v>
      </c>
      <c r="H450">
        <v>402</v>
      </c>
    </row>
    <row r="451" spans="1:8" ht="15" customHeight="1" x14ac:dyDescent="0.25">
      <c r="A451">
        <v>800206842</v>
      </c>
      <c r="B451" t="str">
        <f>VLOOKUP(A451,'[1]DEPURACION FINAL TRAB'!$A$1:$N$855,2,0)</f>
        <v>BAKER HUGHES DE COLOMBIA</v>
      </c>
      <c r="C451">
        <v>0</v>
      </c>
      <c r="D451" t="s">
        <v>2307</v>
      </c>
      <c r="E451" t="s">
        <v>2759</v>
      </c>
      <c r="F451" s="17" t="s">
        <v>419</v>
      </c>
      <c r="G451">
        <v>37876005.930000007</v>
      </c>
      <c r="H451">
        <v>219</v>
      </c>
    </row>
    <row r="452" spans="1:8" ht="15" customHeight="1" x14ac:dyDescent="0.25">
      <c r="A452">
        <v>901371194</v>
      </c>
      <c r="B452" t="str">
        <f>VLOOKUP(A452,'[1]DEPURACION FINAL TRAB'!$A$1:$N$855,2,0)</f>
        <v>CONSORCIO COMSA INDUSTRIAL INDRA ITS CONPACIFICO</v>
      </c>
      <c r="C452">
        <v>0</v>
      </c>
      <c r="D452" t="s">
        <v>2370</v>
      </c>
      <c r="E452" t="s">
        <v>2825</v>
      </c>
      <c r="F452" s="17" t="s">
        <v>419</v>
      </c>
      <c r="G452">
        <v>38121386.650000006</v>
      </c>
      <c r="H452">
        <v>219</v>
      </c>
    </row>
    <row r="453" spans="1:8" ht="15" customHeight="1" x14ac:dyDescent="0.25">
      <c r="A453">
        <v>900113435</v>
      </c>
      <c r="B453" t="str">
        <f>VLOOKUP(A453,'[1]DEPURACION FINAL TRAB'!$A$1:$N$855,2,0)</f>
        <v>SUMMUM PROJECTS S.A.S</v>
      </c>
      <c r="C453" t="str">
        <f>VLOOKUP(A453,'[1]DEPURACION FINAL TRAB'!$1:$1048576,3,0)</f>
        <v>6671414</v>
      </c>
      <c r="D453" t="s">
        <v>2666</v>
      </c>
      <c r="E453" t="s">
        <v>3097</v>
      </c>
      <c r="F453" s="17" t="s">
        <v>419</v>
      </c>
      <c r="G453">
        <v>38454850.079999998</v>
      </c>
      <c r="H453">
        <v>219</v>
      </c>
    </row>
    <row r="454" spans="1:8" ht="15" customHeight="1" x14ac:dyDescent="0.25">
      <c r="A454">
        <v>860013771</v>
      </c>
      <c r="B454" t="str">
        <f>VLOOKUP(A454,'[1]DEPURACION FINAL TRAB'!$A$1:$N$855,2,0)</f>
        <v>AJOVER DARNEL S A S</v>
      </c>
      <c r="C454">
        <v>0</v>
      </c>
      <c r="D454" t="s">
        <v>2274</v>
      </c>
      <c r="E454" t="s">
        <v>2729</v>
      </c>
      <c r="F454" s="17" t="s">
        <v>439</v>
      </c>
      <c r="G454">
        <v>38706067.469999991</v>
      </c>
      <c r="H454">
        <v>219</v>
      </c>
    </row>
    <row r="455" spans="1:8" ht="15" customHeight="1" x14ac:dyDescent="0.25">
      <c r="A455">
        <v>900228409</v>
      </c>
      <c r="B455" t="str">
        <f>VLOOKUP(A455,'[1]DEPURACION FINAL TRAB'!$A$1:$N$855,2,0)</f>
        <v>PCA INGENIERIA COLOMBIA SAS</v>
      </c>
      <c r="C455">
        <v>0</v>
      </c>
      <c r="D455" t="s">
        <v>2583</v>
      </c>
      <c r="E455" t="s">
        <v>3019</v>
      </c>
      <c r="F455" s="17" t="s">
        <v>2216</v>
      </c>
      <c r="G455">
        <v>38993400.420000002</v>
      </c>
      <c r="H455">
        <v>219</v>
      </c>
    </row>
    <row r="456" spans="1:8" ht="15" customHeight="1" x14ac:dyDescent="0.25">
      <c r="A456">
        <v>901501355</v>
      </c>
      <c r="B456" t="str">
        <f>VLOOKUP(A456,'[1]DEPURACION FINAL TRAB'!$A$1:$N$855,2,0)</f>
        <v>PROCESES ENGINEERING -TECH-RESPONSE-AUTOMATION-PETRA SERVICES-SAS</v>
      </c>
      <c r="C456" t="str">
        <f>VLOOKUP(A456,'[1]DEPURACION FINAL TRAB'!$1:$1048576,3,0)</f>
        <v>311 5870775</v>
      </c>
      <c r="D456" t="s">
        <v>2598</v>
      </c>
      <c r="E456" t="s">
        <v>3033</v>
      </c>
      <c r="F456" s="17" t="s">
        <v>1551</v>
      </c>
      <c r="G456">
        <v>40129236.450000003</v>
      </c>
      <c r="H456">
        <v>219</v>
      </c>
    </row>
    <row r="457" spans="1:8" ht="15" customHeight="1" x14ac:dyDescent="0.25">
      <c r="A457">
        <v>860003831</v>
      </c>
      <c r="B457" t="str">
        <f>VLOOKUP(A457,'[1]DEPURACION FINAL TRAB'!$A$1:$N$855,2,0)</f>
        <v>PRODUCTOS RAMO SAS</v>
      </c>
      <c r="C457">
        <v>0</v>
      </c>
      <c r="D457" t="s">
        <v>2605</v>
      </c>
      <c r="E457" t="s">
        <v>3041</v>
      </c>
      <c r="F457" s="17" t="s">
        <v>1275</v>
      </c>
      <c r="G457">
        <v>40211715.140000001</v>
      </c>
      <c r="H457">
        <v>219</v>
      </c>
    </row>
    <row r="458" spans="1:8" ht="15" customHeight="1" x14ac:dyDescent="0.25">
      <c r="A458">
        <v>860512249</v>
      </c>
      <c r="B458" t="str">
        <f>VLOOKUP(A458,'[1]DEPURACION FINAL TRAB'!$A$1:$N$855,2,0)</f>
        <v>YANBAL DE COLOMBIA S.A.S</v>
      </c>
      <c r="C458">
        <v>0</v>
      </c>
      <c r="D458" t="s">
        <v>2713</v>
      </c>
      <c r="E458" t="s">
        <v>3138</v>
      </c>
      <c r="F458" s="17" t="s">
        <v>1269</v>
      </c>
      <c r="G458">
        <v>40761192</v>
      </c>
      <c r="H458">
        <v>219</v>
      </c>
    </row>
    <row r="459" spans="1:8" ht="15" customHeight="1" x14ac:dyDescent="0.25">
      <c r="A459">
        <v>860534244</v>
      </c>
      <c r="B459" t="str">
        <f>VLOOKUP(A459,'[1]DEPURACION FINAL TRAB'!$A$1:$N$855,2,0)</f>
        <v>ATLAS COPCO COLOMBIA LTDA</v>
      </c>
      <c r="C459">
        <f>VLOOKUP(A459,'[1]DEPURACION FINAL TRAB'!$1:$1048576,3,0)</f>
        <v>4199200</v>
      </c>
      <c r="D459" t="s">
        <v>2292</v>
      </c>
      <c r="E459" t="s">
        <v>2745</v>
      </c>
      <c r="F459" s="17" t="s">
        <v>419</v>
      </c>
      <c r="G459">
        <v>40809959.519999996</v>
      </c>
      <c r="H459">
        <v>219</v>
      </c>
    </row>
    <row r="460" spans="1:8" ht="15" customHeight="1" x14ac:dyDescent="0.25">
      <c r="A460">
        <v>900583443</v>
      </c>
      <c r="B460" t="str">
        <f>VLOOKUP(A460,'[1]DEPURACION FINAL TRAB'!$A$1:$N$855,2,0)</f>
        <v>EPYS Y CIA. S. EN C.A.</v>
      </c>
      <c r="C460">
        <v>0</v>
      </c>
      <c r="D460" t="s">
        <v>2429</v>
      </c>
      <c r="E460" t="s">
        <v>2875</v>
      </c>
      <c r="F460" s="17" t="s">
        <v>2205</v>
      </c>
      <c r="G460">
        <v>40910592.159999996</v>
      </c>
      <c r="H460">
        <v>219</v>
      </c>
    </row>
    <row r="461" spans="1:8" ht="15" customHeight="1" x14ac:dyDescent="0.25">
      <c r="A461">
        <v>860053930</v>
      </c>
      <c r="B461" t="str">
        <f>VLOOKUP(A461,'[1]DEPURACION FINAL TRAB'!$A$1:$N$855,2,0)</f>
        <v>SIERRACOL ENERGY ARAUCA, LLC</v>
      </c>
      <c r="C461" t="str">
        <f>VLOOKUP(A461,'[1]DEPURACION FINAL TRAB'!$1:$1048576,3,0)</f>
        <v>6288245</v>
      </c>
      <c r="D461" t="s">
        <v>2644</v>
      </c>
      <c r="E461" t="s">
        <v>3074</v>
      </c>
      <c r="F461" s="17" t="s">
        <v>419</v>
      </c>
      <c r="G461">
        <v>41006184.920000002</v>
      </c>
      <c r="H461">
        <v>219</v>
      </c>
    </row>
    <row r="462" spans="1:8" ht="15" customHeight="1" x14ac:dyDescent="0.25">
      <c r="A462">
        <v>454372138</v>
      </c>
      <c r="B462" t="str">
        <f>VLOOKUP(A462,'[1]DEPURACION FINAL TRAB'!$A$1:$N$855,2,0)</f>
        <v>LGA SYSTEMS INSTRUMENTS &amp; MACHINERY, LLC</v>
      </c>
      <c r="C462" t="str">
        <f>VLOOKUP(A462,'[1]DEPURACION FINAL TRAB'!$1:$1048576,3,0)</f>
        <v>N/A</v>
      </c>
      <c r="D462" t="s">
        <v>2389</v>
      </c>
      <c r="E462" t="s">
        <v>2720</v>
      </c>
      <c r="F462" s="17" t="s">
        <v>1259</v>
      </c>
      <c r="G462">
        <v>41179494.479999997</v>
      </c>
      <c r="H462">
        <v>219</v>
      </c>
    </row>
    <row r="463" spans="1:8" ht="15" customHeight="1" x14ac:dyDescent="0.25">
      <c r="A463">
        <v>454372138</v>
      </c>
      <c r="B463" t="str">
        <f>VLOOKUP(A463,'[1]DEPURACION FINAL TRAB'!$A$1:$N$855,2,0)</f>
        <v>LGA SYSTEMS INSTRUMENTS &amp; MACHINERY, LLC</v>
      </c>
      <c r="C463" t="str">
        <f>VLOOKUP(A463,'[1]DEPURACION FINAL TRAB'!$1:$1048576,3,0)</f>
        <v>N/A</v>
      </c>
      <c r="D463" t="s">
        <v>2389</v>
      </c>
      <c r="E463" t="s">
        <v>2720</v>
      </c>
      <c r="F463" s="17" t="s">
        <v>1259</v>
      </c>
      <c r="G463">
        <v>41179494.479999997</v>
      </c>
      <c r="H463">
        <v>219</v>
      </c>
    </row>
    <row r="464" spans="1:8" ht="15" customHeight="1" x14ac:dyDescent="0.25">
      <c r="A464">
        <v>891300237</v>
      </c>
      <c r="B464" t="str">
        <f>VLOOKUP(A464,'[1]DEPURACION FINAL TRAB'!$A$1:$N$855,2,0)</f>
        <v>INGENIO DEL CAUCA S.A.S.</v>
      </c>
      <c r="C464">
        <v>0</v>
      </c>
      <c r="D464" t="s">
        <v>2514</v>
      </c>
      <c r="E464" t="s">
        <v>2958</v>
      </c>
      <c r="F464" s="17" t="s">
        <v>2205</v>
      </c>
      <c r="G464">
        <v>41425291.300000004</v>
      </c>
      <c r="H464">
        <v>219</v>
      </c>
    </row>
    <row r="465" spans="1:8" ht="15" customHeight="1" x14ac:dyDescent="0.25">
      <c r="A465">
        <v>830113630</v>
      </c>
      <c r="B465" t="str">
        <f>VLOOKUP(A465,'[1]DEPURACION FINAL TRAB'!$A$1:$N$855,2,0)</f>
        <v>ENFRAGEN TERMOFLORES S.A.S. E.S.P.</v>
      </c>
      <c r="C465">
        <v>0</v>
      </c>
      <c r="D465" t="s">
        <v>2425</v>
      </c>
      <c r="E465" t="s">
        <v>2871</v>
      </c>
      <c r="F465" s="17" t="s">
        <v>374</v>
      </c>
      <c r="G465">
        <v>42825182.399999999</v>
      </c>
      <c r="H465">
        <v>219</v>
      </c>
    </row>
    <row r="466" spans="1:8" ht="15" customHeight="1" x14ac:dyDescent="0.25">
      <c r="A466">
        <v>900880355</v>
      </c>
      <c r="B466" t="str">
        <f>VLOOKUP(A466,'[1]DEPURACION FINAL TRAB'!$A$1:$N$855,2,0)</f>
        <v>SACHEM ELECTRONIC SAS</v>
      </c>
      <c r="C466">
        <v>0</v>
      </c>
      <c r="D466" t="s">
        <v>2627</v>
      </c>
      <c r="E466" t="s">
        <v>3062</v>
      </c>
      <c r="F466" s="17" t="s">
        <v>419</v>
      </c>
      <c r="G466">
        <v>43069133.99000001</v>
      </c>
      <c r="H466">
        <v>219</v>
      </c>
    </row>
    <row r="467" spans="1:8" ht="15" customHeight="1" x14ac:dyDescent="0.25">
      <c r="A467">
        <v>817000705</v>
      </c>
      <c r="B467" t="str">
        <f>VLOOKUP(A467,'[1]DEPURACION FINAL TRAB'!$A$1:$N$855,2,0)</f>
        <v>COLOMBINA DEL CAUCA S.A.</v>
      </c>
      <c r="C467">
        <v>0</v>
      </c>
      <c r="D467" t="s">
        <v>2354</v>
      </c>
      <c r="E467" t="s">
        <v>2804</v>
      </c>
      <c r="F467" s="17" t="s">
        <v>903</v>
      </c>
      <c r="G467">
        <v>43086164.599999994</v>
      </c>
      <c r="H467">
        <v>219</v>
      </c>
    </row>
    <row r="468" spans="1:8" ht="15" customHeight="1" x14ac:dyDescent="0.25">
      <c r="A468">
        <v>860000135</v>
      </c>
      <c r="B468" t="str">
        <f>VLOOKUP(A468,'[1]DEPURACION FINAL TRAB'!$A$1:$N$855,2,0)</f>
        <v>AZUL K S A S</v>
      </c>
      <c r="C468">
        <f>VLOOKUP(A468,'[1]DEPURACION FINAL TRAB'!$1:$1048576,3,0)</f>
        <v>0</v>
      </c>
      <c r="D468" t="s">
        <v>2305</v>
      </c>
      <c r="E468" t="s">
        <v>2757</v>
      </c>
      <c r="F468" s="17" t="s">
        <v>419</v>
      </c>
      <c r="G468">
        <v>43151530.799999997</v>
      </c>
      <c r="H468">
        <v>219</v>
      </c>
    </row>
    <row r="469" spans="1:8" ht="15" customHeight="1" x14ac:dyDescent="0.25">
      <c r="A469">
        <v>890300292</v>
      </c>
      <c r="B469" t="str">
        <f>VLOOKUP(A469,'[1]DEPURACION FINAL TRAB'!$A$1:$N$855,2,0)</f>
        <v>LABORATORIOS BAXTER S.A.</v>
      </c>
      <c r="C469">
        <v>0</v>
      </c>
      <c r="D469" t="s">
        <v>2534</v>
      </c>
      <c r="E469" t="s">
        <v>2974</v>
      </c>
      <c r="F469" s="17" t="s">
        <v>2205</v>
      </c>
      <c r="G469">
        <v>43235966</v>
      </c>
      <c r="H469">
        <v>219</v>
      </c>
    </row>
    <row r="470" spans="1:8" ht="15" customHeight="1" x14ac:dyDescent="0.25">
      <c r="A470">
        <v>901438495</v>
      </c>
      <c r="B470" t="str">
        <f>VLOOKUP(A470,'[1]DEPURACION FINAL TRAB'!$A$1:$N$855,2,0)</f>
        <v>FRIO &amp; CONTROL SAS</v>
      </c>
      <c r="C470" t="str">
        <f>VLOOKUP(A470,'[1]DEPURACION FINAL TRAB'!$1:$1048576,3,0)</f>
        <v>315 5529837</v>
      </c>
      <c r="D470" t="s">
        <v>2453</v>
      </c>
      <c r="E470" t="s">
        <v>2898</v>
      </c>
      <c r="F470" s="17" t="s">
        <v>352</v>
      </c>
      <c r="G470">
        <v>43419404.390000001</v>
      </c>
      <c r="H470">
        <v>219</v>
      </c>
    </row>
    <row r="471" spans="1:8" ht="15" customHeight="1" x14ac:dyDescent="0.25">
      <c r="A471">
        <v>890900291</v>
      </c>
      <c r="B471" t="str">
        <f>VLOOKUP(A471,'[1]DEPURACION FINAL TRAB'!$A$1:$N$855,2,0)</f>
        <v>SOLLA S.A.</v>
      </c>
      <c r="C471">
        <v>0</v>
      </c>
      <c r="D471" t="s">
        <v>2658</v>
      </c>
      <c r="E471" t="s">
        <v>3089</v>
      </c>
      <c r="F471" s="17" t="s">
        <v>338</v>
      </c>
      <c r="G471">
        <v>45158261.840000004</v>
      </c>
      <c r="H471">
        <v>219</v>
      </c>
    </row>
    <row r="472" spans="1:8" ht="15" customHeight="1" x14ac:dyDescent="0.25">
      <c r="A472">
        <v>800099903</v>
      </c>
      <c r="B472" t="str">
        <f>VLOOKUP(A472,'[1]DEPURACION FINAL TRAB'!$A$1:$N$855,2,0)</f>
        <v>CARVAJAL EDUCACION S.A.S.</v>
      </c>
      <c r="C472">
        <v>0</v>
      </c>
      <c r="D472" t="s">
        <v>2331</v>
      </c>
      <c r="E472" t="s">
        <v>2783</v>
      </c>
      <c r="F472" s="17" t="s">
        <v>2222</v>
      </c>
      <c r="G472">
        <v>45182144.530000001</v>
      </c>
      <c r="H472">
        <v>219</v>
      </c>
    </row>
    <row r="473" spans="1:8" ht="15" customHeight="1" x14ac:dyDescent="0.25">
      <c r="A473">
        <v>900602178</v>
      </c>
      <c r="B473" t="str">
        <f>VLOOKUP(A473,'[1]DEPURACION FINAL TRAB'!$A$1:$N$855,2,0)</f>
        <v>STROM SAS</v>
      </c>
      <c r="C473">
        <v>0</v>
      </c>
      <c r="D473" t="s">
        <v>2662</v>
      </c>
      <c r="E473" t="s">
        <v>3093</v>
      </c>
      <c r="F473" s="17" t="s">
        <v>419</v>
      </c>
      <c r="G473">
        <v>45484724.700000003</v>
      </c>
      <c r="H473">
        <v>219</v>
      </c>
    </row>
    <row r="474" spans="1:8" ht="15" customHeight="1" x14ac:dyDescent="0.25">
      <c r="A474">
        <v>890919437</v>
      </c>
      <c r="B474" t="str">
        <f>VLOOKUP(A474,'[1]DEPURACION FINAL TRAB'!$A$1:$N$855,2,0)</f>
        <v>RYMEL INGENIERIA ELECTRICA SAS</v>
      </c>
      <c r="C474">
        <f>VLOOKUP(A474,'[1]DEPURACION FINAL TRAB'!$1:$1048576,3,0)</f>
        <v>4440430</v>
      </c>
      <c r="D474" t="s">
        <v>2624</v>
      </c>
      <c r="E474" t="s">
        <v>3059</v>
      </c>
      <c r="F474" s="17" t="s">
        <v>342</v>
      </c>
      <c r="G474">
        <v>46083332.799999997</v>
      </c>
      <c r="H474">
        <v>219</v>
      </c>
    </row>
    <row r="475" spans="1:8" ht="15" customHeight="1" x14ac:dyDescent="0.25">
      <c r="A475">
        <v>900079775</v>
      </c>
      <c r="B475" t="str">
        <f>VLOOKUP(A475,'[1]DEPURACION FINAL TRAB'!$A$1:$N$855,2,0)</f>
        <v>GOLOSINAS TRULULU S.A</v>
      </c>
      <c r="C475">
        <v>0</v>
      </c>
      <c r="D475" t="s">
        <v>2470</v>
      </c>
      <c r="E475" t="s">
        <v>2913</v>
      </c>
      <c r="F475" s="17" t="s">
        <v>783</v>
      </c>
      <c r="G475">
        <v>47055760</v>
      </c>
      <c r="H475">
        <v>219</v>
      </c>
    </row>
    <row r="476" spans="1:8" ht="15" customHeight="1" x14ac:dyDescent="0.25">
      <c r="A476">
        <v>860006333</v>
      </c>
      <c r="B476" t="str">
        <f>VLOOKUP(A476,'[1]DEPURACION FINAL TRAB'!$A$1:$N$855,2,0)</f>
        <v>YARA COLOMBIA S.A</v>
      </c>
      <c r="C476">
        <v>0</v>
      </c>
      <c r="D476" t="s">
        <v>2281</v>
      </c>
      <c r="E476" t="s">
        <v>3139</v>
      </c>
      <c r="F476" s="17" t="s">
        <v>2169</v>
      </c>
      <c r="G476">
        <v>47365688.480000004</v>
      </c>
      <c r="H476">
        <v>219</v>
      </c>
    </row>
    <row r="477" spans="1:8" ht="15" customHeight="1" x14ac:dyDescent="0.25">
      <c r="A477">
        <v>830056322</v>
      </c>
      <c r="B477" t="str">
        <f>VLOOKUP(A477,'[1]DEPURACION FINAL TRAB'!$A$1:$N$855,2,0)</f>
        <v>SAYTEC DE COLOMBIA S.A.S</v>
      </c>
      <c r="C477">
        <v>0</v>
      </c>
      <c r="D477" t="s">
        <v>2633</v>
      </c>
      <c r="E477" t="s">
        <v>3024</v>
      </c>
      <c r="F477" s="17" t="s">
        <v>1259</v>
      </c>
      <c r="G477">
        <v>47542312.619999997</v>
      </c>
      <c r="H477">
        <v>219</v>
      </c>
    </row>
    <row r="478" spans="1:8" ht="15" customHeight="1" x14ac:dyDescent="0.25">
      <c r="A478">
        <v>890904996</v>
      </c>
      <c r="B478" t="str">
        <f>VLOOKUP(A478,'[1]DEPURACION FINAL TRAB'!$A$1:$N$855,2,0)</f>
        <v>EMPRESAS PUBLICAS DE MEDELLIN E.S.P.</v>
      </c>
      <c r="C478">
        <v>0</v>
      </c>
      <c r="D478" t="s">
        <v>2422</v>
      </c>
      <c r="E478" t="s">
        <v>2868</v>
      </c>
      <c r="F478" s="17" t="s">
        <v>352</v>
      </c>
      <c r="G478">
        <v>48316691.75</v>
      </c>
      <c r="H478">
        <v>219</v>
      </c>
    </row>
    <row r="479" spans="1:8" ht="15" customHeight="1" x14ac:dyDescent="0.25">
      <c r="A479">
        <v>860522056</v>
      </c>
      <c r="B479" t="str">
        <f>VLOOKUP(A479,'[1]DEPURACION FINAL TRAB'!$A$1:$N$855,2,0)</f>
        <v>LAMITECH S.A.S.</v>
      </c>
      <c r="C479">
        <v>0</v>
      </c>
      <c r="D479" t="s">
        <v>2538</v>
      </c>
      <c r="E479" t="s">
        <v>2977</v>
      </c>
      <c r="F479" s="17" t="s">
        <v>439</v>
      </c>
      <c r="G479">
        <v>48596742.459999993</v>
      </c>
      <c r="H479">
        <v>219</v>
      </c>
    </row>
    <row r="480" spans="1:8" ht="15" customHeight="1" x14ac:dyDescent="0.25">
      <c r="A480">
        <v>800134853</v>
      </c>
      <c r="B480" t="str">
        <f>VLOOKUP(A480,'[1]DEPURACION FINAL TRAB'!$A$1:$N$855,2,0)</f>
        <v>ESENTTIA MASTERBATCH LTDA</v>
      </c>
      <c r="C480">
        <v>0</v>
      </c>
      <c r="D480" t="s">
        <v>2431</v>
      </c>
      <c r="E480" t="s">
        <v>2877</v>
      </c>
      <c r="F480" s="17" t="s">
        <v>439</v>
      </c>
      <c r="G480">
        <v>48724308</v>
      </c>
      <c r="H480">
        <v>219</v>
      </c>
    </row>
    <row r="481" spans="1:8" ht="15" customHeight="1" x14ac:dyDescent="0.25">
      <c r="A481">
        <v>800229035</v>
      </c>
      <c r="B481" t="str">
        <f>VLOOKUP(A481,'[1]DEPURACION FINAL TRAB'!$A$1:$N$855,2,0)</f>
        <v>TECNOGLASS SAS</v>
      </c>
      <c r="C481">
        <v>0</v>
      </c>
      <c r="D481" t="s">
        <v>2678</v>
      </c>
      <c r="E481" t="s">
        <v>3105</v>
      </c>
      <c r="F481" s="17" t="s">
        <v>374</v>
      </c>
      <c r="G481">
        <v>48817681.029999986</v>
      </c>
      <c r="H481">
        <v>219</v>
      </c>
    </row>
    <row r="482" spans="1:8" ht="15" customHeight="1" x14ac:dyDescent="0.25">
      <c r="A482">
        <v>900164755</v>
      </c>
      <c r="B482" t="str">
        <f>VLOOKUP(A482,'[1]DEPURACION FINAL TRAB'!$A$1:$N$855,2,0)</f>
        <v>ZONA FRANCA ARGOS S.A.S</v>
      </c>
      <c r="C482" t="str">
        <f>VLOOKUP(A482,'[1]DEPURACION FINAL TRAB'!$1:$1048576,3,0)</f>
        <v>3619254</v>
      </c>
      <c r="D482" t="s">
        <v>2714</v>
      </c>
      <c r="E482" t="s">
        <v>3140</v>
      </c>
      <c r="F482" s="17" t="s">
        <v>439</v>
      </c>
      <c r="G482">
        <v>49606364.20000001</v>
      </c>
      <c r="H482">
        <v>219</v>
      </c>
    </row>
    <row r="483" spans="1:8" ht="15" customHeight="1" x14ac:dyDescent="0.25">
      <c r="A483">
        <v>811016504</v>
      </c>
      <c r="B483" t="str">
        <f>VLOOKUP(A483,'[1]DEPURACION FINAL TRAB'!$A$1:$N$855,2,0)</f>
        <v>AUTOMATIZACION Y PESO SAS</v>
      </c>
      <c r="C483">
        <v>0</v>
      </c>
      <c r="D483" t="s">
        <v>2298</v>
      </c>
      <c r="E483" t="s">
        <v>2750</v>
      </c>
      <c r="F483" s="17" t="s">
        <v>354</v>
      </c>
      <c r="G483">
        <v>49785600</v>
      </c>
      <c r="H483">
        <v>219</v>
      </c>
    </row>
    <row r="484" spans="1:8" ht="15" customHeight="1" x14ac:dyDescent="0.25">
      <c r="A484">
        <v>900553170</v>
      </c>
      <c r="B484" t="str">
        <f>VLOOKUP(A484,'[1]DEPURACION FINAL TRAB'!$A$1:$N$855,2,0)</f>
        <v>EMBOTELLADORA DE LA SABANA S.A.S</v>
      </c>
      <c r="C484">
        <v>0</v>
      </c>
      <c r="D484" t="s">
        <v>2415</v>
      </c>
      <c r="E484" t="s">
        <v>2727</v>
      </c>
      <c r="F484" s="17" t="s">
        <v>1259</v>
      </c>
      <c r="G484">
        <v>49949872.299999997</v>
      </c>
      <c r="H484">
        <v>219</v>
      </c>
    </row>
    <row r="485" spans="1:8" ht="15" customHeight="1" x14ac:dyDescent="0.25">
      <c r="A485">
        <v>891300238</v>
      </c>
      <c r="B485" t="str">
        <f>VLOOKUP(A485,'[1]DEPURACION FINAL TRAB'!$A$1:$N$855,2,0)</f>
        <v>INGENIO PROVIDENCIA S.A.</v>
      </c>
      <c r="C485">
        <v>0</v>
      </c>
      <c r="D485" t="s">
        <v>2515</v>
      </c>
      <c r="E485" t="s">
        <v>2959</v>
      </c>
      <c r="F485" s="17" t="s">
        <v>2216</v>
      </c>
      <c r="G485">
        <v>50653108.909999996</v>
      </c>
      <c r="H485">
        <v>219</v>
      </c>
    </row>
    <row r="486" spans="1:8" ht="15" customHeight="1" x14ac:dyDescent="0.25">
      <c r="A486">
        <v>860001942</v>
      </c>
      <c r="B486" t="str">
        <f>VLOOKUP(A486,'[1]DEPURACION FINAL TRAB'!$A$1:$N$855,2,0)</f>
        <v>BAYER S.A.</v>
      </c>
      <c r="C486" t="str">
        <f>VLOOKUP(A486,'[1]DEPURACION FINAL TRAB'!$1:$1048576,3,0)</f>
        <v>4142277</v>
      </c>
      <c r="D486" t="s">
        <v>2311</v>
      </c>
      <c r="E486" t="s">
        <v>2763</v>
      </c>
      <c r="F486" s="17" t="s">
        <v>382</v>
      </c>
      <c r="G486">
        <v>52413742.040000007</v>
      </c>
      <c r="H486">
        <v>219</v>
      </c>
    </row>
    <row r="487" spans="1:8" ht="15" customHeight="1" x14ac:dyDescent="0.25">
      <c r="A487">
        <v>901721755</v>
      </c>
      <c r="B487" t="str">
        <f>VLOOKUP(A487,'[1]DEPURACION FINAL TRAB'!$A$1:$N$855,2,0)</f>
        <v>CAV AUTOMATION - ROBOTICA E INTRALOGISTICA SAS</v>
      </c>
      <c r="C487" t="str">
        <f>VLOOKUP(A487,'[1]DEPURACION FINAL TRAB'!$1:$1048576,3,0)</f>
        <v>310 8736629</v>
      </c>
      <c r="D487" t="s">
        <v>2334</v>
      </c>
      <c r="E487" t="s">
        <v>2786</v>
      </c>
      <c r="F487" s="17" t="s">
        <v>1265</v>
      </c>
      <c r="G487">
        <v>52609063.879999995</v>
      </c>
      <c r="H487">
        <v>219</v>
      </c>
    </row>
    <row r="488" spans="1:8" ht="15" customHeight="1" x14ac:dyDescent="0.25">
      <c r="A488">
        <v>901495452</v>
      </c>
      <c r="B488" t="str">
        <f>VLOOKUP(A488,'[1]DEPURACION FINAL TRAB'!$A$1:$N$855,2,0)</f>
        <v>CRISTAR TABLETOP S.A.S.</v>
      </c>
      <c r="C488" t="str">
        <f>VLOOKUP(A488,'[1]DEPURACION FINAL TRAB'!$1:$1048576,3,0)</f>
        <v>318 7306304</v>
      </c>
      <c r="D488" t="s">
        <v>2388</v>
      </c>
      <c r="E488" t="s">
        <v>2838</v>
      </c>
      <c r="F488" s="17" t="s">
        <v>2149</v>
      </c>
      <c r="G488">
        <v>53311929</v>
      </c>
      <c r="H488">
        <v>219</v>
      </c>
    </row>
    <row r="489" spans="1:8" ht="15" customHeight="1" x14ac:dyDescent="0.25">
      <c r="A489">
        <v>890304130</v>
      </c>
      <c r="B489" t="str">
        <f>VLOOKUP(A489,'[1]DEPURACION FINAL TRAB'!$A$1:$N$855,2,0)</f>
        <v>ALIMENTOS CARNICOS S.A.S.</v>
      </c>
      <c r="C489" t="str">
        <f>VLOOKUP(A489,'[1]DEPURACION FINAL TRAB'!$1:$1048576,3,0)</f>
        <v>4311050</v>
      </c>
      <c r="D489" t="s">
        <v>2278</v>
      </c>
      <c r="E489" t="s">
        <v>2733</v>
      </c>
      <c r="F489" s="17" t="s">
        <v>893</v>
      </c>
      <c r="G489">
        <v>54002197.920000002</v>
      </c>
      <c r="H489">
        <v>219</v>
      </c>
    </row>
    <row r="490" spans="1:8" ht="15" customHeight="1" x14ac:dyDescent="0.25">
      <c r="A490">
        <v>900494393</v>
      </c>
      <c r="B490" t="str">
        <f>VLOOKUP(A490,'[1]DEPURACION FINAL TRAB'!$A$1:$N$855,2,0)</f>
        <v>U.A.E. INSTITUTO NACIONAL DE METROLOGIA - INM</v>
      </c>
      <c r="C490">
        <v>0</v>
      </c>
      <c r="D490" t="s">
        <v>2695</v>
      </c>
      <c r="E490" t="s">
        <v>3122</v>
      </c>
      <c r="F490" s="17" t="s">
        <v>419</v>
      </c>
      <c r="G490">
        <v>54042000</v>
      </c>
      <c r="H490">
        <v>219</v>
      </c>
    </row>
    <row r="491" spans="1:8" ht="15" customHeight="1" x14ac:dyDescent="0.25">
      <c r="A491">
        <v>890903858</v>
      </c>
      <c r="B491" t="str">
        <f>VLOOKUP(A491,'[1]DEPURACION FINAL TRAB'!$A$1:$N$855,2,0)</f>
        <v>INDUSTRIA NACIONAL DE GASEOSAS SAS</v>
      </c>
      <c r="C491">
        <v>0</v>
      </c>
      <c r="D491" t="s">
        <v>2415</v>
      </c>
      <c r="E491" t="s">
        <v>2944</v>
      </c>
      <c r="F491" s="17" t="s">
        <v>419</v>
      </c>
      <c r="G491">
        <v>54709108.659999996</v>
      </c>
      <c r="H491">
        <v>219</v>
      </c>
    </row>
    <row r="492" spans="1:8" ht="15" customHeight="1" x14ac:dyDescent="0.25">
      <c r="A492">
        <v>800096040</v>
      </c>
      <c r="B492" t="str">
        <f>VLOOKUP(A492,'[1]DEPURACION FINAL TRAB'!$A$1:$N$855,2,0)</f>
        <v>COMESTIBLES ALDOR S.A.S</v>
      </c>
      <c r="C492" t="str">
        <f>VLOOKUP(A492,'[1]DEPURACION FINAL TRAB'!$1:$1048576,3,0)</f>
        <v>2852852</v>
      </c>
      <c r="D492" t="s">
        <v>2357</v>
      </c>
      <c r="E492" t="s">
        <v>2808</v>
      </c>
      <c r="F492" s="17" t="s">
        <v>419</v>
      </c>
      <c r="G492">
        <v>56014248</v>
      </c>
      <c r="H492">
        <v>219</v>
      </c>
    </row>
    <row r="493" spans="1:8" ht="15" customHeight="1" x14ac:dyDescent="0.25">
      <c r="A493">
        <v>890300546</v>
      </c>
      <c r="B493" t="str">
        <f>VLOOKUP(A493,'[1]DEPURACION FINAL TRAB'!$A$1:$N$855,2,0)</f>
        <v>COLGATE PALMOLIVE COMPAÑÍA</v>
      </c>
      <c r="C493">
        <v>0</v>
      </c>
      <c r="D493" t="s">
        <v>2351</v>
      </c>
      <c r="E493" t="s">
        <v>2801</v>
      </c>
      <c r="F493" s="17" t="s">
        <v>2205</v>
      </c>
      <c r="G493">
        <v>57760822.199999996</v>
      </c>
      <c r="H493">
        <v>219</v>
      </c>
    </row>
    <row r="494" spans="1:8" ht="15" customHeight="1" x14ac:dyDescent="0.25">
      <c r="A494">
        <v>901911220</v>
      </c>
      <c r="B494" t="str">
        <f>VLOOKUP(A494,'[1]DEPURACION FINAL TRAB'!$A$1:$N$855,2,0)</f>
        <v>SAMCO SAFETY S.A.S.</v>
      </c>
      <c r="C494">
        <f>VLOOKUP(A494,'[1]DEPURACION FINAL TRAB'!$1:$1048576,3,0)</f>
        <v>0</v>
      </c>
      <c r="D494" t="s">
        <v>2629</v>
      </c>
      <c r="E494" t="s">
        <v>3064</v>
      </c>
      <c r="F494" s="17" t="s">
        <v>352</v>
      </c>
      <c r="G494">
        <v>58142919.960000008</v>
      </c>
      <c r="H494">
        <v>219</v>
      </c>
    </row>
    <row r="495" spans="1:8" ht="15" customHeight="1" x14ac:dyDescent="0.25">
      <c r="A495">
        <v>860072172</v>
      </c>
      <c r="B495" t="str">
        <f>VLOOKUP(A495,'[1]DEPURACION FINAL TRAB'!$A$1:$N$855,2,0)</f>
        <v>EMPACOR SA</v>
      </c>
      <c r="C495">
        <v>0</v>
      </c>
      <c r="D495" t="s">
        <v>2416</v>
      </c>
      <c r="E495" t="s">
        <v>2863</v>
      </c>
      <c r="F495" s="17" t="s">
        <v>419</v>
      </c>
      <c r="G495">
        <v>58499654.080000006</v>
      </c>
      <c r="H495">
        <v>219</v>
      </c>
    </row>
    <row r="496" spans="1:8" ht="15" customHeight="1" x14ac:dyDescent="0.25">
      <c r="A496">
        <v>810000598</v>
      </c>
      <c r="B496" t="str">
        <f>VLOOKUP(A496,'[1]DEPURACION FINAL TRAB'!$A$1:$N$855,2,0)</f>
        <v>AGUAS DE MANIZALES S.A. E.S.P.</v>
      </c>
      <c r="C496">
        <v>0</v>
      </c>
      <c r="D496" t="s">
        <v>2271</v>
      </c>
      <c r="E496" t="s">
        <v>2725</v>
      </c>
      <c r="F496" s="17" t="s">
        <v>783</v>
      </c>
      <c r="G496">
        <v>58870446.320000008</v>
      </c>
      <c r="H496">
        <v>219</v>
      </c>
    </row>
    <row r="497" spans="1:8" ht="15" customHeight="1" x14ac:dyDescent="0.25">
      <c r="A497">
        <v>860015753</v>
      </c>
      <c r="B497" t="str">
        <f>VLOOKUP(A497,'[1]DEPURACION FINAL TRAB'!$A$1:$N$855,2,0)</f>
        <v>COLOMBIANA KIMBERLY COLPAPEL S.A.S</v>
      </c>
      <c r="C497">
        <v>0</v>
      </c>
      <c r="D497" t="s">
        <v>2353</v>
      </c>
      <c r="E497" t="s">
        <v>2803</v>
      </c>
      <c r="F497" s="17" t="s">
        <v>336</v>
      </c>
      <c r="G497">
        <v>59152086.080000006</v>
      </c>
      <c r="H497">
        <v>219</v>
      </c>
    </row>
    <row r="498" spans="1:8" ht="15" customHeight="1" x14ac:dyDescent="0.25">
      <c r="A498">
        <v>901590350</v>
      </c>
      <c r="B498" t="str">
        <f>VLOOKUP(A498,'[1]DEPURACION FINAL TRAB'!$A$1:$N$855,2,0)</f>
        <v>U TRAFFIC SAS</v>
      </c>
      <c r="C498">
        <f>VLOOKUP(A498,'[1]DEPURACION FINAL TRAB'!$1:$1048576,3,0)</f>
        <v>0</v>
      </c>
      <c r="D498" t="s">
        <v>2694</v>
      </c>
      <c r="E498" t="s">
        <v>3121</v>
      </c>
      <c r="F498" s="17" t="s">
        <v>419</v>
      </c>
      <c r="G498">
        <v>59434512</v>
      </c>
      <c r="H498">
        <v>219</v>
      </c>
    </row>
    <row r="499" spans="1:8" ht="15" customHeight="1" x14ac:dyDescent="0.25">
      <c r="A499">
        <v>890903939</v>
      </c>
      <c r="B499" t="str">
        <f>VLOOKUP(A499,'[1]DEPURACION FINAL TRAB'!$A$1:$N$855,2,0)</f>
        <v>POSTOBON S.A.</v>
      </c>
      <c r="C499">
        <v>0</v>
      </c>
      <c r="D499" t="s">
        <v>2594</v>
      </c>
      <c r="E499" t="s">
        <v>3029</v>
      </c>
      <c r="F499" s="17" t="s">
        <v>352</v>
      </c>
      <c r="G499">
        <v>60339024.43</v>
      </c>
      <c r="H499">
        <v>219</v>
      </c>
    </row>
    <row r="500" spans="1:8" ht="15" customHeight="1" x14ac:dyDescent="0.25">
      <c r="A500">
        <v>901123983</v>
      </c>
      <c r="B500" t="str">
        <f>VLOOKUP(A500,'[1]DEPURACION FINAL TRAB'!$A$1:$N$855,2,0)</f>
        <v>DIANA PET FOOD COLOMBIA SAS</v>
      </c>
      <c r="C500">
        <v>0</v>
      </c>
      <c r="D500" t="s">
        <v>2398</v>
      </c>
      <c r="E500" t="s">
        <v>2848</v>
      </c>
      <c r="F500" s="17" t="s">
        <v>1259</v>
      </c>
      <c r="G500">
        <v>61153571.420000002</v>
      </c>
      <c r="H500">
        <v>219</v>
      </c>
    </row>
    <row r="501" spans="1:8" ht="15" customHeight="1" x14ac:dyDescent="0.25">
      <c r="A501">
        <v>901776815</v>
      </c>
      <c r="B501" t="str">
        <f>VLOOKUP(A501,'[1]DEPURACION FINAL TRAB'!$A$1:$N$855,2,0)</f>
        <v>AL INDUSTRY SAS</v>
      </c>
      <c r="C501" t="str">
        <f>VLOOKUP(A501,'[1]DEPURACION FINAL TRAB'!$1:$1048576,3,0)</f>
        <v>318 6522854</v>
      </c>
      <c r="D501" t="s">
        <v>2275</v>
      </c>
      <c r="E501" t="s">
        <v>2730</v>
      </c>
      <c r="F501" s="17" t="s">
        <v>419</v>
      </c>
      <c r="G501">
        <v>61740000</v>
      </c>
      <c r="H501">
        <v>219</v>
      </c>
    </row>
    <row r="502" spans="1:8" ht="15" customHeight="1" x14ac:dyDescent="0.25">
      <c r="A502">
        <v>800011987</v>
      </c>
      <c r="B502" t="str">
        <f>VLOOKUP(A502,'[1]DEPURACION FINAL TRAB'!$A$1:$N$855,2,0)</f>
        <v>TENARIS TUBOCARIBE LTDA</v>
      </c>
      <c r="C502">
        <v>0</v>
      </c>
      <c r="D502" t="s">
        <v>2681</v>
      </c>
      <c r="E502" t="s">
        <v>3109</v>
      </c>
      <c r="F502" s="17" t="s">
        <v>439</v>
      </c>
      <c r="G502">
        <v>64173141.630000003</v>
      </c>
      <c r="H502">
        <v>219</v>
      </c>
    </row>
    <row r="503" spans="1:8" ht="15" customHeight="1" x14ac:dyDescent="0.25">
      <c r="A503">
        <v>860074450</v>
      </c>
      <c r="B503" t="str">
        <f>VLOOKUP(A503,'[1]DEPURACION FINAL TRAB'!$A$1:$N$855,2,0)</f>
        <v>QUALA S.A</v>
      </c>
      <c r="C503" t="str">
        <f>VLOOKUP(A503,'[1]DEPURACION FINAL TRAB'!$1:$1048576,3,0)</f>
        <v>5190967</v>
      </c>
      <c r="D503" t="s">
        <v>2611</v>
      </c>
      <c r="E503" t="s">
        <v>3048</v>
      </c>
      <c r="F503" s="17" t="s">
        <v>419</v>
      </c>
      <c r="G503">
        <v>64188443.880000003</v>
      </c>
      <c r="H503">
        <v>219</v>
      </c>
    </row>
    <row r="504" spans="1:8" ht="15" customHeight="1" x14ac:dyDescent="0.25">
      <c r="A504">
        <v>830006735</v>
      </c>
      <c r="B504" t="str">
        <f>VLOOKUP(A504,'[1]DEPURACION FINAL TRAB'!$A$1:$N$855,2,0)</f>
        <v>ALIMENTOS POLAR COLOMBIA S.A.S.</v>
      </c>
      <c r="C504">
        <v>0</v>
      </c>
      <c r="D504" t="s">
        <v>2280</v>
      </c>
      <c r="E504" t="s">
        <v>2735</v>
      </c>
      <c r="F504" s="17" t="s">
        <v>419</v>
      </c>
      <c r="G504">
        <v>64733703.289999999</v>
      </c>
      <c r="H504">
        <v>219</v>
      </c>
    </row>
    <row r="505" spans="1:8" ht="15" customHeight="1" x14ac:dyDescent="0.25">
      <c r="A505">
        <v>830141369</v>
      </c>
      <c r="B505" t="str">
        <f>VLOOKUP(A505,'[1]DEPURACION FINAL TRAB'!$A$1:$N$855,2,0)</f>
        <v>INSTRU ELECTRONIC COLOMBIA S.A.S</v>
      </c>
      <c r="C505">
        <v>0</v>
      </c>
      <c r="D505" t="s">
        <v>2521</v>
      </c>
      <c r="E505" t="s">
        <v>2730</v>
      </c>
      <c r="F505" s="17" t="s">
        <v>419</v>
      </c>
      <c r="G505">
        <v>65018822.990000002</v>
      </c>
      <c r="H505">
        <v>219</v>
      </c>
    </row>
    <row r="506" spans="1:8" ht="15" customHeight="1" x14ac:dyDescent="0.25">
      <c r="A506">
        <v>830021253</v>
      </c>
      <c r="B506" t="str">
        <f>VLOOKUP(A506,'[1]DEPURACION FINAL TRAB'!$A$1:$N$855,2,0)</f>
        <v>CROWN COLOMBIANA S.A.</v>
      </c>
      <c r="C506">
        <v>0</v>
      </c>
      <c r="D506" t="s">
        <v>2390</v>
      </c>
      <c r="E506" t="s">
        <v>2839</v>
      </c>
      <c r="F506" s="17" t="s">
        <v>1259</v>
      </c>
      <c r="G506">
        <v>67915514.020000011</v>
      </c>
      <c r="H506">
        <v>334</v>
      </c>
    </row>
    <row r="507" spans="1:8" ht="15" customHeight="1" x14ac:dyDescent="0.25">
      <c r="A507">
        <v>900388839</v>
      </c>
      <c r="B507" t="str">
        <f>VLOOKUP(A507,'[1]DEPURACION FINAL TRAB'!$A$1:$N$855,2,0)</f>
        <v>HADA INTERNATIONAL S.A.S</v>
      </c>
      <c r="C507">
        <v>0</v>
      </c>
      <c r="D507" t="s">
        <v>2481</v>
      </c>
      <c r="E507" t="s">
        <v>2924</v>
      </c>
      <c r="F507" s="17" t="s">
        <v>374</v>
      </c>
      <c r="G507">
        <v>68674611.540000021</v>
      </c>
      <c r="H507">
        <v>219</v>
      </c>
    </row>
    <row r="508" spans="1:8" ht="15" customHeight="1" x14ac:dyDescent="0.25">
      <c r="A508">
        <v>860000762</v>
      </c>
      <c r="B508" t="str">
        <f>VLOOKUP(A508,'[1]DEPURACION FINAL TRAB'!$A$1:$N$855,2,0)</f>
        <v>LADRILLERA SANTAFE S.A</v>
      </c>
      <c r="C508">
        <v>0</v>
      </c>
      <c r="D508" t="s">
        <v>2537</v>
      </c>
      <c r="E508" t="s">
        <v>2976</v>
      </c>
      <c r="F508" s="17" t="s">
        <v>419</v>
      </c>
      <c r="G508">
        <v>69694059.24000001</v>
      </c>
      <c r="H508">
        <v>219</v>
      </c>
    </row>
    <row r="509" spans="1:8" ht="15" customHeight="1" x14ac:dyDescent="0.25">
      <c r="A509">
        <v>901862068</v>
      </c>
      <c r="B509" t="str">
        <f>VLOOKUP(A509,'[1]DEPURACION FINAL TRAB'!$A$1:$N$855,2,0)</f>
        <v>POWER NOVA SAS</v>
      </c>
      <c r="C509" t="str">
        <f>VLOOKUP(A509,'[1]DEPURACION FINAL TRAB'!$1:$1048576,3,0)</f>
        <v>312 4346798</v>
      </c>
      <c r="D509" t="s">
        <v>2596</v>
      </c>
      <c r="E509" t="s">
        <v>3031</v>
      </c>
      <c r="F509" s="17" t="s">
        <v>419</v>
      </c>
      <c r="G509">
        <v>70335619.689999998</v>
      </c>
      <c r="H509">
        <v>219</v>
      </c>
    </row>
    <row r="510" spans="1:8" ht="15" customHeight="1" x14ac:dyDescent="0.25">
      <c r="A510">
        <v>900113435</v>
      </c>
      <c r="B510" t="str">
        <f>VLOOKUP(A510,'[1]DEPURACION FINAL TRAB'!$A$1:$N$855,2,0)</f>
        <v>SUMMUM PROJECTS S.A.S</v>
      </c>
      <c r="C510" t="str">
        <f>VLOOKUP(A510,'[1]DEPURACION FINAL TRAB'!$1:$1048576,3,0)</f>
        <v>6671414</v>
      </c>
      <c r="D510" t="s">
        <v>2666</v>
      </c>
      <c r="E510" t="s">
        <v>3097</v>
      </c>
      <c r="F510" s="17" t="s">
        <v>419</v>
      </c>
      <c r="G510">
        <v>70448478</v>
      </c>
      <c r="H510">
        <v>219</v>
      </c>
    </row>
    <row r="511" spans="1:8" ht="15" customHeight="1" x14ac:dyDescent="0.25">
      <c r="A511">
        <v>813008120</v>
      </c>
      <c r="B511" t="str">
        <f>VLOOKUP(A511,'[1]DEPURACION FINAL TRAB'!$A$1:$N$855,2,0)</f>
        <v>PA COLOMBIA S.A.S</v>
      </c>
      <c r="C511">
        <f>VLOOKUP(A511,'[1]DEPURACION FINAL TRAB'!$1:$1048576,3,0)</f>
        <v>2150482</v>
      </c>
      <c r="D511" t="s">
        <v>2575</v>
      </c>
      <c r="E511" t="s">
        <v>3012</v>
      </c>
      <c r="F511" s="17" t="s">
        <v>419</v>
      </c>
      <c r="G511">
        <v>70483597.5</v>
      </c>
      <c r="H511">
        <v>219</v>
      </c>
    </row>
    <row r="512" spans="1:8" ht="15" customHeight="1" x14ac:dyDescent="0.25">
      <c r="A512">
        <v>900149460</v>
      </c>
      <c r="B512" t="str">
        <f>VLOOKUP(A512,'[1]DEPURACION FINAL TRAB'!$A$1:$N$855,2,0)</f>
        <v>GYPLAC S.A</v>
      </c>
      <c r="C512">
        <v>0</v>
      </c>
      <c r="D512" t="s">
        <v>2479</v>
      </c>
      <c r="E512" t="s">
        <v>2922</v>
      </c>
      <c r="F512" s="17" t="s">
        <v>439</v>
      </c>
      <c r="G512">
        <v>71968320</v>
      </c>
      <c r="H512">
        <v>219</v>
      </c>
    </row>
    <row r="513" spans="1:8" ht="15" customHeight="1" x14ac:dyDescent="0.25">
      <c r="A513">
        <v>800226501</v>
      </c>
      <c r="B513" t="str">
        <f>VLOOKUP(A513,'[1]DEPURACION FINAL TRAB'!$A$1:$N$855,2,0)</f>
        <v>MAQUINADOS Y MONTAJES S.A.S</v>
      </c>
      <c r="C513">
        <v>0</v>
      </c>
      <c r="D513" t="s">
        <v>2549</v>
      </c>
      <c r="E513" t="s">
        <v>2986</v>
      </c>
      <c r="F513" s="17" t="s">
        <v>1955</v>
      </c>
      <c r="G513">
        <v>74515510.650000006</v>
      </c>
      <c r="H513">
        <v>219</v>
      </c>
    </row>
    <row r="514" spans="1:8" ht="15" customHeight="1" x14ac:dyDescent="0.25">
      <c r="A514">
        <v>860003563</v>
      </c>
      <c r="B514" t="str">
        <f>VLOOKUP(A514,'[1]DEPURACION FINAL TRAB'!$A$1:$N$855,2,0)</f>
        <v>HITACHI ENERGY COLOMBIA S.A.S.</v>
      </c>
      <c r="C514" t="str">
        <f>VLOOKUP(A514,'[1]DEPURACION FINAL TRAB'!$1:$1048576,3,0)</f>
        <v>3136500</v>
      </c>
      <c r="D514" t="s">
        <v>2281</v>
      </c>
      <c r="E514" t="s">
        <v>2931</v>
      </c>
      <c r="F514" s="17" t="s">
        <v>1820</v>
      </c>
      <c r="G514">
        <v>74909600</v>
      </c>
      <c r="H514">
        <v>219</v>
      </c>
    </row>
    <row r="515" spans="1:8" ht="15" customHeight="1" x14ac:dyDescent="0.25">
      <c r="A515">
        <v>890105526</v>
      </c>
      <c r="B515" t="str">
        <f>VLOOKUP(A515,'[1]DEPURACION FINAL TRAB'!$A$1:$N$855,2,0)</f>
        <v>PROMIGAS S.A. E.S.P.</v>
      </c>
      <c r="C515">
        <v>0</v>
      </c>
      <c r="D515" t="s">
        <v>2281</v>
      </c>
      <c r="E515" t="s">
        <v>3043</v>
      </c>
      <c r="F515" s="17" t="s">
        <v>374</v>
      </c>
      <c r="G515">
        <v>74947570</v>
      </c>
      <c r="H515">
        <v>219</v>
      </c>
    </row>
    <row r="516" spans="1:8" ht="15" customHeight="1" x14ac:dyDescent="0.25">
      <c r="A516">
        <v>472573795</v>
      </c>
      <c r="B516" t="str">
        <f>VLOOKUP(A516,'[1]DEPURACION FINAL TRAB'!$A$1:$N$855,2,0)</f>
        <v xml:space="preserve">AVEVA SOFTWARE LLC </v>
      </c>
      <c r="C516" t="str">
        <f>VLOOKUP(A516,'[1]DEPURACION FINAL TRAB'!$1:$1048576,3,0)</f>
        <v>N/A</v>
      </c>
      <c r="D516" t="s">
        <v>2389</v>
      </c>
      <c r="E516" t="s">
        <v>2720</v>
      </c>
      <c r="F516" s="17" t="s">
        <v>1259</v>
      </c>
      <c r="G516">
        <v>76300068.290000007</v>
      </c>
      <c r="H516">
        <v>219</v>
      </c>
    </row>
    <row r="517" spans="1:8" ht="15" customHeight="1" x14ac:dyDescent="0.25">
      <c r="A517">
        <v>901552350</v>
      </c>
      <c r="B517" t="str">
        <f>VLOOKUP(A517,'[1]DEPURACION FINAL TRAB'!$A$1:$N$855,2,0)</f>
        <v>CONSORCIO ANTIOQUIA AL MAR</v>
      </c>
      <c r="C517">
        <f>VLOOKUP(A517,'[1]DEPURACION FINAL TRAB'!$1:$1048576,3,0)</f>
        <v>5330033</v>
      </c>
      <c r="D517" t="s">
        <v>2373</v>
      </c>
      <c r="E517" t="s">
        <v>2824</v>
      </c>
      <c r="F517" s="17" t="s">
        <v>419</v>
      </c>
      <c r="G517">
        <v>77309121.599999994</v>
      </c>
      <c r="H517">
        <v>219</v>
      </c>
    </row>
    <row r="518" spans="1:8" ht="15" customHeight="1" x14ac:dyDescent="0.25">
      <c r="A518">
        <v>890101815</v>
      </c>
      <c r="B518" t="str">
        <f>VLOOKUP(A518,'[1]DEPURACION FINAL TRAB'!$A$1:$N$855,2,0)</f>
        <v>KENVUE COLOMBIA S.A.</v>
      </c>
      <c r="C518" t="str">
        <f>VLOOKUP(A518,'[1]DEPURACION FINAL TRAB'!$1:$1048576,3,0)</f>
        <v>11</v>
      </c>
      <c r="D518" t="s">
        <v>2531</v>
      </c>
      <c r="E518" t="s">
        <v>2972</v>
      </c>
      <c r="F518" s="17" t="s">
        <v>2222</v>
      </c>
      <c r="G518">
        <v>79029284.240000024</v>
      </c>
      <c r="H518">
        <v>334</v>
      </c>
    </row>
    <row r="519" spans="1:8" ht="15" customHeight="1" x14ac:dyDescent="0.25">
      <c r="A519">
        <v>901367494</v>
      </c>
      <c r="B519" t="str">
        <f>VLOOKUP(A519,'[1]DEPURACION FINAL TRAB'!$A$1:$N$855,2,0)</f>
        <v>ILN CONSULTING S.A.S</v>
      </c>
      <c r="C519" t="str">
        <f>VLOOKUP(A519,'[1]DEPURACION FINAL TRAB'!$1:$1048576,3,0)</f>
        <v>316 5784474</v>
      </c>
      <c r="D519" t="s">
        <v>2493</v>
      </c>
      <c r="E519" t="s">
        <v>2936</v>
      </c>
      <c r="F519" s="17" t="s">
        <v>344</v>
      </c>
      <c r="G519">
        <v>80823801.579999998</v>
      </c>
      <c r="H519">
        <v>219</v>
      </c>
    </row>
    <row r="520" spans="1:8" ht="15" customHeight="1" x14ac:dyDescent="0.25">
      <c r="A520">
        <v>901430445</v>
      </c>
      <c r="B520" t="str">
        <f>VLOOKUP(A520,'[1]DEPURACION FINAL TRAB'!$A$1:$N$855,2,0)</f>
        <v>COLSEMAQ SAS</v>
      </c>
      <c r="C520">
        <v>0</v>
      </c>
      <c r="D520" t="s">
        <v>2355</v>
      </c>
      <c r="E520" t="s">
        <v>2806</v>
      </c>
      <c r="F520" s="17" t="s">
        <v>1259</v>
      </c>
      <c r="G520">
        <v>82545329.719999999</v>
      </c>
      <c r="H520">
        <v>219</v>
      </c>
    </row>
    <row r="521" spans="1:8" ht="15" customHeight="1" x14ac:dyDescent="0.25">
      <c r="A521">
        <v>900734503</v>
      </c>
      <c r="B521" t="str">
        <f>VLOOKUP(A521,'[1]DEPURACION FINAL TRAB'!$A$1:$N$855,2,0)</f>
        <v>BFOCUS TECHNOLOGIES SAS</v>
      </c>
      <c r="C521" t="str">
        <f>VLOOKUP(A521,'[1]DEPURACION FINAL TRAB'!$1:$1048576,3,0)</f>
        <v>0618985005</v>
      </c>
      <c r="D521" t="s">
        <v>2316</v>
      </c>
      <c r="E521" t="s">
        <v>2730</v>
      </c>
      <c r="F521" s="17" t="s">
        <v>419</v>
      </c>
      <c r="G521">
        <v>83330941.219999984</v>
      </c>
      <c r="H521">
        <v>219</v>
      </c>
    </row>
    <row r="522" spans="1:8" ht="15" customHeight="1" x14ac:dyDescent="0.25">
      <c r="A522">
        <v>800194208</v>
      </c>
      <c r="B522" t="str">
        <f>VLOOKUP(A522,'[1]DEPURACION FINAL TRAB'!$A$1:$N$855,2,0)</f>
        <v>GESTION ENERGETICA S.A E.S.P</v>
      </c>
      <c r="C522">
        <f>VLOOKUP(A522,'[1]DEPURACION FINAL TRAB'!$1:$1048576,3,0)</f>
        <v>8756262</v>
      </c>
      <c r="D522" t="s">
        <v>2464</v>
      </c>
      <c r="E522" t="s">
        <v>2730</v>
      </c>
      <c r="F522" s="17" t="s">
        <v>783</v>
      </c>
      <c r="G522">
        <v>83490945</v>
      </c>
      <c r="H522">
        <v>219</v>
      </c>
    </row>
    <row r="523" spans="1:8" ht="15" customHeight="1" x14ac:dyDescent="0.25">
      <c r="A523">
        <v>860400538</v>
      </c>
      <c r="B523" t="str">
        <f>VLOOKUP(A523,'[1]DEPURACION FINAL TRAB'!$A$1:$N$855,2,0)</f>
        <v>RAYCO S.A. RODRIGO ARISTIZABAL &amp; CIA. S.A</v>
      </c>
      <c r="C523" t="str">
        <f>VLOOKUP(A523,'[1]DEPURACION FINAL TRAB'!$1:$1048576,3,0)</f>
        <v>3808530</v>
      </c>
      <c r="D523" t="s">
        <v>2615</v>
      </c>
      <c r="E523" t="s">
        <v>3052</v>
      </c>
      <c r="F523" s="17" t="s">
        <v>419</v>
      </c>
      <c r="G523">
        <v>84868843.290000007</v>
      </c>
      <c r="H523">
        <v>219</v>
      </c>
    </row>
    <row r="524" spans="1:8" ht="15" customHeight="1" x14ac:dyDescent="0.25">
      <c r="A524">
        <v>2400841</v>
      </c>
      <c r="B524" t="str">
        <f>VLOOKUP(A524,'[1]DEPURACION FINAL TRAB'!$A$1:$N$855,2,0)</f>
        <v>TECHNOFILMS LIMITADA</v>
      </c>
      <c r="C524" t="str">
        <f>VLOOKUP(A524,'[1]DEPURACION FINAL TRAB'!$1:$1048576,3,0)</f>
        <v>7305900</v>
      </c>
      <c r="D524" t="s">
        <v>2675</v>
      </c>
      <c r="E524" t="s">
        <v>2720</v>
      </c>
      <c r="F524" s="17" t="s">
        <v>1259</v>
      </c>
      <c r="G524">
        <v>85049606.150000006</v>
      </c>
      <c r="H524">
        <v>219</v>
      </c>
    </row>
    <row r="525" spans="1:8" ht="15" customHeight="1" x14ac:dyDescent="0.25">
      <c r="A525">
        <v>900635671</v>
      </c>
      <c r="B525" t="str">
        <f>VLOOKUP(A525,'[1]DEPURACION FINAL TRAB'!$A$1:$N$855,2,0)</f>
        <v>DESARROLLO DE SISTEMAS DE CONTROL SAS</v>
      </c>
      <c r="C525">
        <v>0</v>
      </c>
      <c r="D525" t="s">
        <v>2396</v>
      </c>
      <c r="E525" t="s">
        <v>2846</v>
      </c>
      <c r="F525" s="17" t="s">
        <v>2205</v>
      </c>
      <c r="G525">
        <v>85783718.290000007</v>
      </c>
      <c r="H525">
        <v>219</v>
      </c>
    </row>
    <row r="526" spans="1:8" ht="15" customHeight="1" x14ac:dyDescent="0.25">
      <c r="A526">
        <v>900239001</v>
      </c>
      <c r="B526" t="str">
        <f>VLOOKUP(A526,'[1]DEPURACION FINAL TRAB'!$A$1:$N$855,2,0)</f>
        <v>PRODUCTOS FAMILIA CAJICA SAS</v>
      </c>
      <c r="C526">
        <v>0</v>
      </c>
      <c r="D526" t="s">
        <v>2604</v>
      </c>
      <c r="E526" t="s">
        <v>3039</v>
      </c>
      <c r="F526" s="17" t="s">
        <v>1245</v>
      </c>
      <c r="G526">
        <v>87139910.640000001</v>
      </c>
      <c r="H526">
        <v>219</v>
      </c>
    </row>
    <row r="527" spans="1:8" ht="15" customHeight="1" x14ac:dyDescent="0.25">
      <c r="A527">
        <v>900874191</v>
      </c>
      <c r="B527" t="str">
        <f>VLOOKUP(A527,'[1]DEPURACION FINAL TRAB'!$A$1:$N$855,2,0)</f>
        <v>IGCP INGENIERIA S.A.S</v>
      </c>
      <c r="C527" t="str">
        <f>VLOOKUP(A527,'[1]DEPURACION FINAL TRAB'!$1:$1048576,3,0)</f>
        <v>311 3326154</v>
      </c>
      <c r="D527" t="s">
        <v>2492</v>
      </c>
      <c r="E527" t="s">
        <v>2935</v>
      </c>
      <c r="F527" s="17" t="s">
        <v>783</v>
      </c>
      <c r="G527">
        <v>88136845.060000002</v>
      </c>
      <c r="H527">
        <v>219</v>
      </c>
    </row>
    <row r="528" spans="1:8" ht="15" customHeight="1" x14ac:dyDescent="0.25">
      <c r="A528">
        <v>901275614</v>
      </c>
      <c r="B528" t="str">
        <f>VLOOKUP(A528,'[1]DEPURACION FINAL TRAB'!$A$1:$N$855,2,0)</f>
        <v>GLOBAL INDUSTRIAL FURNACE &amp; PROJECTS S.A.S</v>
      </c>
      <c r="C528">
        <v>0</v>
      </c>
      <c r="D528" t="s">
        <v>2468</v>
      </c>
      <c r="E528" t="s">
        <v>2911</v>
      </c>
      <c r="F528" s="17" t="s">
        <v>2216</v>
      </c>
      <c r="G528">
        <v>89701073.930000007</v>
      </c>
      <c r="H528">
        <v>219</v>
      </c>
    </row>
    <row r="529" spans="1:8" ht="15" customHeight="1" x14ac:dyDescent="0.25">
      <c r="A529">
        <v>830055897</v>
      </c>
      <c r="B529" t="s">
        <v>2258</v>
      </c>
      <c r="C529">
        <v>0</v>
      </c>
      <c r="D529">
        <v>0</v>
      </c>
      <c r="E529">
        <v>0</v>
      </c>
      <c r="F529" s="17">
        <v>0</v>
      </c>
      <c r="G529">
        <v>90355063.399999991</v>
      </c>
      <c r="H529">
        <v>0</v>
      </c>
    </row>
    <row r="530" spans="1:8" ht="15" customHeight="1" x14ac:dyDescent="0.25">
      <c r="A530">
        <v>891400378</v>
      </c>
      <c r="B530" t="str">
        <f>VLOOKUP(A530,'[1]DEPURACION FINAL TRAB'!$A$1:$N$855,2,0)</f>
        <v>PAPELES NACIONALES S.A.S.</v>
      </c>
      <c r="C530">
        <v>0</v>
      </c>
      <c r="D530" t="s">
        <v>2578</v>
      </c>
      <c r="E530" t="s">
        <v>3015</v>
      </c>
      <c r="F530" s="17" t="s">
        <v>1826</v>
      </c>
      <c r="G530">
        <v>91223654.060000002</v>
      </c>
      <c r="H530">
        <v>219</v>
      </c>
    </row>
    <row r="531" spans="1:8" ht="15" customHeight="1" x14ac:dyDescent="0.25">
      <c r="A531">
        <v>900743695</v>
      </c>
      <c r="B531" t="str">
        <f>VLOOKUP(A531,'[1]DEPURACION FINAL TRAB'!$A$1:$N$855,2,0)</f>
        <v>PHOENIX CONTACT S.A.S</v>
      </c>
      <c r="C531">
        <v>0</v>
      </c>
      <c r="D531" t="s">
        <v>2588</v>
      </c>
      <c r="E531" t="s">
        <v>3024</v>
      </c>
      <c r="F531" s="17" t="s">
        <v>1259</v>
      </c>
      <c r="G531">
        <v>93589474.450000018</v>
      </c>
      <c r="H531">
        <v>219</v>
      </c>
    </row>
    <row r="532" spans="1:8" ht="15" customHeight="1" x14ac:dyDescent="0.25">
      <c r="A532">
        <v>860013704</v>
      </c>
      <c r="B532" t="str">
        <f>VLOOKUP(A532,'[1]DEPURACION FINAL TRAB'!$A$1:$N$855,2,0)</f>
        <v>GASES INDUSTRIALES DE COLOMBIA SA</v>
      </c>
      <c r="C532" t="str">
        <f>VLOOKUP(A532,'[1]DEPURACION FINAL TRAB'!$1:$1048576,3,0)</f>
        <v>01-800-0514300</v>
      </c>
      <c r="D532" t="s">
        <v>2460</v>
      </c>
      <c r="E532" t="s">
        <v>2904</v>
      </c>
      <c r="F532" s="17" t="s">
        <v>344</v>
      </c>
      <c r="G532">
        <v>98125685.159999996</v>
      </c>
      <c r="H532">
        <v>219</v>
      </c>
    </row>
    <row r="533" spans="1:8" ht="15" customHeight="1" x14ac:dyDescent="0.25">
      <c r="A533">
        <v>890319047</v>
      </c>
      <c r="B533" t="str">
        <f>VLOOKUP(A533,'[1]DEPURACION FINAL TRAB'!$A$1:$N$855,2,0)</f>
        <v>CARVAJAL EMPAQUES S.A.</v>
      </c>
      <c r="C533">
        <v>0</v>
      </c>
      <c r="D533" t="s">
        <v>2332</v>
      </c>
      <c r="E533" t="s">
        <v>2784</v>
      </c>
      <c r="F533" s="17" t="s">
        <v>2205</v>
      </c>
      <c r="G533">
        <v>101849981.19999999</v>
      </c>
      <c r="H533">
        <v>219</v>
      </c>
    </row>
    <row r="534" spans="1:8" ht="15" customHeight="1" x14ac:dyDescent="0.25">
      <c r="A534">
        <v>830056322</v>
      </c>
      <c r="B534" t="str">
        <f>VLOOKUP(A534,'[1]DEPURACION FINAL TRAB'!$A$1:$N$855,2,0)</f>
        <v>SAYTEC DE COLOMBIA S.A.S</v>
      </c>
      <c r="C534">
        <v>0</v>
      </c>
      <c r="D534" t="s">
        <v>2633</v>
      </c>
      <c r="E534" t="s">
        <v>3024</v>
      </c>
      <c r="F534" s="17" t="s">
        <v>1259</v>
      </c>
      <c r="G534">
        <v>102827911.88999999</v>
      </c>
      <c r="H534">
        <v>219</v>
      </c>
    </row>
    <row r="535" spans="1:8" ht="15" customHeight="1" x14ac:dyDescent="0.25">
      <c r="A535">
        <v>900335275</v>
      </c>
      <c r="B535" t="str">
        <f>VLOOKUP(A535,'[1]DEPURACION FINAL TRAB'!$A$1:$N$855,2,0)</f>
        <v>INGENIERIA Y SERVICIOS TECNICOS SERINGTEC S.A.S.</v>
      </c>
      <c r="C535">
        <v>0</v>
      </c>
      <c r="D535" t="s">
        <v>2513</v>
      </c>
      <c r="E535" t="s">
        <v>2957</v>
      </c>
      <c r="F535" s="17" t="s">
        <v>419</v>
      </c>
      <c r="G535">
        <v>106479320.16</v>
      </c>
      <c r="H535">
        <v>219</v>
      </c>
    </row>
    <row r="536" spans="1:8" ht="15" customHeight="1" x14ac:dyDescent="0.25">
      <c r="A536">
        <v>800116749</v>
      </c>
      <c r="B536" t="str">
        <f>VLOOKUP(A536,'[1]DEPURACION FINAL TRAB'!$A$1:$N$855,2,0)</f>
        <v>EXTRACTORA MONTERREY S.A.S</v>
      </c>
      <c r="C536">
        <v>0</v>
      </c>
      <c r="D536" t="s">
        <v>2436</v>
      </c>
      <c r="E536" t="s">
        <v>2883</v>
      </c>
      <c r="F536" s="17" t="s">
        <v>1945</v>
      </c>
      <c r="G536">
        <v>107568325.63999999</v>
      </c>
      <c r="H536">
        <v>219</v>
      </c>
    </row>
    <row r="537" spans="1:8" ht="15" customHeight="1" x14ac:dyDescent="0.25">
      <c r="A537">
        <v>800221789</v>
      </c>
      <c r="B537" t="str">
        <f>VLOOKUP(A537,'[1]DEPURACION FINAL TRAB'!$A$1:$N$855,2,0)</f>
        <v>BRINSA SA</v>
      </c>
      <c r="C537">
        <v>0</v>
      </c>
      <c r="D537" t="s">
        <v>2322</v>
      </c>
      <c r="E537" t="s">
        <v>2773</v>
      </c>
      <c r="F537" s="17" t="s">
        <v>1245</v>
      </c>
      <c r="G537">
        <v>107723026.10000001</v>
      </c>
      <c r="H537">
        <v>219</v>
      </c>
    </row>
    <row r="538" spans="1:8" ht="15" customHeight="1" x14ac:dyDescent="0.25">
      <c r="A538">
        <v>480760430</v>
      </c>
      <c r="B538" t="s">
        <v>2257</v>
      </c>
      <c r="C538">
        <v>0</v>
      </c>
      <c r="D538">
        <v>0</v>
      </c>
      <c r="E538">
        <v>0</v>
      </c>
      <c r="F538" s="17">
        <v>0</v>
      </c>
      <c r="G538">
        <v>110577052</v>
      </c>
      <c r="H538">
        <v>0</v>
      </c>
    </row>
    <row r="539" spans="1:8" ht="15" customHeight="1" x14ac:dyDescent="0.25">
      <c r="A539">
        <v>900087414</v>
      </c>
      <c r="B539" t="str">
        <f>VLOOKUP(A539,'[1]DEPURACION FINAL TRAB'!$A$1:$N$855,2,0)</f>
        <v>RIOPAILA CASTILLA S.A.</v>
      </c>
      <c r="C539">
        <v>0</v>
      </c>
      <c r="D539" t="s">
        <v>2623</v>
      </c>
      <c r="E539" t="s">
        <v>3058</v>
      </c>
      <c r="F539" s="17" t="s">
        <v>2197</v>
      </c>
      <c r="G539">
        <v>115772718.97</v>
      </c>
      <c r="H539">
        <v>219</v>
      </c>
    </row>
    <row r="540" spans="1:8" ht="15" customHeight="1" x14ac:dyDescent="0.25">
      <c r="A540">
        <v>901721755</v>
      </c>
      <c r="B540" t="str">
        <f>VLOOKUP(A540,'[1]DEPURACION FINAL TRAB'!$A$1:$N$855,2,0)</f>
        <v>CAV AUTOMATION - ROBOTICA E INTRALOGISTICA SAS</v>
      </c>
      <c r="C540" t="str">
        <f>VLOOKUP(A540,'[1]DEPURACION FINAL TRAB'!$1:$1048576,3,0)</f>
        <v>310 8736629</v>
      </c>
      <c r="D540" t="s">
        <v>2334</v>
      </c>
      <c r="E540" t="s">
        <v>2786</v>
      </c>
      <c r="F540" s="17" t="s">
        <v>1265</v>
      </c>
      <c r="G540">
        <v>117566377.10000001</v>
      </c>
      <c r="H540">
        <v>219</v>
      </c>
    </row>
    <row r="541" spans="1:8" ht="15" customHeight="1" x14ac:dyDescent="0.25">
      <c r="A541" t="s">
        <v>2252</v>
      </c>
      <c r="B541" t="str">
        <f>VLOOKUP(A541,'[1]DEPURACION FINAL TRAB'!$A$1:$N$855,2,0)</f>
        <v xml:space="preserve">LACROIX CITY MADRID SA </v>
      </c>
      <c r="C541" t="str">
        <f>VLOOKUP(A541,'[1]DEPURACION FINAL TRAB'!$1:$1048576,3,0)</f>
        <v>N/A</v>
      </c>
      <c r="D541" t="s">
        <v>2536</v>
      </c>
      <c r="E541" t="s">
        <v>2720</v>
      </c>
      <c r="F541" s="17" t="s">
        <v>1259</v>
      </c>
      <c r="G541">
        <v>119398112.38</v>
      </c>
      <c r="H541">
        <v>219</v>
      </c>
    </row>
    <row r="542" spans="1:8" ht="15" customHeight="1" x14ac:dyDescent="0.25">
      <c r="A542">
        <v>899999068</v>
      </c>
      <c r="B542" t="str">
        <f>VLOOKUP(A542,'[1]DEPURACION FINAL TRAB'!$A$1:$N$855,2,0)</f>
        <v>ECOPETROL S.A.</v>
      </c>
      <c r="C542">
        <v>0</v>
      </c>
      <c r="D542" t="s">
        <v>2281</v>
      </c>
      <c r="E542" t="s">
        <v>2857</v>
      </c>
      <c r="F542" s="17" t="s">
        <v>1932</v>
      </c>
      <c r="G542">
        <v>124814314.25</v>
      </c>
      <c r="H542">
        <v>219</v>
      </c>
    </row>
    <row r="543" spans="1:8" ht="15" customHeight="1" x14ac:dyDescent="0.25">
      <c r="A543">
        <v>830054539</v>
      </c>
      <c r="B543" t="str">
        <f>VLOOKUP(A543,'[1]DEPURACION FINAL TRAB'!$A$1:$N$855,2,0)</f>
        <v>PATRIMONIOS AUTONOMOS FIDUCIARIA BANCOLOMBIA S.A</v>
      </c>
      <c r="C543">
        <f>VLOOKUP(A543,'[1]DEPURACION FINAL TRAB'!$1:$1048576,3,0)</f>
        <v>7456709</v>
      </c>
      <c r="D543" t="s">
        <v>2582</v>
      </c>
      <c r="E543" t="s">
        <v>2730</v>
      </c>
      <c r="F543" s="17" t="s">
        <v>419</v>
      </c>
      <c r="G543">
        <v>125650888.06999999</v>
      </c>
      <c r="H543">
        <v>334</v>
      </c>
    </row>
    <row r="544" spans="1:8" ht="15" customHeight="1" x14ac:dyDescent="0.25">
      <c r="A544">
        <v>900136638</v>
      </c>
      <c r="B544" t="str">
        <f>VLOOKUP(A544,'[1]DEPURACION FINAL TRAB'!$A$1:$N$855,2,0)</f>
        <v>CERVECERIA DEL VALLE SAS</v>
      </c>
      <c r="C544" t="str">
        <f>VLOOKUP(A544,'[1]DEPURACION FINAL TRAB'!$1:$1048576,3,0)</f>
        <v>6919400</v>
      </c>
      <c r="D544" t="s">
        <v>2343</v>
      </c>
      <c r="E544" t="s">
        <v>2793</v>
      </c>
      <c r="F544" s="17" t="s">
        <v>2222</v>
      </c>
      <c r="G544">
        <v>127484018.63000005</v>
      </c>
      <c r="H544">
        <v>219</v>
      </c>
    </row>
    <row r="545" spans="1:8" ht="15" customHeight="1" x14ac:dyDescent="0.25">
      <c r="A545">
        <v>890904478</v>
      </c>
      <c r="B545" t="str">
        <f>VLOOKUP(A545,'[1]DEPURACION FINAL TRAB'!$A$1:$N$855,2,0)</f>
        <v>COOPERATIVA COLANTA</v>
      </c>
      <c r="C545">
        <v>0</v>
      </c>
      <c r="D545" t="s">
        <v>2382</v>
      </c>
      <c r="E545" t="s">
        <v>2832</v>
      </c>
      <c r="F545" s="17" t="s">
        <v>176</v>
      </c>
      <c r="G545">
        <v>133471723.74000001</v>
      </c>
      <c r="H545">
        <v>219</v>
      </c>
    </row>
    <row r="546" spans="1:8" ht="15" customHeight="1" x14ac:dyDescent="0.25">
      <c r="A546">
        <v>830054539</v>
      </c>
      <c r="B546" t="str">
        <f>VLOOKUP(A546,'[1]DEPURACION FINAL TRAB'!$A$1:$N$855,2,0)</f>
        <v>PATRIMONIOS AUTONOMOS FIDUCIARIA BANCOLOMBIA S.A</v>
      </c>
      <c r="C546">
        <f>VLOOKUP(A546,'[1]DEPURACION FINAL TRAB'!$1:$1048576,3,0)</f>
        <v>7456709</v>
      </c>
      <c r="D546" t="s">
        <v>2582</v>
      </c>
      <c r="E546" t="s">
        <v>2730</v>
      </c>
      <c r="F546" s="17" t="s">
        <v>419</v>
      </c>
      <c r="G546">
        <v>139093034.88</v>
      </c>
      <c r="H546">
        <v>334</v>
      </c>
    </row>
    <row r="547" spans="1:8" ht="15" customHeight="1" x14ac:dyDescent="0.25">
      <c r="A547">
        <v>815000863</v>
      </c>
      <c r="B547" t="str">
        <f>VLOOKUP(A547,'[1]DEPURACION FINAL TRAB'!$A$1:$N$855,2,0)</f>
        <v>AVIDESA DE OCCIDENTE S.A.</v>
      </c>
      <c r="C547">
        <v>0</v>
      </c>
      <c r="D547" t="s">
        <v>2303</v>
      </c>
      <c r="E547" t="s">
        <v>2755</v>
      </c>
      <c r="F547" s="17" t="s">
        <v>1587</v>
      </c>
      <c r="G547">
        <v>140430840</v>
      </c>
      <c r="H547">
        <v>219</v>
      </c>
    </row>
    <row r="548" spans="1:8" ht="15" customHeight="1" x14ac:dyDescent="0.25">
      <c r="A548">
        <v>900940623</v>
      </c>
      <c r="B548" t="str">
        <f>VLOOKUP(A548,'[1]DEPURACION FINAL TRAB'!$A$1:$N$855,2,0)</f>
        <v>AUTOMATIZAR Y COMPAÑÍA SAS</v>
      </c>
      <c r="C548">
        <v>0</v>
      </c>
      <c r="D548" t="s">
        <v>2299</v>
      </c>
      <c r="E548" t="s">
        <v>2751</v>
      </c>
      <c r="F548" s="17" t="s">
        <v>789</v>
      </c>
      <c r="G548">
        <v>140864736</v>
      </c>
      <c r="H548">
        <v>219</v>
      </c>
    </row>
    <row r="549" spans="1:8" ht="15" customHeight="1" x14ac:dyDescent="0.25">
      <c r="A549">
        <v>890300546</v>
      </c>
      <c r="B549" t="str">
        <f>VLOOKUP(A549,'[1]DEPURACION FINAL TRAB'!$A$1:$N$855,2,0)</f>
        <v>COLGATE PALMOLIVE COMPAÑÍA</v>
      </c>
      <c r="C549">
        <v>0</v>
      </c>
      <c r="D549" t="s">
        <v>2351</v>
      </c>
      <c r="E549" t="s">
        <v>2801</v>
      </c>
      <c r="F549" s="17" t="s">
        <v>2205</v>
      </c>
      <c r="G549">
        <v>144284145.70000002</v>
      </c>
      <c r="H549">
        <v>219</v>
      </c>
    </row>
    <row r="550" spans="1:8" ht="15" customHeight="1" x14ac:dyDescent="0.25">
      <c r="A550">
        <v>860068182</v>
      </c>
      <c r="B550" t="s">
        <v>2259</v>
      </c>
      <c r="C550">
        <v>0</v>
      </c>
      <c r="D550">
        <v>0</v>
      </c>
      <c r="E550">
        <v>0</v>
      </c>
      <c r="F550" s="17">
        <v>0</v>
      </c>
      <c r="G550">
        <v>144551345.23000002</v>
      </c>
      <c r="H550">
        <v>0</v>
      </c>
    </row>
    <row r="551" spans="1:8" ht="15" customHeight="1" x14ac:dyDescent="0.25">
      <c r="A551">
        <v>804005810</v>
      </c>
      <c r="B551" t="str">
        <f>VLOOKUP(A551,'[1]DEPURACION FINAL TRAB'!$A$1:$N$855,2,0)</f>
        <v>EMPRESA DE SOLUCIONES, SERVICIOS E INNOVACION ESSI S.A.S.</v>
      </c>
      <c r="C551">
        <v>0</v>
      </c>
      <c r="D551" t="s">
        <v>2421</v>
      </c>
      <c r="E551" t="s">
        <v>2867</v>
      </c>
      <c r="F551" s="17" t="s">
        <v>1955</v>
      </c>
      <c r="G551">
        <v>146324880</v>
      </c>
      <c r="H551">
        <v>219</v>
      </c>
    </row>
    <row r="552" spans="1:8" ht="15" customHeight="1" x14ac:dyDescent="0.25">
      <c r="A552">
        <v>890801748</v>
      </c>
      <c r="B552" t="str">
        <f>VLOOKUP(A552,'[1]DEPURACION FINAL TRAB'!$A$1:$N$855,2,0)</f>
        <v>MABE COLOMBIA S.A.S</v>
      </c>
      <c r="C552">
        <v>0</v>
      </c>
      <c r="D552" t="s">
        <v>2541</v>
      </c>
      <c r="E552" t="s">
        <v>2980</v>
      </c>
      <c r="F552" s="17" t="s">
        <v>783</v>
      </c>
      <c r="G552">
        <v>149085020.20999998</v>
      </c>
      <c r="H552">
        <v>219</v>
      </c>
    </row>
    <row r="553" spans="1:8" ht="15" customHeight="1" x14ac:dyDescent="0.25">
      <c r="A553">
        <v>832003882</v>
      </c>
      <c r="B553" t="str">
        <f>VLOOKUP(A553,'[1]DEPURACION FINAL TRAB'!$A$1:$N$855,2,0)</f>
        <v>SCHOTT ENVASES FARMACEUTICOS SAS</v>
      </c>
      <c r="C553">
        <v>0</v>
      </c>
      <c r="D553" t="s">
        <v>2636</v>
      </c>
      <c r="E553" t="s">
        <v>3068</v>
      </c>
      <c r="F553" s="17" t="s">
        <v>419</v>
      </c>
      <c r="G553">
        <v>150277262.29999998</v>
      </c>
      <c r="H553">
        <v>219</v>
      </c>
    </row>
    <row r="554" spans="1:8" ht="15" customHeight="1" x14ac:dyDescent="0.25">
      <c r="A554">
        <v>800200969</v>
      </c>
      <c r="B554" t="str">
        <f>VLOOKUP(A554,'[1]DEPURACION FINAL TRAB'!$A$1:$N$855,2,0)</f>
        <v>SOCIEDAD PORTUARIA REGIONAL DE CARTAGENA SA</v>
      </c>
      <c r="C554">
        <v>0</v>
      </c>
      <c r="D554" t="s">
        <v>2652</v>
      </c>
      <c r="E554" t="s">
        <v>3083</v>
      </c>
      <c r="F554" s="17" t="s">
        <v>439</v>
      </c>
      <c r="G554">
        <v>152002556.16</v>
      </c>
      <c r="H554">
        <v>219</v>
      </c>
    </row>
    <row r="555" spans="1:8" ht="15" customHeight="1" x14ac:dyDescent="0.25">
      <c r="A555">
        <v>900467640</v>
      </c>
      <c r="B555" t="str">
        <f>VLOOKUP(A555,'[1]DEPURACION FINAL TRAB'!$A$1:$N$855,2,0)</f>
        <v>Y&amp;V INGENIERIA Y CONSTRUCCION SUCURSAL COLOMBIA</v>
      </c>
      <c r="C555">
        <f>VLOOKUP(A555,'[1]DEPURACION FINAL TRAB'!$1:$1048576,3,0)</f>
        <v>19172110</v>
      </c>
      <c r="D555" t="s">
        <v>2712</v>
      </c>
      <c r="E555" t="s">
        <v>2730</v>
      </c>
      <c r="F555" s="17" t="s">
        <v>419</v>
      </c>
      <c r="G555">
        <v>156051857.22</v>
      </c>
      <c r="H555">
        <v>219</v>
      </c>
    </row>
    <row r="556" spans="1:8" ht="15" customHeight="1" x14ac:dyDescent="0.25">
      <c r="A556">
        <v>890903858</v>
      </c>
      <c r="B556" t="str">
        <f>VLOOKUP(A556,'[1]DEPURACION FINAL TRAB'!$A$1:$N$855,2,0)</f>
        <v>INDUSTRIA NACIONAL DE GASEOSAS SAS</v>
      </c>
      <c r="C556">
        <v>0</v>
      </c>
      <c r="D556" t="s">
        <v>2415</v>
      </c>
      <c r="E556" t="s">
        <v>2944</v>
      </c>
      <c r="F556" s="17" t="s">
        <v>419</v>
      </c>
      <c r="G556">
        <v>161619616.97999999</v>
      </c>
      <c r="H556">
        <v>219</v>
      </c>
    </row>
    <row r="557" spans="1:8" ht="15" customHeight="1" x14ac:dyDescent="0.25">
      <c r="A557">
        <v>800228515</v>
      </c>
      <c r="B557" t="str">
        <f>VLOOKUP(A557,'[1]DEPURACION FINAL TRAB'!$A$1:$N$855,2,0)</f>
        <v>GLOBAL ASTI S.A.S</v>
      </c>
      <c r="C557">
        <f>VLOOKUP(A557,'[1]DEPURACION FINAL TRAB'!$1:$1048576,3,0)</f>
        <v>8840809</v>
      </c>
      <c r="D557" t="s">
        <v>2467</v>
      </c>
      <c r="E557" t="s">
        <v>2910</v>
      </c>
      <c r="F557" s="17" t="s">
        <v>783</v>
      </c>
      <c r="G557">
        <v>163561321</v>
      </c>
      <c r="H557">
        <v>219</v>
      </c>
    </row>
    <row r="558" spans="1:8" ht="15" customHeight="1" x14ac:dyDescent="0.25">
      <c r="A558" t="s">
        <v>2253</v>
      </c>
      <c r="B558" t="str">
        <f>VLOOKUP(A558,'[1]DEPURACION FINAL TRAB'!$A$1:$N$855,2,0)</f>
        <v>RFID PROCESS INTEGRATION INC</v>
      </c>
      <c r="C558" t="str">
        <f>VLOOKUP(A558,'[1]DEPURACION FINAL TRAB'!$1:$1048576,3,0)</f>
        <v>N/A</v>
      </c>
      <c r="D558" t="s">
        <v>2620</v>
      </c>
      <c r="E558" t="s">
        <v>2720</v>
      </c>
      <c r="F558" s="17" t="s">
        <v>1259</v>
      </c>
      <c r="G558">
        <v>164766517.96000001</v>
      </c>
      <c r="H558">
        <v>219</v>
      </c>
    </row>
    <row r="559" spans="1:8" ht="15" customHeight="1" x14ac:dyDescent="0.25">
      <c r="A559">
        <v>890904996</v>
      </c>
      <c r="B559" t="str">
        <f>VLOOKUP(A559,'[1]DEPURACION FINAL TRAB'!$A$1:$N$855,2,0)</f>
        <v>EMPRESAS PUBLICAS DE MEDELLIN E.S.P.</v>
      </c>
      <c r="C559">
        <v>0</v>
      </c>
      <c r="D559" t="s">
        <v>2422</v>
      </c>
      <c r="E559" t="s">
        <v>2868</v>
      </c>
      <c r="F559" s="17" t="s">
        <v>352</v>
      </c>
      <c r="G559">
        <v>166278691.75</v>
      </c>
      <c r="H559">
        <v>219</v>
      </c>
    </row>
    <row r="560" spans="1:8" ht="15" customHeight="1" x14ac:dyDescent="0.25">
      <c r="A560">
        <v>860002523</v>
      </c>
      <c r="B560" t="str">
        <f>VLOOKUP(A560,'[1]DEPURACION FINAL TRAB'!$A$1:$N$855,2,0)</f>
        <v>CEMEX COLOMBIA S.A.</v>
      </c>
      <c r="C560">
        <v>0</v>
      </c>
      <c r="D560" t="s">
        <v>2338</v>
      </c>
      <c r="E560" t="s">
        <v>2790</v>
      </c>
      <c r="F560" s="17" t="s">
        <v>419</v>
      </c>
      <c r="G560">
        <v>166649788</v>
      </c>
      <c r="H560">
        <v>219</v>
      </c>
    </row>
    <row r="561" spans="1:8" ht="15" customHeight="1" x14ac:dyDescent="0.25">
      <c r="A561">
        <v>890300406</v>
      </c>
      <c r="B561" t="str">
        <f>VLOOKUP(A561,'[1]DEPURACION FINAL TRAB'!$A$1:$N$855,2,0)</f>
        <v>CARTON DE COLOMBIA S.A.</v>
      </c>
      <c r="C561" t="str">
        <f>VLOOKUP(A561,'[1]DEPURACION FINAL TRAB'!$1:$1048576,3,0)</f>
        <v>3129521</v>
      </c>
      <c r="D561" t="s">
        <v>2330</v>
      </c>
      <c r="E561" t="s">
        <v>2782</v>
      </c>
      <c r="F561" s="17" t="s">
        <v>374</v>
      </c>
      <c r="G561">
        <v>176185890.47000006</v>
      </c>
      <c r="H561">
        <v>219</v>
      </c>
    </row>
    <row r="562" spans="1:8" ht="15" customHeight="1" x14ac:dyDescent="0.25">
      <c r="A562">
        <v>890900118</v>
      </c>
      <c r="B562" t="str">
        <f>VLOOKUP(A562,'[1]DEPURACION FINAL TRAB'!$A$1:$N$855,2,0)</f>
        <v>CRISTALERIA PELDAR S.A</v>
      </c>
      <c r="C562">
        <v>0</v>
      </c>
      <c r="D562" t="s">
        <v>2387</v>
      </c>
      <c r="E562" t="s">
        <v>2837</v>
      </c>
      <c r="F562" s="17" t="s">
        <v>1261</v>
      </c>
      <c r="G562">
        <v>176660066.5</v>
      </c>
      <c r="H562">
        <v>334</v>
      </c>
    </row>
    <row r="563" spans="1:8" ht="15" customHeight="1" x14ac:dyDescent="0.25">
      <c r="A563">
        <v>800011987</v>
      </c>
      <c r="B563" t="str">
        <f>VLOOKUP(A563,'[1]DEPURACION FINAL TRAB'!$A$1:$N$855,2,0)</f>
        <v>TENARIS TUBOCARIBE LTDA</v>
      </c>
      <c r="C563">
        <v>0</v>
      </c>
      <c r="D563" t="s">
        <v>2681</v>
      </c>
      <c r="E563" t="s">
        <v>3109</v>
      </c>
      <c r="F563" s="17" t="s">
        <v>439</v>
      </c>
      <c r="G563">
        <v>176964407.34</v>
      </c>
      <c r="H563">
        <v>219</v>
      </c>
    </row>
    <row r="564" spans="1:8" ht="15" customHeight="1" x14ac:dyDescent="0.25">
      <c r="A564">
        <v>890200162</v>
      </c>
      <c r="B564" t="str">
        <f>VLOOKUP(A564,'[1]DEPURACION FINAL TRAB'!$A$1:$N$855,2,0)</f>
        <v>ACUEDUCTO METROPOLITANO DE BUCARAMANGA S.A E.S.P.</v>
      </c>
      <c r="C564">
        <v>0</v>
      </c>
      <c r="D564" t="s">
        <v>2267</v>
      </c>
      <c r="E564" t="s">
        <v>2722</v>
      </c>
      <c r="F564" s="17" t="s">
        <v>1755</v>
      </c>
      <c r="G564">
        <v>204757826</v>
      </c>
      <c r="H564">
        <v>219</v>
      </c>
    </row>
    <row r="565" spans="1:8" ht="15" customHeight="1" x14ac:dyDescent="0.25">
      <c r="A565">
        <v>900493698</v>
      </c>
      <c r="B565" t="str">
        <f>VLOOKUP(A565,'[1]DEPURACION FINAL TRAB'!$A$1:$N$855,2,0)</f>
        <v>GEOPARK COLOMBIA S.A.S</v>
      </c>
      <c r="C565">
        <v>0</v>
      </c>
      <c r="D565" t="s">
        <v>2463</v>
      </c>
      <c r="E565" t="s">
        <v>2907</v>
      </c>
      <c r="F565" s="17" t="s">
        <v>1549</v>
      </c>
      <c r="G565">
        <v>205303643.56</v>
      </c>
      <c r="H565">
        <v>219</v>
      </c>
    </row>
    <row r="566" spans="1:8" ht="15" customHeight="1" x14ac:dyDescent="0.25">
      <c r="A566">
        <v>800121118</v>
      </c>
      <c r="B566" t="str">
        <f>VLOOKUP(A566,'[1]DEPURACION FINAL TRAB'!$A$1:$N$855,2,0)</f>
        <v>ELEMENTOS ELECTRICOS S.A.S.</v>
      </c>
      <c r="C566" t="str">
        <f>VLOOKUP(A566,'[1]DEPURACION FINAL TRAB'!$1:$1048576,3,0)</f>
        <v>8895979</v>
      </c>
      <c r="D566" t="s">
        <v>2414</v>
      </c>
      <c r="E566" t="s">
        <v>2862</v>
      </c>
      <c r="F566" s="17" t="s">
        <v>2205</v>
      </c>
      <c r="G566">
        <v>228437352.7400001</v>
      </c>
      <c r="H566">
        <v>219</v>
      </c>
    </row>
    <row r="567" spans="1:8" ht="15" customHeight="1" x14ac:dyDescent="0.25">
      <c r="A567" t="s">
        <v>2255</v>
      </c>
      <c r="B567" t="s">
        <v>2260</v>
      </c>
      <c r="C567">
        <v>0</v>
      </c>
      <c r="D567">
        <v>0</v>
      </c>
      <c r="E567">
        <v>0</v>
      </c>
      <c r="F567" s="17">
        <v>0</v>
      </c>
      <c r="G567">
        <v>233007089.48000002</v>
      </c>
      <c r="H567">
        <v>0</v>
      </c>
    </row>
    <row r="568" spans="1:8" ht="15" customHeight="1" x14ac:dyDescent="0.25">
      <c r="A568">
        <v>900255884</v>
      </c>
      <c r="B568" t="str">
        <f>VLOOKUP(A568,'[1]DEPURACION FINAL TRAB'!$A$1:$N$855,2,0)</f>
        <v>SCHNEIDER ELECTRIC SYSTEMS COLOMBIA LTDA</v>
      </c>
      <c r="C568">
        <v>0</v>
      </c>
      <c r="D568" t="s">
        <v>2635</v>
      </c>
      <c r="E568" t="s">
        <v>2730</v>
      </c>
      <c r="F568" s="17" t="s">
        <v>419</v>
      </c>
      <c r="G568">
        <v>234491365.19999999</v>
      </c>
      <c r="H568">
        <v>219</v>
      </c>
    </row>
    <row r="569" spans="1:8" ht="15" customHeight="1" x14ac:dyDescent="0.25">
      <c r="A569">
        <v>860002130</v>
      </c>
      <c r="B569" t="str">
        <f>VLOOKUP(A569,'[1]DEPURACION FINAL TRAB'!$A$1:$N$855,2,0)</f>
        <v>NESTLE DE COLOMBIA S.A</v>
      </c>
      <c r="C569">
        <v>0</v>
      </c>
      <c r="D569" t="s">
        <v>2358</v>
      </c>
      <c r="E569" t="s">
        <v>3002</v>
      </c>
      <c r="F569" s="17" t="s">
        <v>2151</v>
      </c>
      <c r="G569">
        <v>235566118.71999997</v>
      </c>
      <c r="H569">
        <v>219</v>
      </c>
    </row>
    <row r="570" spans="1:8" ht="15" customHeight="1" x14ac:dyDescent="0.25">
      <c r="A570">
        <v>860001963</v>
      </c>
      <c r="B570" t="str">
        <f>VLOOKUP(A570,'[1]DEPURACION FINAL TRAB'!$A$1:$N$855,2,0)</f>
        <v>PROTELA S.A</v>
      </c>
      <c r="C570">
        <v>0</v>
      </c>
      <c r="D570" t="s">
        <v>2608</v>
      </c>
      <c r="E570" t="s">
        <v>3045</v>
      </c>
      <c r="F570" s="17" t="s">
        <v>419</v>
      </c>
      <c r="G570">
        <v>235839030.40000001</v>
      </c>
      <c r="H570">
        <v>219</v>
      </c>
    </row>
    <row r="571" spans="1:8" ht="15" customHeight="1" x14ac:dyDescent="0.25">
      <c r="A571">
        <v>900325828</v>
      </c>
      <c r="B571" t="str">
        <f>VLOOKUP(A571,'[1]DEPURACION FINAL TRAB'!$A$1:$N$855,2,0)</f>
        <v>FTS TECNOLOGIA S.A.S.</v>
      </c>
      <c r="C571" t="str">
        <f>VLOOKUP(A571,'[1]DEPURACION FINAL TRAB'!$1:$1048576,3,0)</f>
        <v>316 8244648</v>
      </c>
      <c r="D571" t="s">
        <v>2454</v>
      </c>
      <c r="E571" t="s">
        <v>2730</v>
      </c>
      <c r="F571" s="17" t="s">
        <v>419</v>
      </c>
      <c r="G571">
        <v>245997056.69</v>
      </c>
      <c r="H571">
        <v>219</v>
      </c>
    </row>
    <row r="572" spans="1:8" ht="15" customHeight="1" x14ac:dyDescent="0.25">
      <c r="A572">
        <v>860006160</v>
      </c>
      <c r="B572" t="str">
        <f>VLOOKUP(A572,'[1]DEPURACION FINAL TRAB'!$A$1:$N$855,2,0)</f>
        <v xml:space="preserve">PLASTILENE SAS </v>
      </c>
      <c r="C572" t="str">
        <f>VLOOKUP(A572,'[1]DEPURACION FINAL TRAB'!$1:$1048576,3,0)</f>
        <v>7305900</v>
      </c>
      <c r="D572" t="s">
        <v>2590</v>
      </c>
      <c r="E572" t="s">
        <v>3026</v>
      </c>
      <c r="F572" s="17" t="s">
        <v>419</v>
      </c>
      <c r="G572">
        <v>259517498.5</v>
      </c>
      <c r="H572">
        <v>219</v>
      </c>
    </row>
    <row r="573" spans="1:8" ht="15" customHeight="1" x14ac:dyDescent="0.25">
      <c r="A573">
        <v>890801748</v>
      </c>
      <c r="B573" t="str">
        <f>VLOOKUP(A573,'[1]DEPURACION FINAL TRAB'!$A$1:$N$855,2,0)</f>
        <v>MABE COLOMBIA S.A.S</v>
      </c>
      <c r="C573">
        <v>0</v>
      </c>
      <c r="D573" t="s">
        <v>2541</v>
      </c>
      <c r="E573" t="s">
        <v>2980</v>
      </c>
      <c r="F573" s="17" t="s">
        <v>783</v>
      </c>
      <c r="G573">
        <v>277533762.60000008</v>
      </c>
      <c r="H573">
        <v>219</v>
      </c>
    </row>
    <row r="574" spans="1:8" ht="15" customHeight="1" x14ac:dyDescent="0.25">
      <c r="A574">
        <v>890900161</v>
      </c>
      <c r="B574" t="str">
        <f>VLOOKUP(A574,'[1]DEPURACION FINAL TRAB'!$A$1:$N$855,2,0)</f>
        <v>PRODUCTOS FAMILIA S.A.</v>
      </c>
      <c r="C574">
        <v>0</v>
      </c>
      <c r="D574" t="s">
        <v>2604</v>
      </c>
      <c r="E574" t="s">
        <v>3040</v>
      </c>
      <c r="F574" s="17" t="s">
        <v>1245</v>
      </c>
      <c r="G574">
        <v>278220180.31999999</v>
      </c>
      <c r="H574">
        <v>219</v>
      </c>
    </row>
    <row r="575" spans="1:8" ht="15" customHeight="1" x14ac:dyDescent="0.25">
      <c r="A575">
        <v>806008873</v>
      </c>
      <c r="B575" t="str">
        <f>VLOOKUP(A575,'[1]DEPURACION FINAL TRAB'!$A$1:$N$855,2,0)</f>
        <v>COTECMAR</v>
      </c>
      <c r="C575">
        <v>0</v>
      </c>
      <c r="D575" t="s">
        <v>2386</v>
      </c>
      <c r="E575" t="s">
        <v>2836</v>
      </c>
      <c r="F575" s="17" t="s">
        <v>439</v>
      </c>
      <c r="G575">
        <v>278389471.63</v>
      </c>
      <c r="H575">
        <v>219</v>
      </c>
    </row>
    <row r="576" spans="1:8" ht="15" customHeight="1" x14ac:dyDescent="0.25">
      <c r="A576">
        <v>860005224</v>
      </c>
      <c r="B576" t="str">
        <f>VLOOKUP(A576,'[1]DEPURACION FINAL TRAB'!$A$1:$N$855,2,0)</f>
        <v>BAVARIA &amp; CIA S C A</v>
      </c>
      <c r="C576" t="str">
        <f>VLOOKUP(A576,'[1]DEPURACION FINAL TRAB'!$1:$1048576,3,0)</f>
        <v>6389000</v>
      </c>
      <c r="D576" t="s">
        <v>2310</v>
      </c>
      <c r="E576" t="s">
        <v>2762</v>
      </c>
      <c r="F576" s="17" t="s">
        <v>1259</v>
      </c>
      <c r="G576">
        <v>279970891.2899999</v>
      </c>
      <c r="H576">
        <v>219</v>
      </c>
    </row>
    <row r="577" spans="1:8" ht="15" customHeight="1" x14ac:dyDescent="0.25">
      <c r="A577">
        <v>890201881</v>
      </c>
      <c r="B577" t="str">
        <f>VLOOKUP(A577,'[1]DEPURACION FINAL TRAB'!$A$1:$N$855,2,0)</f>
        <v>AVSA S.A</v>
      </c>
      <c r="C577">
        <v>0</v>
      </c>
      <c r="D577" t="s">
        <v>2304</v>
      </c>
      <c r="E577" t="s">
        <v>2756</v>
      </c>
      <c r="F577" s="17" t="s">
        <v>419</v>
      </c>
      <c r="G577">
        <v>287448010.31</v>
      </c>
      <c r="H577">
        <v>219</v>
      </c>
    </row>
    <row r="578" spans="1:8" ht="15" customHeight="1" x14ac:dyDescent="0.25">
      <c r="A578">
        <v>860002518</v>
      </c>
      <c r="B578" t="str">
        <f>VLOOKUP(A578,'[1]DEPURACION FINAL TRAB'!$A$1:$N$855,2,0)</f>
        <v>UNILEVER ANDINA COLOMBIA LTDA</v>
      </c>
      <c r="C578">
        <v>0</v>
      </c>
      <c r="D578" t="s">
        <v>2697</v>
      </c>
      <c r="E578" t="s">
        <v>3124</v>
      </c>
      <c r="F578" s="17" t="s">
        <v>419</v>
      </c>
      <c r="G578">
        <v>294838527.74000001</v>
      </c>
      <c r="H578">
        <v>219</v>
      </c>
    </row>
    <row r="579" spans="1:8" ht="15" customHeight="1" x14ac:dyDescent="0.25">
      <c r="A579">
        <v>900189181</v>
      </c>
      <c r="B579" t="str">
        <f>VLOOKUP(A579,'[1]DEPURACION FINAL TRAB'!$A$1:$N$855,2,0)</f>
        <v>PEPSICO ALIMENTOS Z.F LTDA</v>
      </c>
      <c r="C579">
        <v>0</v>
      </c>
      <c r="D579" t="s">
        <v>2586</v>
      </c>
      <c r="E579" t="s">
        <v>3022</v>
      </c>
      <c r="F579" s="17" t="s">
        <v>234</v>
      </c>
      <c r="G579">
        <v>296853662</v>
      </c>
      <c r="H579">
        <v>219</v>
      </c>
    </row>
    <row r="580" spans="1:8" ht="15" customHeight="1" x14ac:dyDescent="0.25">
      <c r="A580">
        <v>800153961</v>
      </c>
      <c r="B580" t="str">
        <f>VLOOKUP(A580,'[1]DEPURACION FINAL TRAB'!$A$1:$N$855,2,0)</f>
        <v>OMNICON S.A.S</v>
      </c>
      <c r="C580">
        <v>0</v>
      </c>
      <c r="D580" t="s">
        <v>2573</v>
      </c>
      <c r="E580" t="s">
        <v>3010</v>
      </c>
      <c r="F580" s="17" t="s">
        <v>374</v>
      </c>
      <c r="G580">
        <v>299108238.44999999</v>
      </c>
      <c r="H580">
        <v>219</v>
      </c>
    </row>
    <row r="581" spans="1:8" ht="15" customHeight="1" x14ac:dyDescent="0.25">
      <c r="A581">
        <v>830130106</v>
      </c>
      <c r="B581" t="str">
        <f>VLOOKUP(A581,'[1]DEPURACION FINAL TRAB'!$A$1:$N$855,2,0)</f>
        <v>SOENERGY INTERNATIONAL COLOMBIA S.A.S.</v>
      </c>
      <c r="C581" t="str">
        <f>VLOOKUP(A581,'[1]DEPURACION FINAL TRAB'!$1:$1048576,3,0)</f>
        <v>312 5835235</v>
      </c>
      <c r="D581" t="s">
        <v>2653</v>
      </c>
      <c r="E581" t="s">
        <v>3084</v>
      </c>
      <c r="F581" s="17" t="s">
        <v>419</v>
      </c>
      <c r="G581">
        <v>301912302</v>
      </c>
      <c r="H581">
        <v>334</v>
      </c>
    </row>
    <row r="582" spans="1:8" ht="15" customHeight="1" x14ac:dyDescent="0.25">
      <c r="A582">
        <v>800002482</v>
      </c>
      <c r="B582" t="str">
        <f>VLOOKUP(A582,'[1]DEPURACION FINAL TRAB'!$A$1:$N$855,2,0)</f>
        <v>VARIADORES S.A.S</v>
      </c>
      <c r="C582">
        <v>0</v>
      </c>
      <c r="D582" t="s">
        <v>2705</v>
      </c>
      <c r="E582" t="s">
        <v>3131</v>
      </c>
      <c r="F582" s="17" t="s">
        <v>419</v>
      </c>
      <c r="G582">
        <v>368291525.8499999</v>
      </c>
      <c r="H582">
        <v>219</v>
      </c>
    </row>
    <row r="583" spans="1:8" ht="15" customHeight="1" x14ac:dyDescent="0.25">
      <c r="A583">
        <v>900268940</v>
      </c>
      <c r="B583" t="str">
        <f>VLOOKUP(A583,'[1]DEPURACION FINAL TRAB'!$A$1:$N$855,2,0)</f>
        <v>DOLPHIN INGENIERIA S.A.S</v>
      </c>
      <c r="C583">
        <f>VLOOKUP(A583,'[1]DEPURACION FINAL TRAB'!$1:$1048576,3,0)</f>
        <v>0</v>
      </c>
      <c r="D583" t="s">
        <v>2405</v>
      </c>
      <c r="E583" t="s">
        <v>2854</v>
      </c>
      <c r="F583" s="17" t="s">
        <v>419</v>
      </c>
      <c r="G583">
        <v>379818450</v>
      </c>
      <c r="H583">
        <v>219</v>
      </c>
    </row>
    <row r="584" spans="1:8" ht="15" customHeight="1" x14ac:dyDescent="0.25">
      <c r="A584">
        <v>830006735</v>
      </c>
      <c r="B584" t="str">
        <f>VLOOKUP(A584,'[1]DEPURACION FINAL TRAB'!$A$1:$N$855,2,0)</f>
        <v>ALIMENTOS POLAR COLOMBIA S.A.S.</v>
      </c>
      <c r="C584">
        <v>0</v>
      </c>
      <c r="D584" t="s">
        <v>2280</v>
      </c>
      <c r="E584" t="s">
        <v>2735</v>
      </c>
      <c r="F584" s="17" t="s">
        <v>419</v>
      </c>
      <c r="G584">
        <v>417615768.31999999</v>
      </c>
      <c r="H584">
        <v>219</v>
      </c>
    </row>
    <row r="585" spans="1:8" ht="15" customHeight="1" x14ac:dyDescent="0.25">
      <c r="A585">
        <v>980646420</v>
      </c>
      <c r="B585" t="str">
        <f>VLOOKUP(A585,'[1]DEPURACION FINAL TRAB'!$A$1:$N$855,2,0)</f>
        <v>ELINCA ELECTRONIC CORPORATION</v>
      </c>
      <c r="C585" t="str">
        <f>VLOOKUP(A585,'[1]DEPURACION FINAL TRAB'!$1:$1048576,3,0)</f>
        <v>N/A</v>
      </c>
      <c r="D585" t="s">
        <v>2261</v>
      </c>
      <c r="E585" t="s">
        <v>2720</v>
      </c>
      <c r="F585" s="17" t="s">
        <v>1259</v>
      </c>
      <c r="G585">
        <v>434578519.36000001</v>
      </c>
      <c r="H585">
        <v>219</v>
      </c>
    </row>
    <row r="586" spans="1:8" ht="15" customHeight="1" x14ac:dyDescent="0.25">
      <c r="A586">
        <v>152760920</v>
      </c>
      <c r="B586" t="s">
        <v>2256</v>
      </c>
      <c r="C586">
        <v>0</v>
      </c>
      <c r="D586">
        <v>0</v>
      </c>
      <c r="E586">
        <v>0</v>
      </c>
      <c r="F586" s="17">
        <v>0</v>
      </c>
      <c r="G586">
        <v>528957872</v>
      </c>
      <c r="H586">
        <v>0</v>
      </c>
    </row>
    <row r="587" spans="1:8" ht="15" customHeight="1" x14ac:dyDescent="0.25">
      <c r="A587">
        <v>890900168</v>
      </c>
      <c r="B587" t="str">
        <f>VLOOKUP(A587,'[1]DEPURACION FINAL TRAB'!$A$1:$N$855,2,0)</f>
        <v>CERVECERIA UNION S.A.</v>
      </c>
      <c r="C587">
        <v>0</v>
      </c>
      <c r="D587" t="s">
        <v>2344</v>
      </c>
      <c r="E587" t="s">
        <v>2794</v>
      </c>
      <c r="F587" s="17" t="s">
        <v>348</v>
      </c>
      <c r="G587">
        <v>552195321.15999997</v>
      </c>
      <c r="H587">
        <v>219</v>
      </c>
    </row>
    <row r="588" spans="1:8" ht="15" customHeight="1" x14ac:dyDescent="0.25">
      <c r="A588">
        <v>800224082</v>
      </c>
      <c r="B588" t="str">
        <f>VLOOKUP(A588,'[1]DEPURACION FINAL TRAB'!$A$1:$N$855,2,0)</f>
        <v>COLOMBIANA DE CONTROLES S.A.S.</v>
      </c>
      <c r="C588">
        <v>0</v>
      </c>
      <c r="D588" t="s">
        <v>2352</v>
      </c>
      <c r="E588" t="s">
        <v>2802</v>
      </c>
      <c r="F588" s="17" t="s">
        <v>352</v>
      </c>
      <c r="G588">
        <v>679845974.05000007</v>
      </c>
      <c r="H588">
        <v>219</v>
      </c>
    </row>
    <row r="589" spans="1:8" ht="15" customHeight="1" x14ac:dyDescent="0.25">
      <c r="A589">
        <v>890900118</v>
      </c>
      <c r="B589" t="str">
        <f>VLOOKUP(A589,'[1]DEPURACION FINAL TRAB'!$A$1:$N$855,2,0)</f>
        <v>CRISTALERIA PELDAR S.A</v>
      </c>
      <c r="C589">
        <v>0</v>
      </c>
      <c r="D589" t="s">
        <v>2387</v>
      </c>
      <c r="E589" t="s">
        <v>2837</v>
      </c>
      <c r="F589" s="17" t="s">
        <v>1261</v>
      </c>
      <c r="G589">
        <v>739714170.93000007</v>
      </c>
      <c r="H589">
        <v>334</v>
      </c>
    </row>
    <row r="590" spans="1:8" ht="15" customHeight="1" x14ac:dyDescent="0.25">
      <c r="A590">
        <v>860400538</v>
      </c>
      <c r="B590" t="str">
        <f>VLOOKUP(A590,'[1]DEPURACION FINAL TRAB'!$A$1:$N$855,2,0)</f>
        <v>RAYCO S.A. RODRIGO ARISTIZABAL &amp; CIA. S.A</v>
      </c>
      <c r="C590" t="str">
        <f>VLOOKUP(A590,'[1]DEPURACION FINAL TRAB'!$1:$1048576,3,0)</f>
        <v>3808530</v>
      </c>
      <c r="D590" t="s">
        <v>2615</v>
      </c>
      <c r="E590" t="s">
        <v>3052</v>
      </c>
      <c r="F590" s="17" t="s">
        <v>419</v>
      </c>
      <c r="G590">
        <v>915744671.41999996</v>
      </c>
      <c r="H590">
        <v>219</v>
      </c>
    </row>
    <row r="591" spans="1:8" ht="15" customHeight="1" x14ac:dyDescent="0.25">
      <c r="A591">
        <v>900268940</v>
      </c>
      <c r="B591" t="str">
        <f>VLOOKUP(A591,'[1]DEPURACION FINAL TRAB'!$A$1:$N$855,2,0)</f>
        <v>DOLPHIN INGENIERIA S.A.S</v>
      </c>
      <c r="C591">
        <f>VLOOKUP(A591,'[1]DEPURACION FINAL TRAB'!$1:$1048576,3,0)</f>
        <v>0</v>
      </c>
      <c r="D591" t="s">
        <v>2405</v>
      </c>
      <c r="E591" t="s">
        <v>2854</v>
      </c>
      <c r="F591" s="17" t="s">
        <v>419</v>
      </c>
      <c r="G591">
        <v>984716920.40999997</v>
      </c>
      <c r="H591">
        <v>219</v>
      </c>
    </row>
    <row r="592" spans="1:8" ht="15" customHeight="1" x14ac:dyDescent="0.25">
      <c r="A592">
        <v>800116164</v>
      </c>
      <c r="B592" t="str">
        <f>VLOOKUP(A592,'[1]DEPURACION FINAL TRAB'!$A$1:$N$855,2,0)</f>
        <v>TERMINAL DE CONTENEDORES DE CARTAGENA S A</v>
      </c>
      <c r="C592">
        <v>0</v>
      </c>
      <c r="D592" t="s">
        <v>2683</v>
      </c>
      <c r="E592" t="s">
        <v>2730</v>
      </c>
      <c r="F592" s="17" t="s">
        <v>439</v>
      </c>
      <c r="G592">
        <v>1076255890.3899999</v>
      </c>
      <c r="H592">
        <v>219</v>
      </c>
    </row>
    <row r="593" spans="1:8" ht="15" customHeight="1" x14ac:dyDescent="0.25">
      <c r="A593">
        <v>890311875</v>
      </c>
      <c r="B593" t="str">
        <f>VLOOKUP(A593,'[1]DEPURACION FINAL TRAB'!$A$1:$N$855,2,0)</f>
        <v>SCHNEIDER ELECTRIC DE COLOMBIA S.A.S.</v>
      </c>
      <c r="C593">
        <v>0</v>
      </c>
      <c r="D593" t="s">
        <v>2634</v>
      </c>
      <c r="E593" t="s">
        <v>3067</v>
      </c>
      <c r="F593" s="17" t="s">
        <v>1271</v>
      </c>
      <c r="G593">
        <v>1321331821.6200001</v>
      </c>
      <c r="H593">
        <v>219</v>
      </c>
    </row>
    <row r="594" spans="1:8" ht="15" customHeight="1" x14ac:dyDescent="0.25">
      <c r="A594">
        <v>900325828</v>
      </c>
      <c r="B594" t="str">
        <f>VLOOKUP(A594,'[1]DEPURACION FINAL TRAB'!$A$1:$N$855,2,0)</f>
        <v>FTS TECNOLOGIA S.A.S.</v>
      </c>
      <c r="C594" t="str">
        <f>VLOOKUP(A594,'[1]DEPURACION FINAL TRAB'!$1:$1048576,3,0)</f>
        <v>316 8244648</v>
      </c>
      <c r="D594" t="s">
        <v>2454</v>
      </c>
      <c r="E594" t="s">
        <v>2730</v>
      </c>
      <c r="F594" s="17" t="s">
        <v>419</v>
      </c>
      <c r="G594">
        <v>1363344742.6600003</v>
      </c>
      <c r="H594">
        <v>219</v>
      </c>
    </row>
    <row r="595" spans="1:8" ht="15" customHeight="1" x14ac:dyDescent="0.25">
      <c r="A595">
        <v>901842186</v>
      </c>
      <c r="B595" t="str">
        <f>VLOOKUP(A595,'[1]DEPURACION FINAL TRAB'!$A$1:$N$855,2,0)</f>
        <v>MAQUINANDO CONTROLS S.A.S.</v>
      </c>
      <c r="C595" t="str">
        <f>VLOOKUP(A595,'[1]DEPURACION FINAL TRAB'!$1:$1048576,3,0)</f>
        <v>311 3499541</v>
      </c>
      <c r="D595" t="s">
        <v>2550</v>
      </c>
      <c r="E595" t="s">
        <v>2987</v>
      </c>
      <c r="F595" s="17" t="s">
        <v>783</v>
      </c>
      <c r="G595">
        <v>1960239150</v>
      </c>
      <c r="H595">
        <v>219</v>
      </c>
    </row>
    <row r="596" spans="1:8" ht="15" customHeight="1" x14ac:dyDescent="0.25">
      <c r="A596">
        <v>830054539</v>
      </c>
      <c r="B596" t="str">
        <f>VLOOKUP(A596,'[1]DEPURACION FINAL TRAB'!$A$1:$N$855,2,0)</f>
        <v>PATRIMONIOS AUTONOMOS FIDUCIARIA BANCOLOMBIA S.A</v>
      </c>
      <c r="C596">
        <f>VLOOKUP(A596,'[1]DEPURACION FINAL TRAB'!$1:$1048576,3,0)</f>
        <v>7456709</v>
      </c>
      <c r="D596" t="s">
        <v>2582</v>
      </c>
      <c r="E596" t="s">
        <v>2730</v>
      </c>
      <c r="F596" s="17" t="s">
        <v>419</v>
      </c>
      <c r="G596">
        <v>24394762192.999996</v>
      </c>
      <c r="H596">
        <v>334</v>
      </c>
    </row>
    <row r="597" spans="1:8" ht="15" customHeight="1" x14ac:dyDescent="0.25">
      <c r="A597">
        <v>860000656</v>
      </c>
      <c r="B597" t="str">
        <f>VLOOKUP(A597,'[1]DEPURACION FINAL TRAB'!$A$1:$N$855,2,0)</f>
        <v>HMV INGENIEROS LTDA</v>
      </c>
      <c r="C597" t="str">
        <f>VLOOKUP(A597,'[1]DEPURACION FINAL TRAB'!$1:$1048576,3,0)</f>
        <v>3706666</v>
      </c>
      <c r="D597" t="s">
        <v>2488</v>
      </c>
      <c r="E597" t="s">
        <v>2932</v>
      </c>
      <c r="F597" s="17" t="s">
        <v>419</v>
      </c>
      <c r="G597">
        <v>50227373854.139999</v>
      </c>
      <c r="H597">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9" workbookViewId="0">
      <selection activeCell="A33" sqref="A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3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Paola Sanchez Cano</cp:lastModifiedBy>
  <dcterms:created xsi:type="dcterms:W3CDTF">2026-04-09T15:30:19Z</dcterms:created>
  <dcterms:modified xsi:type="dcterms:W3CDTF">2026-07-01T05:02:05Z</dcterms:modified>
</cp:coreProperties>
</file>