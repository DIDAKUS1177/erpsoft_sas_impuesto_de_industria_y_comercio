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zma\OneDrive\Documentos\AÑO 2026\PROCERVIS\EXOGENA PAIPA 2025 PROC\"/>
    </mc:Choice>
  </mc:AlternateContent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0" yWindow="0" windowWidth="20490" windowHeight="7125"/>
  </bookViews>
  <sheets>
    <sheet name="PFE5" sheetId="1" r:id="rId1"/>
    <sheet name="Actividades" sheetId="2" r:id="rId2"/>
    <sheet name="Municipios" sheetId="3" r:id="rId3"/>
  </sheets>
  <functionGroups builtInGroupCount="18"/>
  <externalReferences>
    <externalReference r:id="rId4"/>
  </externalReferences>
  <definedNames>
    <definedName name="MiLista">#REF!</definedName>
  </definedNames>
  <calcPr calcId="162913"/>
  <extLst>
    <ext uri="GoogleSheetsCustomDataVersion2">
      <go:sheetsCustomData xmlns:go="http://customooxmlschemas.google.com/" r:id="rId7" roundtripDataChecksum="zd464GkZmhfDPnV9TSrcXUGqoZMVr/z8x/ruWicrsL0="/>
    </ext>
  </extLst>
</workbook>
</file>

<file path=xl/calcChain.xml><?xml version="1.0" encoding="utf-8"?>
<calcChain xmlns="http://schemas.openxmlformats.org/spreadsheetml/2006/main">
  <c r="D454" i="1" l="1"/>
  <c r="D453" i="1"/>
  <c r="D452" i="1"/>
  <c r="D451" i="1"/>
  <c r="D450" i="1"/>
  <c r="H449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H379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H364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H343" i="1"/>
  <c r="D343" i="1"/>
  <c r="D342" i="1"/>
  <c r="H341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H280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H157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H128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H54" i="1"/>
  <c r="D54" i="1"/>
  <c r="D53" i="1"/>
  <c r="D52" i="1"/>
  <c r="D51" i="1"/>
  <c r="D50" i="1"/>
  <c r="D49" i="1"/>
  <c r="D48" i="1"/>
  <c r="D47" i="1"/>
  <c r="D46" i="1"/>
  <c r="D45" i="1"/>
  <c r="D44" i="1"/>
  <c r="H43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H14" i="1"/>
  <c r="D14" i="1"/>
  <c r="D13" i="1"/>
  <c r="D12" i="1"/>
  <c r="D11" i="1"/>
  <c r="D10" i="1"/>
  <c r="D9" i="1"/>
  <c r="D8" i="1"/>
  <c r="D7" i="1"/>
</calcChain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<sst xmlns="http://schemas.openxmlformats.org/spreadsheetml/2006/main" count="4117" uniqueCount="3501">
  <si>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</si>
  <si>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</si>
  <si>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</si>
  <si>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</si>
  <si>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</si>
  <si>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</si>
  <si>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</si>
  <si>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</si>
  <si>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</si>
  <si>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</si>
  <si>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</si>
  <si>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</si>
  <si>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</si>
  <si>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</si>
  <si>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</si>
  <si>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</si>
  <si>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</si>
  <si>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</si>
  <si>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</si>
  <si>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</si>
  <si>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</si>
  <si>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</si>
  <si>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</si>
  <si>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</si>
  <si>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</si>
  <si>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</si>
  <si>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</si>
  <si>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</si>
  <si>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</si>
  <si>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</si>
  <si>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</si>
  <si>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</si>
  <si>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</si>
  <si>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</si>
  <si>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</si>
  <si>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</si>
  <si>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</si>
  <si>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</si>
  <si>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</si>
  <si>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</si>
  <si>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</si>
  <si>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</si>
  <si>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</si>
  <si>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</si>
  <si>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</si>
  <si>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</si>
  <si>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</si>
  <si>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</si>
  <si>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</si>
  <si>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</si>
  <si>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</si>
  <si>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</si>
  <si>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</si>
  <si>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</si>
  <si>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</si>
  <si>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</si>
  <si>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</si>
  <si>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</si>
  <si>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</si>
  <si>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</si>
  <si>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</si>
  <si>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</si>
  <si>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</si>
  <si>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</si>
  <si>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</si>
  <si>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</si>
  <si>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</si>
  <si>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</si>
  <si>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</si>
  <si>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</si>
  <si>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</si>
  <si>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</si>
  <si>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</si>
  <si>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</si>
  <si>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</si>
  <si>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</si>
  <si>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</si>
  <si>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</si>
  <si>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</si>
  <si>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</si>
  <si>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</si>
  <si>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</si>
  <si>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</si>
  <si>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</si>
  <si>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</si>
  <si>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</si>
  <si>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</si>
  <si>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</si>
  <si>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</si>
  <si>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</si>
  <si>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</si>
  <si>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</si>
  <si>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</si>
  <si>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</si>
  <si>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</si>
  <si>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</si>
  <si>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</si>
  <si>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</si>
  <si>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</si>
  <si>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</si>
  <si>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</si>
  <si>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</si>
  <si>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</si>
  <si>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</si>
  <si>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</si>
  <si>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</si>
  <si>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</si>
  <si>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</si>
  <si>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</si>
  <si>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</si>
  <si>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</si>
  <si>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</si>
  <si>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</si>
  <si>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</si>
  <si>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</si>
  <si>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</si>
  <si>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</si>
  <si>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</si>
  <si>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</si>
  <si>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</si>
  <si>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</si>
  <si>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</si>
  <si>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</si>
  <si>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</si>
  <si>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</si>
  <si>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</si>
  <si>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</si>
  <si>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</si>
  <si>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</si>
  <si>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</si>
  <si>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</si>
  <si>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</si>
  <si>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</si>
  <si>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</si>
  <si>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</si>
  <si>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</si>
  <si>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</si>
  <si>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</si>
  <si>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</si>
  <si>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</si>
  <si>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</si>
  <si>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</si>
  <si>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</si>
  <si>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</si>
  <si>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</si>
  <si>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</si>
  <si>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</si>
  <si>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</si>
  <si>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</si>
  <si>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</si>
  <si>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</si>
  <si>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</si>
  <si>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</si>
  <si>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</si>
  <si>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</si>
  <si>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</si>
  <si>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</si>
  <si>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</si>
  <si>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</si>
  <si>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</si>
  <si>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</si>
  <si>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</si>
  <si>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</si>
  <si>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</si>
  <si>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</si>
  <si>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</si>
  <si>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</si>
  <si>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</si>
  <si>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</si>
  <si>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</si>
  <si>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</si>
  <si>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</si>
  <si>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</si>
  <si>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</si>
  <si>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</si>
  <si>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</si>
  <si>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</si>
  <si>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</si>
  <si>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</si>
  <si>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</si>
  <si>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</si>
  <si>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</si>
  <si>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</si>
  <si>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</si>
  <si>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</si>
  <si>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</si>
  <si>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</si>
  <si>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</si>
  <si>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</si>
  <si>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</si>
  <si>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</si>
  <si>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</si>
  <si>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</si>
  <si>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</si>
  <si>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</si>
  <si>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</si>
  <si>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</si>
  <si>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</si>
  <si>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</si>
  <si>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</si>
  <si>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</si>
  <si>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</si>
  <si>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</si>
  <si>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</si>
  <si>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</si>
  <si>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</si>
  <si>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</si>
  <si>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</si>
  <si>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</si>
  <si>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</si>
  <si>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</si>
  <si>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</si>
  <si>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</si>
  <si>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</si>
  <si>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</si>
  <si>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</si>
  <si>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</si>
  <si>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</si>
  <si>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</si>
  <si>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</si>
  <si>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</si>
  <si>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</si>
  <si>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</si>
  <si>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</si>
  <si>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</si>
  <si>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</si>
  <si>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</si>
  <si>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</si>
  <si>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</si>
  <si>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</si>
  <si>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</si>
  <si>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</si>
  <si>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</si>
  <si>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</si>
  <si>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</si>
  <si>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</si>
  <si>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</si>
  <si>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</si>
  <si>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</si>
  <si>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</si>
  <si>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</si>
  <si>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</si>
  <si>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</si>
  <si>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</si>
  <si>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</si>
  <si>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</si>
  <si>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</si>
  <si>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</si>
  <si>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</si>
  <si>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</si>
  <si>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</si>
  <si>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</si>
  <si>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</si>
  <si>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</si>
  <si>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</si>
  <si>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</si>
  <si>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</si>
  <si>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</si>
  <si>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</si>
  <si>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</si>
  <si>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</si>
  <si>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</si>
  <si>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</si>
  <si>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</si>
  <si>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</si>
  <si>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</si>
  <si>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</si>
  <si>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</si>
  <si>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</si>
  <si>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</si>
  <si>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</si>
  <si>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</si>
  <si>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</si>
  <si>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</si>
  <si>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</si>
  <si>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</si>
  <si>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</si>
  <si>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</si>
  <si>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</si>
  <si>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</si>
  <si>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</si>
  <si>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</si>
  <si>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</si>
  <si>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</si>
  <si>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</si>
  <si>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</si>
  <si>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</si>
  <si>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</si>
  <si>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</si>
  <si>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</si>
  <si>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</si>
  <si>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</si>
  <si>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</si>
  <si>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</si>
  <si>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</si>
  <si>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</si>
  <si>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</si>
  <si>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</si>
  <si>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</si>
  <si>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</si>
  <si>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</si>
  <si>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</si>
  <si>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</si>
  <si>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</si>
  <si>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</si>
  <si>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</si>
  <si>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</si>
  <si>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</si>
  <si>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</si>
  <si>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</si>
  <si>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</si>
  <si>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</si>
  <si>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</si>
  <si>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</si>
  <si>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</si>
  <si>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</si>
  <si>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</si>
  <si>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</si>
  <si>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</si>
  <si>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</si>
  <si>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</si>
  <si>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</si>
  <si>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</si>
  <si>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</si>
  <si>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</si>
  <si>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</si>
  <si>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</si>
  <si>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</si>
  <si>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</si>
  <si>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</si>
  <si>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</si>
  <si>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</si>
  <si>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</si>
  <si>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</si>
  <si>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</si>
  <si>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</si>
  <si>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</si>
  <si>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</si>
  <si>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</si>
  <si>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</si>
  <si>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</si>
  <si>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</si>
  <si>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</si>
  <si>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</si>
  <si>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</si>
  <si>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</si>
  <si>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</si>
  <si>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</si>
  <si>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</si>
  <si>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</si>
  <si>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</si>
  <si>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</si>
  <si>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</si>
  <si>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</si>
  <si>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</si>
  <si>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</si>
  <si>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</si>
  <si>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</si>
  <si>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</si>
  <si>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</si>
  <si>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</si>
  <si>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</si>
  <si>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</si>
  <si>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</si>
  <si>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</si>
  <si>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</si>
  <si>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</si>
  <si>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</si>
  <si>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</si>
  <si>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</si>
  <si>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</si>
  <si>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</si>
  <si>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</si>
  <si>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</si>
  <si>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</si>
  <si>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</si>
  <si>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</si>
  <si>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</si>
  <si>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</si>
  <si>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</si>
  <si>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</si>
  <si>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</si>
  <si>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</si>
  <si>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</si>
  <si>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</si>
  <si>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</si>
  <si>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</si>
  <si>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</si>
  <si>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</si>
  <si>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</si>
  <si>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</si>
  <si>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</si>
  <si>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</si>
  <si>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</si>
  <si>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</si>
  <si>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</si>
  <si>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</si>
  <si>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</si>
  <si>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</si>
  <si>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</si>
  <si>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</si>
  <si>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</si>
  <si>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</si>
  <si>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</si>
  <si>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</si>
  <si>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</si>
  <si>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</si>
  <si>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</si>
  <si>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</si>
  <si>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</si>
  <si>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</si>
  <si>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</si>
  <si>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</si>
  <si>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</si>
  <si>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</si>
  <si>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</si>
  <si>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</si>
  <si>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</si>
  <si>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</si>
  <si>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</si>
  <si>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</si>
  <si>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</si>
  <si>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</si>
  <si>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</si>
  <si>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</si>
  <si>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</si>
  <si>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</si>
  <si>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</si>
  <si>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</si>
  <si>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</si>
  <si>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</si>
  <si>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</si>
  <si>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</si>
  <si>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</si>
  <si>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</si>
  <si>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</si>
  <si>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</si>
  <si>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</si>
  <si>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</si>
  <si>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</si>
  <si>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</si>
  <si>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</si>
  <si>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</si>
  <si>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</si>
  <si>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</si>
  <si>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</si>
  <si>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</si>
  <si>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</si>
  <si>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</si>
  <si>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</si>
  <si>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</si>
  <si>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</si>
  <si>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</si>
  <si>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</si>
  <si>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</si>
  <si>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</si>
  <si>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</si>
  <si>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</si>
  <si>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</si>
  <si>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</si>
  <si>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</si>
  <si>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</si>
  <si>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</si>
  <si>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</si>
  <si>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</si>
  <si>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</si>
  <si>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</si>
  <si>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</si>
  <si>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</si>
  <si>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</si>
  <si>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</si>
  <si>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</si>
  <si>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</si>
  <si>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</si>
  <si>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</si>
  <si>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</si>
  <si>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</si>
  <si>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</si>
  <si>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</si>
  <si>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</si>
  <si>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</si>
  <si>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</si>
  <si>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</si>
  <si>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</si>
  <si>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</si>
  <si>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</si>
  <si>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</si>
  <si>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</si>
  <si>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</si>
  <si>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</si>
  <si>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</si>
  <si>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</si>
  <si>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</si>
  <si>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</si>
  <si>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</si>
  <si>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</si>
  <si>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</si>
  <si>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</si>
  <si>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</si>
  <si>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</si>
  <si>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</si>
  <si>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</si>
  <si>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</si>
  <si>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</si>
  <si>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</si>
  <si>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</si>
  <si>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</si>
  <si>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</si>
  <si>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</si>
  <si>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</si>
  <si>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</si>
  <si>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</si>
  <si>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</si>
  <si>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</si>
  <si>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</si>
  <si>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</si>
  <si>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</si>
  <si>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</si>
  <si>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</si>
  <si>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</si>
  <si>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</si>
  <si>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</si>
  <si>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</si>
  <si>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</si>
  <si>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</si>
  <si>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</si>
  <si>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</si>
  <si>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</si>
  <si>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</si>
  <si>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</si>
  <si>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</si>
  <si>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</si>
  <si>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</si>
  <si>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</si>
  <si>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</si>
  <si>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</si>
  <si>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</si>
  <si>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</si>
  <si>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</si>
  <si>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</si>
  <si>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</si>
  <si>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</si>
  <si>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</si>
  <si>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</si>
  <si>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</si>
  <si>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</si>
  <si>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</si>
  <si>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</si>
  <si>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</si>
  <si>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</si>
  <si>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</si>
  <si>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</si>
  <si>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</si>
  <si>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</si>
  <si>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</si>
  <si>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</si>
  <si>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</si>
  <si>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</si>
  <si>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</si>
  <si>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</si>
  <si>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</si>
  <si>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</si>
  <si>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</si>
  <si>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</si>
  <si>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</si>
  <si>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</si>
  <si>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</si>
  <si>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</si>
  <si>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</si>
  <si>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</si>
  <si>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</si>
  <si>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</si>
  <si>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</si>
  <si>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</si>
  <si>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</si>
  <si>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</si>
  <si>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</si>
  <si>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</si>
  <si>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</si>
  <si>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</si>
  <si>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</si>
  <si>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</si>
  <si>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</si>
  <si>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</si>
  <si>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</si>
  <si>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</si>
  <si>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</si>
  <si>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</si>
  <si>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</si>
  <si>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</si>
  <si>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</si>
  <si>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</si>
  <si>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</si>
  <si>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</si>
  <si>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</si>
  <si>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</si>
  <si>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</si>
  <si>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</si>
  <si>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</si>
  <si>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</si>
  <si>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</si>
  <si>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</si>
  <si>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</si>
  <si>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</si>
  <si>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</si>
  <si>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</si>
  <si>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</si>
  <si>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</si>
  <si>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</si>
  <si>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</si>
  <si>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</si>
  <si>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</si>
  <si>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</si>
  <si>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</si>
  <si>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</si>
  <si>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</si>
  <si>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</si>
  <si>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</si>
  <si>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</si>
  <si>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</si>
  <si>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</si>
  <si>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</si>
  <si>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</si>
  <si>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</si>
  <si>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</si>
  <si>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</si>
  <si>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</si>
  <si>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</si>
  <si>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</si>
  <si>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</si>
  <si>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</si>
  <si>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</si>
  <si>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</si>
  <si>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</si>
  <si>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</si>
  <si>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</si>
  <si>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</si>
  <si>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</si>
  <si>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</si>
  <si>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</si>
  <si>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</si>
  <si>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</si>
  <si>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</si>
  <si>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</si>
  <si>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</si>
  <si>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</si>
  <si>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</si>
  <si>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</si>
  <si>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</si>
  <si>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</si>
  <si>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</si>
  <si>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</si>
  <si>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</si>
  <si>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</si>
  <si>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</si>
  <si>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</si>
  <si>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</si>
  <si>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</si>
  <si>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</si>
  <si>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</si>
  <si>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</si>
  <si>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</si>
  <si>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</si>
  <si>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</si>
  <si>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</si>
  <si>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</si>
  <si>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</si>
  <si>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</si>
  <si>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</si>
  <si>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</si>
  <si>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</si>
  <si>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</si>
  <si>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</si>
  <si>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</si>
  <si>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</si>
  <si>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</si>
  <si>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</si>
  <si>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</si>
  <si>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</si>
  <si>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</si>
  <si>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</si>
  <si>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</si>
  <si>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</si>
  <si>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</si>
  <si>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</si>
  <si>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</si>
  <si>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</si>
  <si>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</si>
  <si>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</si>
  <si>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</si>
  <si>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</si>
  <si>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</si>
  <si>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</si>
  <si>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</si>
  <si>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</si>
  <si>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</si>
  <si>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</si>
  <si>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</si>
  <si>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</si>
  <si>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</si>
  <si>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</si>
  <si>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</si>
  <si>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</si>
  <si>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</si>
  <si>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</si>
  <si>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</si>
  <si>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</si>
  <si>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</si>
  <si>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</si>
  <si>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</si>
  <si>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</si>
  <si>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</si>
  <si>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</si>
  <si>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</si>
  <si>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</si>
  <si>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</si>
  <si>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</si>
  <si>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</si>
  <si>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</si>
  <si>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</si>
  <si>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</si>
  <si>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</si>
  <si>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</si>
  <si>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</si>
  <si>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</si>
  <si>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</si>
  <si>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</si>
  <si>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</si>
  <si>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</si>
  <si>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</si>
  <si>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</si>
  <si>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</si>
  <si>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</si>
  <si>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</si>
  <si>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</si>
  <si>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</si>
  <si>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</si>
  <si>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</si>
  <si>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</si>
  <si>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</si>
  <si>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</si>
  <si>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</si>
  <si>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</si>
  <si>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</si>
  <si>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</si>
  <si>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</si>
  <si>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</si>
  <si>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</si>
  <si>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</si>
  <si>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</si>
  <si>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</si>
  <si>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</si>
  <si>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</si>
  <si>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</si>
  <si>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</si>
  <si>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</si>
  <si>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</si>
  <si>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</si>
  <si>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</si>
  <si>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</si>
  <si>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</si>
  <si>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</si>
  <si>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</si>
  <si>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</si>
  <si>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</si>
  <si>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</si>
  <si>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</si>
  <si>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</si>
  <si>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</si>
  <si>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</si>
  <si>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</si>
  <si>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</si>
  <si>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</si>
  <si>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</si>
  <si>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</si>
  <si>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</si>
  <si>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</si>
  <si>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</si>
  <si>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</si>
  <si>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</si>
  <si>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</si>
  <si>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</si>
  <si>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</si>
  <si>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</si>
  <si>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</si>
  <si>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</si>
  <si>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</si>
  <si>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</si>
  <si>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</si>
  <si>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</si>
  <si>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</si>
  <si>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</si>
  <si>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</si>
  <si>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</si>
  <si>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</si>
  <si>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</si>
  <si>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</si>
  <si>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</si>
  <si>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</si>
  <si>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</si>
  <si>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</si>
  <si>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</si>
  <si>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</si>
  <si>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</si>
  <si>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</si>
  <si>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</si>
  <si>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</si>
  <si>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</si>
  <si>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</si>
  <si>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</si>
  <si>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</si>
  <si>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</si>
  <si>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</si>
  <si>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</si>
  <si>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</si>
  <si>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</si>
  <si>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</si>
  <si>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</si>
  <si>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</si>
  <si>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</si>
  <si>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</si>
  <si>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</si>
  <si>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</si>
  <si>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</si>
  <si>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</si>
  <si>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</si>
  <si>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</si>
  <si>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</si>
  <si>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</si>
  <si>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</si>
  <si>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</si>
  <si>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</si>
  <si>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</si>
  <si>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</si>
  <si>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</si>
  <si>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</si>
  <si>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</si>
  <si>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</si>
  <si>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</si>
  <si>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</si>
  <si>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</si>
  <si>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</si>
  <si>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</si>
  <si>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</si>
  <si>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</si>
  <si>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</si>
  <si>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</si>
  <si>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</si>
  <si>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</si>
  <si>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</si>
  <si>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</si>
  <si>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</si>
  <si>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</si>
  <si>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</si>
  <si>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</si>
  <si>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</si>
  <si>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</si>
  <si>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</si>
  <si>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</si>
  <si>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</si>
  <si>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</si>
  <si>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</si>
  <si>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</si>
  <si>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</si>
  <si>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</si>
  <si>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</si>
  <si>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</si>
  <si>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</si>
  <si>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</si>
  <si>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</si>
  <si>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</si>
  <si>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</si>
  <si>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</si>
  <si>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</si>
  <si>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</si>
  <si>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</si>
  <si>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</si>
  <si>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</si>
  <si>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</si>
  <si>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</si>
  <si>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</si>
  <si>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</si>
  <si>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</si>
  <si>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</si>
  <si>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</si>
  <si>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</si>
  <si>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</si>
  <si>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</si>
  <si>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</si>
  <si>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</si>
  <si>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</si>
  <si>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</si>
  <si>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</si>
  <si>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</si>
  <si>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</si>
  <si>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</si>
  <si>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</si>
  <si>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</si>
  <si>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</si>
  <si>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</si>
  <si>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</si>
  <si>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</si>
  <si>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</si>
  <si>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</si>
  <si>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</si>
  <si>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</si>
  <si>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</si>
  <si>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</si>
  <si>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</si>
  <si>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</si>
  <si>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</si>
  <si>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</si>
  <si>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</si>
  <si>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</si>
  <si>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</si>
  <si>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</si>
  <si>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</si>
  <si>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</si>
  <si>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</si>
  <si>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</si>
  <si>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</si>
  <si>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</si>
  <si>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</si>
  <si>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</si>
  <si>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</si>
  <si>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</si>
  <si>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</si>
  <si>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</si>
  <si>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</si>
  <si>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</si>
  <si>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</si>
  <si>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</si>
  <si>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</si>
  <si>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</si>
  <si>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</si>
  <si>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</si>
  <si>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</si>
  <si>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</si>
  <si>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</si>
  <si>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</si>
  <si>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</si>
  <si>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</si>
  <si>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</si>
  <si>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</si>
  <si>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</si>
  <si>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</si>
  <si>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</si>
  <si>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</si>
  <si>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</si>
  <si>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</si>
  <si>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</si>
  <si>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</si>
  <si>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</si>
  <si>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</si>
  <si>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</si>
  <si>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</si>
  <si>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</si>
  <si>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</si>
  <si>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</si>
  <si>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</si>
  <si>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</si>
  <si>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</si>
  <si>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</si>
  <si>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</si>
  <si>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</si>
  <si>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</si>
  <si>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</si>
  <si>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</si>
  <si>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</si>
  <si>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</si>
  <si>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</si>
  <si>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</si>
  <si>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</si>
  <si>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</si>
  <si>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</si>
  <si>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</si>
  <si>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</si>
  <si>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</si>
  <si>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</si>
  <si>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</si>
  <si>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</si>
  <si>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</si>
  <si>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</si>
  <si>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</si>
  <si>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</si>
  <si>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</si>
  <si>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</si>
  <si>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</si>
  <si>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</si>
  <si>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</si>
  <si>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</si>
  <si>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</si>
  <si>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</si>
  <si>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</si>
  <si>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</si>
  <si>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</si>
  <si>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</si>
  <si>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</si>
  <si>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</si>
  <si>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</si>
  <si>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</si>
  <si>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</si>
  <si>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</si>
  <si>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</si>
  <si>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</si>
  <si>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</si>
  <si>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</si>
  <si>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</si>
  <si>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</si>
  <si>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</si>
  <si>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</si>
  <si>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</si>
  <si>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</si>
  <si>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</si>
  <si>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</si>
  <si>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</si>
  <si>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</si>
  <si>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</si>
  <si>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</si>
  <si>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</si>
  <si>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</si>
  <si>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</si>
  <si>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</si>
  <si>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</si>
  <si>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</si>
  <si>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</si>
  <si>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</si>
  <si>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</si>
  <si>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</si>
  <si>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</si>
  <si>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</si>
  <si>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</si>
  <si>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</si>
  <si>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</si>
  <si>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</si>
  <si>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</si>
  <si>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</si>
  <si>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</si>
  <si>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</si>
  <si>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</si>
  <si>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</si>
  <si>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</si>
  <si>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</si>
  <si>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</si>
  <si>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</si>
  <si>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</si>
  <si>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</si>
  <si>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</si>
  <si>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</si>
  <si>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</si>
  <si>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</si>
  <si>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</si>
  <si>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</si>
  <si>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</si>
  <si>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</si>
  <si>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</si>
  <si>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</si>
  <si>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</si>
  <si>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</si>
  <si>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</si>
  <si>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</si>
  <si>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</si>
  <si>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</si>
  <si>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</si>
  <si>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</si>
  <si>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</si>
  <si>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</si>
  <si>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</si>
  <si>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</si>
  <si>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</si>
  <si>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</si>
  <si>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</si>
  <si>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</si>
  <si>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</si>
  <si>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</si>
  <si>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</si>
  <si>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</si>
  <si>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</si>
  <si>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</si>
  <si>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</si>
  <si>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</si>
  <si>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</si>
  <si>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</si>
  <si>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</si>
  <si>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</si>
  <si>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</si>
  <si>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</si>
  <si>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</si>
  <si>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</si>
  <si>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</si>
  <si>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</si>
  <si>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</si>
  <si>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</si>
  <si>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</si>
  <si>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</si>
  <si>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</si>
  <si>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</si>
  <si>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</si>
  <si>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</si>
  <si>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</si>
  <si>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</si>
  <si>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</si>
  <si>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</si>
  <si>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</si>
  <si>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</si>
  <si>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</si>
  <si>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</si>
  <si>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</si>
  <si>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</si>
  <si>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</si>
  <si>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</si>
  <si>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</si>
  <si>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</si>
  <si>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</si>
  <si>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</si>
  <si>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</si>
  <si>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</si>
  <si>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</si>
  <si>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</si>
  <si>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</si>
  <si>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</si>
  <si>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</si>
  <si>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</si>
  <si>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</si>
  <si>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</si>
  <si>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</si>
  <si>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</si>
  <si>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</si>
  <si>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</si>
  <si>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</si>
  <si>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</si>
  <si>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</si>
  <si>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</si>
  <si>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</si>
  <si>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</si>
  <si>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</si>
  <si>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</si>
  <si>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</si>
  <si>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</si>
  <si>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</si>
  <si>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</si>
  <si>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</si>
  <si>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</si>
  <si>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</si>
  <si>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</si>
  <si>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</si>
  <si>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</si>
  <si>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</si>
  <si>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</si>
  <si>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</si>
  <si>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</si>
  <si>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</si>
  <si>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</si>
  <si>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</si>
  <si>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</si>
  <si>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</si>
  <si>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</si>
  <si>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</si>
  <si>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</si>
  <si>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</si>
  <si>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</si>
  <si>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</si>
  <si>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</si>
  <si>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</si>
  <si>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</si>
  <si>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</si>
  <si>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</si>
  <si>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</si>
  <si>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</si>
  <si>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</si>
  <si>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</si>
  <si>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</si>
  <si>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</si>
  <si>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</si>
  <si>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</si>
  <si>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</si>
  <si>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</si>
  <si>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</si>
  <si>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</si>
  <si>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</si>
  <si>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</si>
  <si>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</si>
  <si>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</si>
  <si>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</si>
  <si>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</si>
  <si>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</si>
  <si>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</si>
  <si>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</si>
  <si>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</si>
  <si>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</si>
  <si>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</si>
  <si>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</si>
  <si>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</si>
  <si>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</si>
  <si>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</si>
  <si>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</si>
  <si>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</si>
  <si>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</si>
  <si>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</si>
  <si>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</si>
  <si>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</si>
  <si>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</si>
  <si>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</si>
  <si>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</si>
  <si>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</si>
  <si>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</si>
  <si>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</si>
  <si>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</si>
  <si>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</si>
  <si>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</si>
  <si>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</si>
  <si>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</si>
  <si>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</si>
  <si>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</si>
  <si>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</si>
  <si>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</si>
  <si>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</si>
  <si>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</si>
  <si>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</si>
  <si>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</si>
  <si>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</si>
  <si>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</si>
  <si>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</si>
  <si>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</si>
  <si>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</si>
  <si>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</si>
  <si>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</si>
  <si>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</si>
  <si>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</si>
  <si>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</si>
  <si>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</si>
  <si>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</si>
  <si>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</si>
  <si>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</si>
  <si>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</si>
  <si>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</si>
  <si>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</si>
  <si>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</si>
  <si>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</si>
  <si>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</si>
  <si>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</si>
  <si>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</si>
  <si>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</si>
  <si>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</si>
  <si>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</si>
  <si>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</si>
  <si>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</si>
  <si>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</si>
  <si>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</si>
  <si>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</si>
  <si>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</si>
  <si>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</si>
  <si>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</si>
  <si>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</si>
  <si>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</si>
  <si>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</si>
  <si>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</si>
  <si>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</si>
  <si>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</si>
  <si>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</si>
  <si>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</si>
  <si>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</si>
  <si>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</si>
  <si>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</si>
  <si>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</si>
  <si>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</si>
  <si>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</si>
  <si>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</si>
  <si>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</si>
  <si>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</si>
  <si>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</si>
  <si>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</si>
  <si>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</si>
  <si>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</si>
  <si>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</si>
  <si>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</si>
  <si>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</si>
  <si>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</si>
  <si>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</si>
  <si>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</si>
  <si>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</si>
  <si>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</si>
  <si>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</si>
  <si>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</si>
  <si>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</si>
  <si>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</si>
  <si>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</si>
  <si>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</si>
  <si>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</si>
  <si>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</si>
  <si>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</si>
  <si>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</si>
  <si>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</si>
  <si>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</si>
  <si>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</si>
  <si>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</si>
  <si>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</si>
  <si>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</si>
  <si>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</si>
  <si>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</si>
  <si>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</si>
  <si>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</si>
  <si>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</si>
  <si>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</si>
  <si>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</si>
  <si>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</si>
  <si>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</si>
  <si>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</si>
  <si>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</si>
  <si>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</si>
  <si>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</si>
  <si>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</si>
  <si>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</si>
  <si>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</si>
  <si>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</si>
  <si>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</si>
  <si>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</si>
  <si>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</si>
  <si>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</si>
  <si>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</si>
  <si>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</si>
  <si>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</si>
  <si>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</si>
  <si>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</si>
  <si>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</si>
  <si>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</si>
  <si>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</si>
  <si>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</si>
  <si>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</si>
  <si>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</si>
  <si>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</si>
  <si>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</si>
  <si>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</si>
  <si>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</si>
  <si>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</si>
  <si>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</si>
  <si>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</si>
  <si>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</si>
  <si>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</si>
  <si>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</si>
  <si>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</si>
  <si>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</si>
  <si>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</si>
  <si>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</si>
  <si>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</si>
  <si>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</si>
  <si>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</si>
  <si>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</si>
  <si>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</si>
  <si>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</si>
  <si>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</si>
  <si>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</si>
  <si>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</si>
  <si>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</si>
  <si>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</si>
  <si>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</si>
  <si>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</si>
  <si>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</si>
  <si>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</si>
  <si>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</si>
  <si>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</si>
  <si>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</si>
  <si>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</si>
  <si>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</si>
  <si>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</si>
  <si>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</si>
  <si>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</si>
  <si>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</si>
  <si>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</si>
  <si>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</si>
  <si>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</si>
  <si>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</si>
  <si>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</si>
  <si>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</si>
  <si>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</si>
  <si>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</si>
  <si>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</si>
  <si>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</si>
  <si>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</si>
  <si>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</si>
  <si>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</si>
  <si>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</si>
  <si>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</si>
  <si>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</si>
  <si>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</si>
  <si>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</si>
  <si>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</si>
  <si>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</si>
  <si>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</si>
  <si>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</si>
  <si>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</si>
  <si>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</si>
  <si>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</si>
  <si>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</si>
  <si>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</si>
  <si>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</si>
  <si>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</si>
  <si>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</si>
  <si>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</si>
  <si>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</si>
  <si>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</si>
  <si>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</si>
  <si>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</si>
  <si>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</si>
  <si>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</si>
  <si>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</si>
  <si>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</si>
  <si>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</si>
  <si>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</si>
  <si>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</si>
  <si>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</si>
  <si>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</si>
  <si>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</si>
  <si>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</si>
  <si>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</si>
  <si>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</si>
  <si>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</si>
  <si>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</si>
  <si>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</si>
  <si>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</si>
  <si>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</si>
  <si>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</si>
  <si>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</si>
  <si>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</si>
  <si>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</si>
  <si>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</si>
  <si>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</si>
  <si>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</si>
  <si>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</si>
  <si>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</si>
  <si>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</si>
  <si>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</si>
  <si>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</si>
  <si>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</si>
  <si>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</si>
  <si>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</si>
  <si>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</si>
  <si>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</si>
  <si>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</si>
  <si>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</si>
  <si>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</si>
  <si>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</si>
  <si>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</si>
  <si>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</si>
  <si>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</si>
  <si>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</si>
  <si>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</si>
  <si>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</si>
  <si>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</si>
  <si>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</si>
  <si>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</si>
  <si>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</si>
  <si>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</si>
  <si>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</si>
  <si>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</si>
  <si>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</si>
  <si>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</si>
  <si>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</si>
  <si>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</si>
  <si>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</si>
  <si>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</si>
  <si>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</si>
  <si>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</si>
  <si>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</si>
  <si>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</si>
  <si>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</si>
  <si>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</si>
  <si>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</si>
  <si>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</si>
  <si>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</si>
  <si>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</si>
  <si>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</si>
  <si>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</si>
  <si>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</si>
  <si>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</si>
  <si>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</si>
  <si>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</si>
  <si>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</si>
  <si>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</si>
  <si>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</si>
  <si>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</si>
  <si>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</si>
  <si>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</si>
  <si>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</si>
  <si>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</si>
  <si>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</si>
  <si>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</si>
  <si>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</si>
  <si>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</si>
  <si>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</si>
  <si>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</si>
  <si>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</si>
  <si>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</si>
  <si>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</si>
  <si>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</si>
  <si>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</si>
  <si>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</si>
  <si>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</si>
  <si>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</si>
  <si>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</si>
  <si>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</si>
  <si>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</si>
  <si>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</si>
  <si>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</si>
  <si>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</si>
  <si>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</si>
  <si>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</si>
  <si>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</si>
  <si>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</si>
  <si>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</si>
  <si>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</si>
  <si>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</si>
  <si>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</si>
  <si>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</si>
  <si>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</si>
  <si>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</si>
  <si>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</si>
  <si>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</si>
  <si>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</si>
  <si>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</si>
  <si>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</si>
  <si>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</si>
  <si>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</si>
  <si>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</si>
  <si>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</si>
  <si>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</si>
  <si>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</si>
  <si>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</si>
  <si>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</si>
  <si>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</si>
  <si>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</si>
  <si>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</si>
  <si>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</si>
  <si>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</si>
  <si>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</si>
  <si>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</si>
  <si>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</si>
  <si>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</si>
  <si>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</si>
  <si>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</si>
  <si>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</si>
  <si>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</si>
  <si>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</si>
  <si>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</si>
  <si>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</si>
  <si>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</si>
  <si>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</si>
  <si>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</si>
  <si>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</si>
  <si>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</si>
  <si>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</si>
  <si>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</si>
  <si>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</si>
  <si>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</si>
  <si>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</si>
  <si>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</si>
  <si>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</si>
  <si>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</si>
  <si>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</si>
  <si>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</si>
  <si>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</si>
  <si>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</si>
  <si>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</si>
  <si>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</si>
  <si>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</si>
  <si>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</si>
  <si>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</si>
  <si>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</si>
  <si>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</si>
  <si>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</si>
  <si>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</si>
  <si>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</si>
  <si>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</si>
  <si>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</si>
  <si>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</si>
  <si>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</si>
  <si>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</si>
  <si>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</si>
  <si>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</si>
  <si>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</si>
  <si>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</si>
  <si>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</si>
  <si>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</si>
  <si>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</si>
  <si>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</si>
  <si>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</si>
  <si>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</si>
  <si>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</si>
  <si>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</si>
  <si>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</si>
  <si>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</si>
  <si>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</si>
  <si>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</si>
  <si>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</si>
  <si>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</si>
  <si>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</si>
  <si>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</si>
  <si>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</si>
  <si>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</si>
  <si>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</si>
  <si>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</si>
  <si>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</si>
  <si>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</si>
  <si>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</si>
  <si>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</si>
  <si>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</si>
  <si>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</si>
  <si>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</si>
  <si>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</si>
  <si>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</si>
  <si>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</si>
  <si>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</si>
  <si>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</si>
  <si>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</si>
  <si>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</si>
  <si>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</si>
  <si>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</si>
  <si>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</si>
  <si>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</si>
  <si>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</si>
  <si>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</si>
  <si>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</si>
  <si>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</si>
  <si>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</si>
  <si>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</si>
  <si>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</si>
  <si>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</si>
  <si>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</si>
  <si>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</si>
  <si>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</si>
  <si>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</si>
  <si>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</si>
  <si>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</si>
  <si>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</si>
  <si>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</si>
  <si>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</si>
  <si>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</si>
  <si>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</si>
  <si>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</si>
  <si>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</si>
  <si>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</si>
  <si>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</si>
  <si>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</si>
  <si>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</si>
  <si>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</si>
  <si>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</si>
  <si>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</si>
  <si>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</si>
  <si>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</si>
  <si>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</si>
  <si>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</si>
  <si>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</si>
  <si>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</si>
  <si>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</si>
  <si>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</si>
  <si>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</si>
  <si>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</si>
  <si>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</si>
  <si>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</si>
  <si>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</si>
  <si>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</si>
  <si>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</si>
  <si>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</si>
  <si>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</si>
  <si>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</si>
  <si>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</si>
  <si>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</si>
  <si>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</si>
  <si>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</si>
  <si>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</si>
  <si>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</si>
  <si>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</si>
  <si>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</si>
  <si>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</si>
  <si>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</si>
  <si>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</si>
  <si>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</si>
  <si>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</si>
  <si>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</si>
  <si>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</si>
  <si>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</si>
  <si>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</si>
  <si>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</si>
  <si>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</si>
  <si>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</si>
  <si>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</si>
  <si>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</si>
  <si>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</si>
  <si>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</si>
  <si>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</si>
  <si>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</si>
  <si>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</si>
  <si>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</si>
  <si>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</si>
  <si>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</si>
  <si>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</si>
  <si>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</si>
  <si>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</si>
  <si>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</si>
  <si>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</si>
  <si>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</si>
  <si>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</si>
  <si>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</si>
  <si>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</si>
  <si>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</si>
  <si>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</si>
  <si>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</si>
  <si>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</si>
  <si>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</si>
  <si>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</si>
  <si>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</si>
  <si>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</si>
  <si>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</si>
  <si>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</si>
  <si>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</si>
  <si>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</si>
  <si>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</si>
  <si>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</si>
  <si>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</si>
  <si>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</si>
  <si>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</si>
  <si>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</si>
  <si>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</si>
  <si>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</si>
  <si>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</si>
  <si>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</si>
  <si>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</si>
  <si>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</si>
  <si>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</si>
  <si>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</si>
  <si>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</si>
  <si>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</si>
  <si>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</si>
  <si>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</si>
  <si>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</si>
  <si>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</si>
  <si>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</si>
  <si>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</si>
  <si>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</si>
  <si>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</si>
  <si>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</si>
  <si>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</si>
  <si>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</si>
  <si>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</si>
  <si>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</si>
  <si>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</si>
  <si>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</si>
  <si>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</si>
  <si>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</si>
  <si>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</si>
  <si>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</si>
  <si>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</si>
  <si>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</si>
  <si>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</si>
  <si>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</si>
  <si>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</si>
  <si>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</si>
  <si>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</si>
  <si>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</si>
  <si>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</si>
  <si>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</si>
  <si>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</si>
  <si>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</si>
  <si>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</si>
  <si>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</si>
  <si>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</si>
  <si>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</si>
  <si>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</si>
  <si>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</si>
  <si>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</si>
  <si>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</si>
  <si>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</si>
  <si>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</si>
  <si>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</si>
  <si>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</si>
  <si>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</si>
  <si>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</si>
  <si>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</si>
  <si>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</si>
  <si>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</si>
  <si>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</si>
  <si>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</si>
  <si>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</si>
  <si>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</si>
  <si>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</si>
  <si>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</si>
  <si>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</si>
  <si>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</si>
  <si>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</si>
  <si>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</si>
  <si>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</si>
  <si>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</si>
  <si>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</si>
  <si>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</si>
  <si>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</si>
  <si>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</si>
  <si>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</si>
  <si>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</si>
  <si>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</si>
  <si>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</si>
  <si>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</si>
  <si>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</si>
  <si>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</si>
  <si>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</si>
  <si>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</si>
  <si>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</si>
  <si>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</si>
  <si>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</si>
  <si>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</si>
  <si>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</si>
  <si>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</si>
  <si>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</si>
  <si>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</si>
  <si>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</si>
  <si>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</si>
  <si>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</si>
  <si>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</si>
  <si>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</si>
  <si>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</si>
  <si>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</si>
  <si>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</si>
  <si>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</si>
  <si>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</si>
  <si>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</si>
  <si>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</si>
  <si>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</si>
  <si>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</si>
  <si>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</si>
  <si>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</si>
  <si>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</si>
  <si>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</si>
  <si>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</si>
  <si>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</si>
  <si>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</si>
  <si>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</si>
  <si>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</si>
  <si>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</si>
  <si>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</si>
  <si>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</si>
  <si>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</si>
  <si>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</si>
  <si>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</si>
  <si>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</si>
  <si>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</si>
  <si>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</si>
  <si>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</si>
  <si>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</si>
  <si>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</si>
  <si>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</si>
  <si>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</si>
  <si>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</si>
  <si>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</si>
  <si>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</si>
  <si>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</si>
  <si>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</si>
  <si>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</si>
  <si>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</si>
  <si>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</si>
  <si>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</si>
  <si>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</si>
  <si>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</si>
  <si>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</si>
  <si>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</si>
  <si>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</si>
  <si>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</si>
  <si>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</si>
  <si>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</si>
  <si>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</si>
  <si>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</si>
  <si>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</si>
  <si>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</si>
  <si>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</si>
  <si>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</si>
  <si>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</si>
  <si>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</si>
  <si>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</si>
  <si>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</si>
  <si>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</si>
  <si>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</si>
  <si>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</si>
  <si>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</si>
  <si>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</si>
  <si>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</si>
  <si>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</si>
  <si>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</si>
  <si>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</si>
  <si>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</si>
  <si>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</si>
  <si>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</si>
  <si>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</si>
  <si>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</si>
  <si>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</si>
  <si>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</si>
  <si>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</si>
  <si>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</si>
  <si>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</si>
  <si>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</si>
  <si>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</si>
  <si>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</si>
  <si>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</si>
  <si>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</si>
  <si>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</si>
  <si>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</si>
  <si>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</si>
  <si>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</si>
  <si>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</si>
  <si>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</si>
  <si>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</si>
  <si>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</si>
  <si>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</si>
  <si>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</si>
  <si>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</si>
  <si>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</si>
  <si>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</si>
  <si>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</si>
  <si>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</si>
  <si>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</si>
  <si>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</si>
  <si>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</si>
  <si>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</si>
  <si>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</si>
  <si>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</si>
  <si>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</si>
  <si>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</si>
  <si>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</si>
  <si>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</si>
  <si>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</si>
  <si>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</si>
  <si>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</si>
  <si>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</si>
  <si>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</si>
  <si>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</si>
  <si>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</si>
  <si>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</si>
  <si>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</si>
  <si>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</si>
  <si>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</si>
  <si>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</si>
  <si>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</si>
  <si>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</si>
  <si>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</si>
  <si>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</si>
  <si>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</si>
  <si>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</si>
  <si>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</si>
  <si>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</si>
  <si>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</si>
  <si>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</si>
  <si>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</si>
  <si>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</si>
  <si>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</si>
  <si>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</si>
  <si>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</si>
  <si>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</si>
  <si>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</si>
  <si>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</si>
  <si>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</si>
  <si>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</si>
  <si>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</si>
  <si>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</si>
  <si>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</si>
  <si>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</si>
  <si>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</si>
  <si>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</si>
  <si>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</si>
  <si>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</si>
  <si>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</si>
  <si>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</si>
  <si>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</si>
  <si>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</si>
  <si>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</si>
  <si>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</si>
  <si>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</si>
  <si>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</si>
  <si>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</si>
  <si>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</si>
  <si>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</si>
  <si>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</si>
  <si>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</si>
  <si>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</si>
  <si>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</si>
  <si>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</si>
  <si>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</si>
  <si>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</si>
  <si>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</si>
  <si>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</si>
  <si>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</si>
  <si>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</si>
  <si>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</si>
  <si>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</si>
  <si>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</si>
  <si>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</si>
  <si>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</si>
  <si>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</si>
  <si>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</si>
  <si>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</si>
  <si>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</si>
  <si>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</si>
  <si>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</si>
  <si>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</si>
  <si>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</si>
  <si>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</si>
  <si>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</si>
  <si>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</si>
  <si>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</si>
  <si>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</si>
  <si>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</si>
  <si>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</si>
  <si>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</si>
  <si>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</si>
  <si>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</si>
  <si>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</si>
  <si>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</si>
  <si>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</si>
  <si>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</si>
  <si>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</si>
  <si>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</si>
  <si>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</si>
  <si>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</si>
  <si>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</si>
  <si>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</si>
  <si>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</si>
  <si>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</si>
  <si>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</si>
  <si>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</si>
  <si>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</si>
  <si>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</si>
  <si>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</si>
  <si>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</si>
  <si>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</si>
  <si>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</si>
  <si>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</si>
  <si>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</si>
  <si>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</si>
  <si>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</si>
  <si>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</si>
  <si>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</si>
  <si>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</si>
  <si>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</si>
  <si>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</si>
  <si>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</si>
  <si>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</si>
  <si>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</si>
  <si>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</si>
  <si>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</si>
  <si>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</si>
  <si>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</si>
  <si>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</si>
  <si>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</si>
  <si>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</si>
  <si>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</si>
  <si>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</si>
  <si>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</si>
  <si>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</si>
  <si>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</si>
  <si>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</si>
  <si>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</si>
  <si>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</si>
  <si>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</si>
  <si>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</si>
  <si>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</si>
  <si>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</si>
  <si>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</si>
  <si>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</si>
  <si>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</si>
  <si>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</si>
  <si>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</si>
  <si>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</si>
  <si>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</si>
  <si>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</si>
  <si>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</si>
  <si>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</si>
  <si>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</si>
  <si>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</si>
  <si>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</si>
  <si>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</si>
  <si>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</si>
  <si>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</si>
  <si>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</si>
  <si>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</si>
  <si>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</si>
  <si>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</si>
  <si>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</si>
  <si>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</si>
  <si>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</si>
  <si>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</si>
  <si>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</si>
  <si>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</si>
  <si>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</si>
  <si>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</si>
  <si>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</si>
  <si>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</si>
  <si>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</si>
  <si>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</si>
  <si>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</si>
  <si>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</si>
  <si>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</si>
  <si>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</si>
  <si>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</si>
  <si>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</si>
  <si>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</si>
  <si>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</si>
  <si>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</si>
  <si>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</si>
  <si>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</si>
  <si>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</si>
  <si>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</si>
  <si>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</si>
  <si>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</si>
  <si>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</si>
  <si>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</si>
  <si>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</si>
  <si>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</si>
  <si>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</si>
  <si>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</si>
  <si>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</si>
  <si>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</si>
  <si>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</si>
  <si>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</si>
  <si>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</si>
  <si>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</si>
  <si>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</si>
  <si>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</si>
  <si>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</si>
  <si>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</si>
  <si>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</si>
  <si>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</si>
  <si>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</si>
  <si>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</si>
  <si>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</si>
  <si>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</si>
  <si>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</si>
  <si>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</si>
  <si>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</si>
  <si>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</si>
  <si>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</si>
  <si>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</si>
  <si>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</si>
  <si>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</si>
  <si>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</si>
  <si>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</si>
  <si>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</si>
  <si>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</si>
  <si>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</si>
  <si>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</si>
  <si>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</si>
  <si>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</si>
  <si>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</si>
  <si>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</si>
  <si>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</si>
  <si>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</si>
  <si>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</si>
  <si>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</si>
  <si>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</si>
  <si>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</si>
  <si>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</si>
  <si>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</si>
  <si>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</si>
  <si>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</si>
  <si>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</si>
  <si>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</si>
  <si>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</si>
  <si>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</si>
  <si>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</si>
  <si>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</si>
  <si>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</si>
  <si>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</si>
  <si>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</si>
  <si>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</si>
  <si>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</si>
  <si>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</si>
  <si>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</si>
  <si>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</si>
  <si>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</si>
  <si>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</si>
  <si>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</si>
  <si>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</si>
  <si>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</si>
  <si>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</si>
  <si>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</si>
  <si>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</si>
  <si>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</si>
  <si>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</si>
  <si>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</si>
  <si>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</si>
  <si>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</si>
  <si>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</si>
  <si>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</si>
  <si>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</si>
  <si>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</si>
  <si>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</si>
  <si>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</si>
  <si>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</si>
  <si>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</si>
  <si>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</si>
  <si>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</si>
  <si>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</si>
  <si>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</si>
  <si>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</si>
  <si>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</si>
  <si>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</si>
  <si>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</si>
  <si>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</si>
  <si>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</si>
  <si>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</si>
  <si>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</si>
  <si>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</si>
  <si>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</si>
  <si>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</si>
  <si>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</si>
  <si>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</si>
  <si>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</si>
  <si>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</si>
  <si>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</si>
  <si>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</si>
  <si>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</si>
  <si>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</si>
  <si>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</si>
  <si>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</si>
  <si>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</si>
  <si>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</si>
  <si>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</si>
  <si>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</si>
  <si>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</si>
  <si>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</si>
  <si>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</si>
  <si>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</si>
  <si>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</si>
  <si>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</si>
  <si>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</si>
  <si>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</si>
  <si>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</si>
  <si>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</si>
  <si>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</si>
  <si>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</si>
  <si>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</si>
  <si>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</si>
  <si>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</si>
  <si>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</si>
  <si>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</si>
  <si>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</si>
  <si>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</si>
  <si>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</si>
  <si>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</si>
  <si>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</si>
  <si>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</si>
  <si>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</si>
  <si>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</si>
  <si>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</si>
  <si>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luzmavella@hotmail.com</t>
  </si>
  <si>
    <t>facturacionelectronica@interrapidisimo.com</t>
  </si>
  <si>
    <t>-</t>
  </si>
  <si>
    <t>COMUNICACION CELULAR S A COMCEL S A</t>
  </si>
  <si>
    <t>NotificacionesClaroImpuestos@claro.com.co</t>
  </si>
  <si>
    <t>SODIMAC COLOMBIA S A</t>
  </si>
  <si>
    <t>NOTIFICACIONESJUDICIALES@HOMECENTER.CO</t>
  </si>
  <si>
    <t>PRESIDENCIA@INTERRAPIDISIMO.COM</t>
  </si>
  <si>
    <t>areafiscalamfidu.co@bbva.com</t>
  </si>
  <si>
    <t>SEGUROS DEL ESTADO S.A.</t>
  </si>
  <si>
    <t>gabriela.zarante@segurosdelestado.com</t>
  </si>
  <si>
    <t>informaciones.dian@allianz.co</t>
  </si>
  <si>
    <t>CAMARA DE COMERCIO DE DUITAMA</t>
  </si>
  <si>
    <t>FACTURAELECTRONICA@CCDUITAMA.ORG.CO</t>
  </si>
  <si>
    <t>notificaciones.d1@d1.com.co</t>
  </si>
  <si>
    <t>contactenos@worldoffice.com.co</t>
  </si>
  <si>
    <t>wodiegogonzalez@gmail.com</t>
  </si>
  <si>
    <t>E.S.T. PROCESOS Y SERVICIOS INTEGRALES SAS</t>
  </si>
  <si>
    <t>CHAPARRO MONTAÑA JHON HEIMER</t>
  </si>
  <si>
    <t>barreraflorelia139@gmail.com</t>
  </si>
  <si>
    <t>CALLE 5 NO 1-15</t>
  </si>
  <si>
    <t>MALAGON PINZON VICTOR MANUEL</t>
  </si>
  <si>
    <t>terpelsogamoso@gmail.com</t>
  </si>
  <si>
    <t>AVENIDA EL SOL NO 7A 18</t>
  </si>
  <si>
    <t>JOSE AGUDELO</t>
  </si>
  <si>
    <t>CARRERA 14 NO 9A-39 SOGAMOSO</t>
  </si>
  <si>
    <t>FONSECA RODRIGUEZ HENRY</t>
  </si>
  <si>
    <t>fonsecahenry2015@gmail.com</t>
  </si>
  <si>
    <t>TR 8 NO 3-36 CORRALES</t>
  </si>
  <si>
    <t>BONILLA AVELLA CARLOS ARTURO</t>
  </si>
  <si>
    <t>luiscarbonmore@hotmail.com</t>
  </si>
  <si>
    <t>CENTRO DE SALUD IZA</t>
  </si>
  <si>
    <t>COCUNUBO CORREA FABIO HERNANDO</t>
  </si>
  <si>
    <t>fabiococunubo2012@gmail.com</t>
  </si>
  <si>
    <t>CALLE 2 NO 2-95</t>
  </si>
  <si>
    <t>CHAPARRO FUQUEN DAIRO DE JESUS</t>
  </si>
  <si>
    <t>dairodejesuschaparrofuquen@gmail.com</t>
  </si>
  <si>
    <t>CARRERA 3 NO 4-124</t>
  </si>
  <si>
    <t>ASCENCIO HIGUERA JORGE EVELIO</t>
  </si>
  <si>
    <t>jorgeevelioascenciohiguera@gmail.com</t>
  </si>
  <si>
    <t>CENTRO DE SALUD DE LABRANZAGRANDE</t>
  </si>
  <si>
    <t>URREGO URREGO HENRY ARMANDO</t>
  </si>
  <si>
    <t>cleam271@hotmail.com</t>
  </si>
  <si>
    <t>CALLE 5 NO 5 73</t>
  </si>
  <si>
    <t>CAMACHO APARICIO EDWIN SILVINO</t>
  </si>
  <si>
    <t>edwinkamacho399@gmail.com</t>
  </si>
  <si>
    <t>EJOLET TUNJA</t>
  </si>
  <si>
    <t>FONSECA BAUTISTA ALBARO</t>
  </si>
  <si>
    <t>fonceca148albaro20@gmail.com</t>
  </si>
  <si>
    <t>VEREDA BOCA DE MONTE PAYA</t>
  </si>
  <si>
    <t>CARDENAS CHAPARRO JAIME EDILBERTO</t>
  </si>
  <si>
    <t>jaimcardenas18@gmail.com</t>
  </si>
  <si>
    <t>VDA. QUEBRADAS</t>
  </si>
  <si>
    <t>OMAR ALBERTO ALARCON AVILA</t>
  </si>
  <si>
    <t>omar03a@gmail.com</t>
  </si>
  <si>
    <t>CALLE 7 NO 8-60 AQUITANIA</t>
  </si>
  <si>
    <t>PEREZ RODRIGUEZ ELKIN ERNESTO</t>
  </si>
  <si>
    <t>elkinperez1722@gmail.com</t>
  </si>
  <si>
    <t>MEDINA LOPEZ RODRIGO</t>
  </si>
  <si>
    <t>rodrigomedinalopez@hotmail.com</t>
  </si>
  <si>
    <t>CALLE 3 NO 2-51</t>
  </si>
  <si>
    <t>VERGARA QUEMBA PABLO GERARDO</t>
  </si>
  <si>
    <t>gerar-7410@hotmail.com</t>
  </si>
  <si>
    <t>CALLE 4 NO 3-02</t>
  </si>
  <si>
    <t>DURAN ESTUPIÑAN MACEDONIO</t>
  </si>
  <si>
    <t>socota1963@gmail.com</t>
  </si>
  <si>
    <t>CENTRO ESE</t>
  </si>
  <si>
    <t>CASTELLANOS CASTILLO GUSTAVO</t>
  </si>
  <si>
    <t>gustavocastellanos045@gmail.com</t>
  </si>
  <si>
    <t>CALLE 1 NO 5-10</t>
  </si>
  <si>
    <t>REYES RINCON ENRIQUE DE JESUS</t>
  </si>
  <si>
    <t>enriquereyes151960@gmail.com</t>
  </si>
  <si>
    <t>CENTRO DUITAMA</t>
  </si>
  <si>
    <t>BARRERA MEDINA LUIS ALBEIRO</t>
  </si>
  <si>
    <t>luisalbert2929@gmail.com</t>
  </si>
  <si>
    <t>CARRERA 4 NO 3-40</t>
  </si>
  <si>
    <t>SANCHEZ ROJAS CESAR AUGUSTO</t>
  </si>
  <si>
    <t>ceausa20@yahoo.es</t>
  </si>
  <si>
    <t>CARRERA 13 NO 22-49 TUNJA</t>
  </si>
  <si>
    <t>URIEL ANGEL SUAREZ FONSECA</t>
  </si>
  <si>
    <t>uriel1451@hotmail.com</t>
  </si>
  <si>
    <t>RESTAURANTE PUEBLO VIEJO</t>
  </si>
  <si>
    <t>MARTINEZ RODRIGUEZ GERMAN</t>
  </si>
  <si>
    <t>drgemaro@gmail.com</t>
  </si>
  <si>
    <t>CARRERA 8 NO 2-86 SOGAMOSO</t>
  </si>
  <si>
    <t>MUNEVAR SUPELANO DANIEL GERARDO</t>
  </si>
  <si>
    <t>dangermu83@hotmail.com</t>
  </si>
  <si>
    <t>CALLE 15 NO 11-125</t>
  </si>
  <si>
    <t>PEDRO EDGAR SIERRA VILLAMIL</t>
  </si>
  <si>
    <t>gerencia@lafogatasutamarchan.com</t>
  </si>
  <si>
    <t>CRA 4 N 3-39</t>
  </si>
  <si>
    <t>TIUSABA WILLIAM ERNESTO</t>
  </si>
  <si>
    <t>wtiusab@yahoo.es</t>
  </si>
  <si>
    <t>LOCAL 097 UNICENTRO</t>
  </si>
  <si>
    <t>VARGAS CRUZ ADOLFO</t>
  </si>
  <si>
    <t>adolfvargas@gmail.com</t>
  </si>
  <si>
    <t>ESE DE TASCO</t>
  </si>
  <si>
    <t>MARCO FIDEL ARCHILA GUIO</t>
  </si>
  <si>
    <t>electrificador51@gmail.com</t>
  </si>
  <si>
    <t>CARRERA 12 NO 14-11</t>
  </si>
  <si>
    <t>CARLOS JULIO SANCHEZ BERNAL</t>
  </si>
  <si>
    <t>carlosjulio_22@hotmail.com</t>
  </si>
  <si>
    <t>CARRERA 9 NO 7-30 AQUITANI</t>
  </si>
  <si>
    <t>SANABRIA CACHOPE JORGE ORLANDO</t>
  </si>
  <si>
    <t>jorgesan964@gmail.com</t>
  </si>
  <si>
    <t>CALLE 23 NO 26-27</t>
  </si>
  <si>
    <t>LUIS FERNANDO BARRERA ROJAS</t>
  </si>
  <si>
    <t>CARRERA 4 NO 34-22</t>
  </si>
  <si>
    <t>ANGEL WILIS CASTRO CORTES</t>
  </si>
  <si>
    <t>ANGELWILLIS@HOTMAIL.COM</t>
  </si>
  <si>
    <t>ESE SAN PABLO DE BORBUR</t>
  </si>
  <si>
    <t>JULIO IGNACIO CABRA PASTRAN</t>
  </si>
  <si>
    <t>serturesdecolombia@hotmail.com</t>
  </si>
  <si>
    <t>CENTRO SAN PABLO DE BORBUR</t>
  </si>
  <si>
    <t>CORTES ROCHA RODRIGO</t>
  </si>
  <si>
    <t>yulics09@gmail.com</t>
  </si>
  <si>
    <t>CENTRO LABRANZAGRANDE</t>
  </si>
  <si>
    <t>DURAN RODRIGUEZ DARIO ALBERTO</t>
  </si>
  <si>
    <t>dario_duran62@hotmail.com</t>
  </si>
  <si>
    <t>ESE D ELABRANZAGRANDE</t>
  </si>
  <si>
    <t>PEREZ PATIÑO WILLAR UBILDE</t>
  </si>
  <si>
    <t>willarperez291@gmail.com</t>
  </si>
  <si>
    <t>MELENDEZ GRANADOS HUGO EULICES</t>
  </si>
  <si>
    <t>hugomelendezgranados@hotmail.com</t>
  </si>
  <si>
    <t>CALLE 17 NO 11A 56</t>
  </si>
  <si>
    <t>LUIS EDUARDO CARDOZO CARDENAS</t>
  </si>
  <si>
    <t>factmasivaigsco@igroupsolution.com</t>
  </si>
  <si>
    <t>ESE DE AQUITANIA</t>
  </si>
  <si>
    <t>RODRIGUEZ GALAN ALEXANDER</t>
  </si>
  <si>
    <t>alrodgal@hotmail.com</t>
  </si>
  <si>
    <t>SOGAMOSOSA CENTRO</t>
  </si>
  <si>
    <t>SUAREZ CRISTANCHO CARLOS ALBERTO</t>
  </si>
  <si>
    <t>carlossuareztv2024@gmail.com</t>
  </si>
  <si>
    <t>SALUD SOGAMOSO</t>
  </si>
  <si>
    <t>WILSON RIVEROS MONTAÑA</t>
  </si>
  <si>
    <t>wilsonriverosm.medocupacional@gmail.com</t>
  </si>
  <si>
    <t>CRA 23 NO 10-29</t>
  </si>
  <si>
    <t>DAVID LEONARDO BALAGUERA CEPEDA</t>
  </si>
  <si>
    <t>leonardobalaguera123@gmail.com</t>
  </si>
  <si>
    <t>CARRERA 7 NO 4-98</t>
  </si>
  <si>
    <t>LEMUS CERON JOSE MAURICIO</t>
  </si>
  <si>
    <t>botasog.fabrica@hotmail.com</t>
  </si>
  <si>
    <t>CALLE 11 NO 17-01</t>
  </si>
  <si>
    <t>FREDY HERNANDO PEREZ LEMUS</t>
  </si>
  <si>
    <t>fredyperez1978@gmail.com</t>
  </si>
  <si>
    <t>VEREDA PEREZ 
VEREDA PEREZ</t>
  </si>
  <si>
    <t>HERNANDEZ CIFUENTES NOLBERTO</t>
  </si>
  <si>
    <t>cifuentesnolberto75@gmail.com</t>
  </si>
  <si>
    <t>CENTRO DE SALUD RAQUIRA</t>
  </si>
  <si>
    <t>HERREÑO BALANTA ELIBARDO</t>
  </si>
  <si>
    <t>elibardo16185@gmail.com</t>
  </si>
  <si>
    <t>ESE SALUD AQUITANIA</t>
  </si>
  <si>
    <t>ALDANA CAMPO JAIRO ALEJANDRO</t>
  </si>
  <si>
    <t>aldanajairo817@gmail.com</t>
  </si>
  <si>
    <t>CARRERA 7 NO 4-123</t>
  </si>
  <si>
    <t>CASTILLO RAMIREZ LUBERNEY</t>
  </si>
  <si>
    <t>lucas.888.bor@hotmail.com</t>
  </si>
  <si>
    <t>CENTRO DE SALUD SAN PABLO D EBORBUR</t>
  </si>
  <si>
    <t>DIAZ ALVARADO JAIRO</t>
  </si>
  <si>
    <t>jadialcrea@yahoo.es</t>
  </si>
  <si>
    <t>CALLE 24 No. 18-33</t>
  </si>
  <si>
    <t>MARÍA MATILDE SANGUÑA DE OCHOA</t>
  </si>
  <si>
    <t>milsaborestunja22@hotmail.com</t>
  </si>
  <si>
    <t>CALLE 23 NO 10-23</t>
  </si>
  <si>
    <t>GACHA BERMUDEZ MARTHA LUCIA</t>
  </si>
  <si>
    <t>malugabe111@hotmail.com</t>
  </si>
  <si>
    <t>CARRERA 5 NO 2-13</t>
  </si>
  <si>
    <t>BAUTISTA CASTAÑEDA NUVIA LOURDES</t>
  </si>
  <si>
    <t>nuvialbautistac@gmail.com</t>
  </si>
  <si>
    <t>CARRERA 6 NO 3 59</t>
  </si>
  <si>
    <t>LESMES MORA LUDY NAYIVE</t>
  </si>
  <si>
    <t>lunalemo_12@hotmail.com</t>
  </si>
  <si>
    <t>CALLE 4 NO 13-16</t>
  </si>
  <si>
    <t>FERRUCHO LOPEZ ANA YANET</t>
  </si>
  <si>
    <t>y.ferrucho@yahoo.es</t>
  </si>
  <si>
    <t>CALLE 6 NO 1A-103 SOGAMOSO</t>
  </si>
  <si>
    <t>SIMBAQUEBA GUTIERREZ MARIA CRISTINA</t>
  </si>
  <si>
    <t>crisbalab@yahoo.com</t>
  </si>
  <si>
    <t>CARRERA 5 NO 9-84</t>
  </si>
  <si>
    <t>VALBUENA CORSO ANA AIRETH</t>
  </si>
  <si>
    <t>valbuenaa463@gmail.com</t>
  </si>
  <si>
    <t>BARRIO EL CEREZO ETAPA 2 CASA 39</t>
  </si>
  <si>
    <t>AFRICANO DE LEON MARTHA LUCIA</t>
  </si>
  <si>
    <t>juanse0248@gmail.com</t>
  </si>
  <si>
    <t>CALLE 4 NO 4-43</t>
  </si>
  <si>
    <t>RUIZ CORREA YOLANDA EMILCEN</t>
  </si>
  <si>
    <t>yoemco@gmail.com</t>
  </si>
  <si>
    <t>CARRERA 5 NO 6-111</t>
  </si>
  <si>
    <t>MUÑOZ PINILLA DEYLY YASMIN</t>
  </si>
  <si>
    <t>adriansamuel14@hotmail.com</t>
  </si>
  <si>
    <t>CARRERA 4 NO 2-35</t>
  </si>
  <si>
    <t>VARGAS ZEA MARIA DIONICIA</t>
  </si>
  <si>
    <t>ladyabril1@hotmail.com</t>
  </si>
  <si>
    <t>BARRIO CUNDINAMARCA</t>
  </si>
  <si>
    <t>YINETH BONILLA</t>
  </si>
  <si>
    <t>facturacionfs@alaslibertadores.co</t>
  </si>
  <si>
    <t>CARRERA 2 NO 1C-42</t>
  </si>
  <si>
    <t>SAENZ LADINO ALEYDA COSTANZA</t>
  </si>
  <si>
    <t>detodito17as@gmail.com</t>
  </si>
  <si>
    <t>CRA 4 NO 7-05</t>
  </si>
  <si>
    <t>ROJAS ARAQUE GILMA NOHEMY</t>
  </si>
  <si>
    <t>gilmanohemyrojas5@gmail.com</t>
  </si>
  <si>
    <t>CARRERA 7 NO 2-114</t>
  </si>
  <si>
    <t>ESTUPIÑAN VERGARA LUZ AMPARO</t>
  </si>
  <si>
    <t>amparoestupinan523@gmail.com</t>
  </si>
  <si>
    <t>CARRERA 3 NO 5-28</t>
  </si>
  <si>
    <t>GONZALEZ DURAN ANGELA YURANY</t>
  </si>
  <si>
    <t>gonzalezangelayurany@gmail.com</t>
  </si>
  <si>
    <t>CARRERA 3 NO 10-41</t>
  </si>
  <si>
    <t>RICO MARTINEZ CLAUDIA MARIBEL</t>
  </si>
  <si>
    <t>camari1012@hotmail.com</t>
  </si>
  <si>
    <t>CALLE 18 NO 15-31</t>
  </si>
  <si>
    <t>LIGIA YANETH OCHOA</t>
  </si>
  <si>
    <t>ROJAS MARTINEZ NAZLY JUDITH</t>
  </si>
  <si>
    <t>nazly@gmail.com</t>
  </si>
  <si>
    <t>MISCELANIA Y PAPELERIA AQUITANIA</t>
  </si>
  <si>
    <t>MORENO PRECIADO LEIDY JOHANA</t>
  </si>
  <si>
    <t>leidymoreno145@gmail.com</t>
  </si>
  <si>
    <t>CARERA 10 NO 08-12</t>
  </si>
  <si>
    <t>BUITRAGO ALIPIO MARIA ANTONIA</t>
  </si>
  <si>
    <t>maba181007@yahoo.es</t>
  </si>
  <si>
    <t>VEREDA FUNZARAQUIRA</t>
  </si>
  <si>
    <t>AMADO MEDINA ANA RUBIELA</t>
  </si>
  <si>
    <t>ana_amado252821@hotmail.com</t>
  </si>
  <si>
    <t>ESE DE SACHICA</t>
  </si>
  <si>
    <t>MEDINA DURAN AIDA FABIOLA</t>
  </si>
  <si>
    <t>fabiola.medina08@hotmail.es</t>
  </si>
  <si>
    <t>CARRERA 3 NO 2-01 SACHICA</t>
  </si>
  <si>
    <t>PEDRAZA MARTINEZ GIOVANA ANDREA</t>
  </si>
  <si>
    <t>giovanapmartinez@hotmail.com</t>
  </si>
  <si>
    <t>CRA 6 NO 9-03</t>
  </si>
  <si>
    <t>AVELLANEDA BARRERA INES</t>
  </si>
  <si>
    <t>ESTACIONCAYETANO@HOTMAIL.COM</t>
  </si>
  <si>
    <t>AVENIDA LA PLAYA NO 7-82</t>
  </si>
  <si>
    <t>NUBIA MONTOYA LEAL</t>
  </si>
  <si>
    <t>facturacioncotransval@gmail.com</t>
  </si>
  <si>
    <t>BARRIO SAN CAYETANO</t>
  </si>
  <si>
    <t>TORRES CASTRO RUBIELA</t>
  </si>
  <si>
    <t>rutc0605@yahoo.com</t>
  </si>
  <si>
    <t>BARRIO LA PLAYA SOCOTA</t>
  </si>
  <si>
    <t>CLAUDIA ISABEL FUENTES CASTAÑEDA</t>
  </si>
  <si>
    <t>FACTURACIONCASADIESEL@GMAIL.COM</t>
  </si>
  <si>
    <t>CRA 7 NO 2-75</t>
  </si>
  <si>
    <t>ARAQUE TIBADUIZA CARMEN CASILDA</t>
  </si>
  <si>
    <t>carmenaraquecp@gmail.com</t>
  </si>
  <si>
    <t>ESE SAN FRANCISCO DE SLG</t>
  </si>
  <si>
    <t>TELLEZ FERNANDEZ GLORIA EIDITH</t>
  </si>
  <si>
    <t>gloriatefer@gmail.com</t>
  </si>
  <si>
    <t>CRA 5 NO 3-02</t>
  </si>
  <si>
    <t>HERRERA CAÑON MARIA EUGENIA</t>
  </si>
  <si>
    <t>mariaherreracano@gmail.com</t>
  </si>
  <si>
    <t>CAFETERIA CASA REAL</t>
  </si>
  <si>
    <t>ACEVEDO CUJABAN MARIA NANCY</t>
  </si>
  <si>
    <t>mariaacevedocubajan@gmail.com</t>
  </si>
  <si>
    <t>CARRERA 4 NO 1-85 TOPAGA</t>
  </si>
  <si>
    <t>BALLESTEROS BANDERA MARGARETH</t>
  </si>
  <si>
    <t>laboratorioclinico@dra-margareth.com</t>
  </si>
  <si>
    <t>MEJIA HENAO MARIA ROSSI</t>
  </si>
  <si>
    <t>comunicaciones_rossi@hotmail.com</t>
  </si>
  <si>
    <t>CALLE 9 NO 7-15 QUIPAMA</t>
  </si>
  <si>
    <t>MUÑOZ ALBA SANDRA LORENA</t>
  </si>
  <si>
    <t>lorenamunozalba@gmail.com</t>
  </si>
  <si>
    <t>CALLE 8 NO 7 60</t>
  </si>
  <si>
    <t>SUAREZ DIAZ DAISY YANETH</t>
  </si>
  <si>
    <t>maxpitia@outlook.es</t>
  </si>
  <si>
    <t>BUSTOS ANZOLA MARTHA LIDIA</t>
  </si>
  <si>
    <t>marthalbanzola1521@gmail.com</t>
  </si>
  <si>
    <t>CARRERA 7 NO 8-71 QUIPAMA</t>
  </si>
  <si>
    <t>VEGA MEDINA ICELINA</t>
  </si>
  <si>
    <t>admoncomprigas@hotmail.com</t>
  </si>
  <si>
    <t>CENTRO DE SALUD QUIPAMA</t>
  </si>
  <si>
    <t>VANEGAS MARTIN FANY SOFIA</t>
  </si>
  <si>
    <t>fannysofiavanegas@gmail.com</t>
  </si>
  <si>
    <t>CARRERA 6 NO 4-73 GARAGOA</t>
  </si>
  <si>
    <t>CASTELLANOS LAITON RUTH JOHANA</t>
  </si>
  <si>
    <t>rjcl2410@gmail.com</t>
  </si>
  <si>
    <t>CARRERA 4 NO 7-42</t>
  </si>
  <si>
    <t>QUIÑONEZ FLOREZ LINA PETRONA</t>
  </si>
  <si>
    <t>lineyamor@hotmail.com</t>
  </si>
  <si>
    <t>CENTRO SAN LUIS GACENO</t>
  </si>
  <si>
    <t>RIVERA MURILLO ANGELICA MARIA</t>
  </si>
  <si>
    <t>anmariarm37m@gmail.com</t>
  </si>
  <si>
    <t>CENTRO PAZ DE RIO</t>
  </si>
  <si>
    <t>PEREZ SANCHEZ ELSA TERESA</t>
  </si>
  <si>
    <t>molirop@hotmail.com</t>
  </si>
  <si>
    <t>CALLE 2 NO 15-24</t>
  </si>
  <si>
    <t>RODRIGUEZ SIERRA CLEMENTINA</t>
  </si>
  <si>
    <t>clementina.rodriguez2010@gmail.com</t>
  </si>
  <si>
    <t>CRA 12 NO 21-12</t>
  </si>
  <si>
    <t>CASTELLANOS FORERO CLAUDIA PATRICIA</t>
  </si>
  <si>
    <t>claudiacastellanos212@gmail.com</t>
  </si>
  <si>
    <t>CARRERA 14 NO 2SUR 46</t>
  </si>
  <si>
    <t>CASTELLANOS FORERO ANGELA MARIA</t>
  </si>
  <si>
    <t>procervisas2011@gmail.com</t>
  </si>
  <si>
    <t>CRA 8 NO 17-47 APTO 501</t>
  </si>
  <si>
    <t>AVELLA AVELLA LUZ MARINA</t>
  </si>
  <si>
    <t>CRA 6 NO 17-77 APTO 202B</t>
  </si>
  <si>
    <t>CARDENAS ESPITIA YENNY EDITH</t>
  </si>
  <si>
    <t>tecyenny@gmail.com</t>
  </si>
  <si>
    <t>CALLE 6 NO 6-11 AQUITANIA</t>
  </si>
  <si>
    <t>Myriam Janneth Cabarcas Castillo (Hospedaje Vie Donaire)</t>
  </si>
  <si>
    <t>jefecitajanneth@hotmail.com</t>
  </si>
  <si>
    <t>CALLE 58A NO 9-23 TUNJA</t>
  </si>
  <si>
    <t>CRUZ PEREZ EDELMIRA</t>
  </si>
  <si>
    <t>edelcruzpere123@gmail.com</t>
  </si>
  <si>
    <t>CARRERA 10 NO 10-16 AQUITANIA</t>
  </si>
  <si>
    <t>ROSA TULIA LEMUS DE QUINTANA</t>
  </si>
  <si>
    <t>laislasogamoso@gmail.com</t>
  </si>
  <si>
    <t>CALLE 11 NO 32-30</t>
  </si>
  <si>
    <t>BERTHA IZQUIERDO MORENO</t>
  </si>
  <si>
    <t>GRAFIMPRESO@YAHOO.COM</t>
  </si>
  <si>
    <t>CARRERA 17 NO 13A-109</t>
  </si>
  <si>
    <t>SANDRA VICTORIA AVELLA CERON</t>
  </si>
  <si>
    <t>ESEW SALUD AQUITANIA</t>
  </si>
  <si>
    <t>BERNAL SANCHEZ NEYDA ELIZABETH</t>
  </si>
  <si>
    <t>neydabernals@hotmail.com</t>
  </si>
  <si>
    <t>CARRERA 18 NO 8-72 SOGAMOSO</t>
  </si>
  <si>
    <t>HERNANDEZ AGUDELO LINA MERCEDES</t>
  </si>
  <si>
    <t>linamhernandez72@hotmail.com</t>
  </si>
  <si>
    <t>CARRERA 11 NO 14-55</t>
  </si>
  <si>
    <t>PEREZ NARANJO BLANCA ESPERANZA</t>
  </si>
  <si>
    <t>esperanzasamysan@yahoo.es</t>
  </si>
  <si>
    <t>DIAGONAL 15 NO 17 41</t>
  </si>
  <si>
    <t>HERRERA SANDOVAL ALCIRA</t>
  </si>
  <si>
    <t>alciraherreras@gmail.com</t>
  </si>
  <si>
    <t>CARRERA 26 NO 7A-49</t>
  </si>
  <si>
    <t>MELENDEZ GRANADOS EDITH MARISOL</t>
  </si>
  <si>
    <t>edithmelen@hotmail.com</t>
  </si>
  <si>
    <t>BARRIO EL RECREO SOGAMOSO</t>
  </si>
  <si>
    <t>RIAÑO CUBIDES IRAYDA MARIA</t>
  </si>
  <si>
    <t>irri_1@yahoo.com</t>
  </si>
  <si>
    <t>CARRERA 12 NO 18-06 SOGAMOSO</t>
  </si>
  <si>
    <t>CARDOZO CHAPARRO MARIA PATRICIA</t>
  </si>
  <si>
    <t>facturacionpacks@jelpit.com</t>
  </si>
  <si>
    <t>CALLE 9 NO 6-0106</t>
  </si>
  <si>
    <t>SALAMANCA TORRES NELLY ESPERANZA</t>
  </si>
  <si>
    <t>nellysalamanca1977@gmail.com</t>
  </si>
  <si>
    <t>CALLE 2 NO 26-29</t>
  </si>
  <si>
    <t>MARIA STELLA GUTIERREZ BOADA</t>
  </si>
  <si>
    <t>stellagutierrez179@gmail.com</t>
  </si>
  <si>
    <t>ESE SALUD AQUITANA</t>
  </si>
  <si>
    <t>BARRERA MOGOLLON DIANA MILENA</t>
  </si>
  <si>
    <t>diana.pio.17@gmail.com</t>
  </si>
  <si>
    <t>CALLE 4 NO 3A-05</t>
  </si>
  <si>
    <t>ESPEJO SILVA ANDREA DEL PILAR</t>
  </si>
  <si>
    <t>andreitaespejo@hotmail.com</t>
  </si>
  <si>
    <t>CALLE 13 NO 14-89 SOGAMOSO</t>
  </si>
  <si>
    <t>RODRIGUEZ PEREZ DORIS ELIANA</t>
  </si>
  <si>
    <t>elianarodri79@hotmail.com</t>
  </si>
  <si>
    <t>CARRERA 5 NO 1-18</t>
  </si>
  <si>
    <t>URRUTIA PEREZ NEYLA EMILCE</t>
  </si>
  <si>
    <t>neup1026@gmail.com</t>
  </si>
  <si>
    <t>CENTRO DE SALUD DE PISBA</t>
  </si>
  <si>
    <t>VANEGAS RODRIGUEZ GLORIA MILENA</t>
  </si>
  <si>
    <t>vanegas.gloria@yahoo.es</t>
  </si>
  <si>
    <t>SANDRA MILENA NOSSA CORREDOR</t>
  </si>
  <si>
    <t>samynossa@hotmail.com</t>
  </si>
  <si>
    <t>MAHILA ACCESORIOS SOGAMOSO</t>
  </si>
  <si>
    <t>OCHOA HERRERA HINGRID CARINE</t>
  </si>
  <si>
    <t>gemahinca@yahoo.com</t>
  </si>
  <si>
    <t>GOMEZ RAMIREZ LEIDY MARCELA</t>
  </si>
  <si>
    <t>drleidy21@hotmail.com</t>
  </si>
  <si>
    <t>CARRERA 18A NO 8-14 SOGAMOSO</t>
  </si>
  <si>
    <t>YENITH XIOMARA MORALES BONILLA</t>
  </si>
  <si>
    <t>xiomyney@hotmail.com</t>
  </si>
  <si>
    <t>CALLE 10 NO 10-14</t>
  </si>
  <si>
    <t>SIERRA MARTINEZ ANA LUZ MARY</t>
  </si>
  <si>
    <t>alsierra5@misena.edu.co</t>
  </si>
  <si>
    <t>ESE LABRANZAGRANDE</t>
  </si>
  <si>
    <t>BARAHONA LOPEZ HEIDY YISELA</t>
  </si>
  <si>
    <t>barahonaheidy@gmail.com</t>
  </si>
  <si>
    <t>CENTRO CORRALES</t>
  </si>
  <si>
    <t>BARRERA CRUZ MIRYAN</t>
  </si>
  <si>
    <t>miryanbarrera2017@gmail.com</t>
  </si>
  <si>
    <t>CARRERA 20 NO 14-70 SOGAMOSO</t>
  </si>
  <si>
    <t>CHAPARRO RIVERA MARIA DEL TRANSITO</t>
  </si>
  <si>
    <t>mariadelte_@hotmail.com</t>
  </si>
  <si>
    <t>CARRERA 18 NO 14-26</t>
  </si>
  <si>
    <t>DIANA RINCON RINCON</t>
  </si>
  <si>
    <t>FELECTRONICA@EXPRESOBRASILIA.COM</t>
  </si>
  <si>
    <t>VEREDA SAN JOSE TOPAGA</t>
  </si>
  <si>
    <t>CLAUDIA FERNANDA GONZALEZ</t>
  </si>
  <si>
    <t>CALLE 12 NO 12-36</t>
  </si>
  <si>
    <t>GARCIA GUTIERREZ FLOR ANGELA</t>
  </si>
  <si>
    <t>angelagarciagu@gmail.com</t>
  </si>
  <si>
    <t>CALLE 15 NO 13-08</t>
  </si>
  <si>
    <t>FORERO SANTANA GIOVANNA XIMENA</t>
  </si>
  <si>
    <t>gioxi1@hotmail.com</t>
  </si>
  <si>
    <t>JOHANNA GUERRERO</t>
  </si>
  <si>
    <t>mayrastefany4138@gmail.com</t>
  </si>
  <si>
    <t>CALLE 33 NO 14-75</t>
  </si>
  <si>
    <t>CEPEDA DIAZ ANDREA JIMENA</t>
  </si>
  <si>
    <t>andruce@hotmail.com</t>
  </si>
  <si>
    <t>ESE AQUITANIA</t>
  </si>
  <si>
    <t>TABACO SOCHA ANA DORELY</t>
  </si>
  <si>
    <t>anataso2018@gmail.com</t>
  </si>
  <si>
    <t>CENTRO PISBA</t>
  </si>
  <si>
    <t>PEREZ GALDAMEZ DORELLY</t>
  </si>
  <si>
    <t>dore.perez@yahoo.es</t>
  </si>
  <si>
    <t>ESE DE PAYA</t>
  </si>
  <si>
    <t>PAEZ SIAUCHO NIDYAN</t>
  </si>
  <si>
    <t>paeznidyan@gmail.com</t>
  </si>
  <si>
    <t>CARRERA 8 NO 5-55 LABRANZAGRANDE</t>
  </si>
  <si>
    <t>BELTRAN HERNANDEZ DILIA MARIA</t>
  </si>
  <si>
    <t>dilialunna@hotmail.com</t>
  </si>
  <si>
    <t>GUTIERREZ BUSTAMANTE ADRIANA DEL CARMEN</t>
  </si>
  <si>
    <t>adrigubu2012@gmail.com.com</t>
  </si>
  <si>
    <t>CENTRO DE SALUD  PISBA</t>
  </si>
  <si>
    <t>NUBIA ORMAZA DELGADO</t>
  </si>
  <si>
    <t>PAPELERIAUNIVERSITARIA97@HOTMAIL.COM</t>
  </si>
  <si>
    <t>CALLE 12 NO 11-32 SOGAMOSO</t>
  </si>
  <si>
    <t>VACA ANGEL CLAUDIA MARCELA</t>
  </si>
  <si>
    <t>marcelavacaangel@gmail.com</t>
  </si>
  <si>
    <t>CENTRO DE SALUD D ELABRANZAGRANDE</t>
  </si>
  <si>
    <t>DAZA SARAVIA ADRIANA</t>
  </si>
  <si>
    <t>ads1205@hotmail.com</t>
  </si>
  <si>
    <t>ROBAYO LOZANO IGNELIA MERCEDES</t>
  </si>
  <si>
    <t>igneliamercedesr@gmail.com</t>
  </si>
  <si>
    <t>HERNANDEZ AGUDELO LUZ ADRIANA</t>
  </si>
  <si>
    <t>adrianahernandeza@hotmail.com</t>
  </si>
  <si>
    <t>CALLE 8 NO 11A 43</t>
  </si>
  <si>
    <t>CARDENAS GOMEZ CLAUDIA ESPERANZA</t>
  </si>
  <si>
    <t>cgsiza.unidos@gmail.com</t>
  </si>
  <si>
    <t>ESE CENTRO DE SALUD DE IZA</t>
  </si>
  <si>
    <t>GASCA ORDOÑEZ NARLEY PAOLA</t>
  </si>
  <si>
    <t>yelran@hotmail.com</t>
  </si>
  <si>
    <t>CARRERA 17 NO 8-51 CHIQUINQUIRA</t>
  </si>
  <si>
    <t>ERIKA VIDES</t>
  </si>
  <si>
    <t>erikamariavc@hotmail.com</t>
  </si>
  <si>
    <t>CARRERA 12 NO 24-50</t>
  </si>
  <si>
    <t>PEREZ OROZCO LUCELY GENITH</t>
  </si>
  <si>
    <t>Chelyp272011@hotmail.com</t>
  </si>
  <si>
    <t>CALLE 13 NO 10A-29</t>
  </si>
  <si>
    <t>RODRIGUEZ ORFA YESENIA</t>
  </si>
  <si>
    <t>yesiluna125@hotmail.com</t>
  </si>
  <si>
    <t>CALLE 48 NO 11B-57</t>
  </si>
  <si>
    <t>Juan Jose valencia Ramirez</t>
  </si>
  <si>
    <t>contador@panaderiakuty.com</t>
  </si>
  <si>
    <t>CARRERA 24 NO 3-03</t>
  </si>
  <si>
    <t>MORENO LAJUD ELTON RICARDO</t>
  </si>
  <si>
    <t>elmola1020@hotmail.com</t>
  </si>
  <si>
    <t>ANDRES ARCHILA</t>
  </si>
  <si>
    <t>andresitoarchila@hotmail.com</t>
  </si>
  <si>
    <t>CALLE 14 NO 10-10 APTO 401</t>
  </si>
  <si>
    <t>LUIS MIGUEL ALARCON MARTINEZ</t>
  </si>
  <si>
    <t>facturacionelectronicadistripa@gmail.com</t>
  </si>
  <si>
    <t>CARRERA 10 NO 10-29 SOGAMOSO</t>
  </si>
  <si>
    <t>TUMAY GARCIA HELMER ELI</t>
  </si>
  <si>
    <t>helmertumay995@gmail.com</t>
  </si>
  <si>
    <t>ESE CENTRO DE SALUD D EIZA</t>
  </si>
  <si>
    <t>GIOVANI ALEXANDER ABRIL CHAPARRO</t>
  </si>
  <si>
    <t>geovannian@gmail.com</t>
  </si>
  <si>
    <t>CALLE 12 NO 11-60 LOCAL 211</t>
  </si>
  <si>
    <t>PEREZ ESTUPIÑAN MARCO FIDEL</t>
  </si>
  <si>
    <t>marcofidelperez87@gmail.com</t>
  </si>
  <si>
    <t>CARRERA 15 NO 4-21</t>
  </si>
  <si>
    <t>MONTENEGRO ROA TIRSO ANCISAR</t>
  </si>
  <si>
    <t>tirsomontenegro@yahoo.es</t>
  </si>
  <si>
    <t>BUITRAGO CARRILLO HECTOR MAURICIO</t>
  </si>
  <si>
    <t>hecmabuca@hotmail.com</t>
  </si>
  <si>
    <t>CENTRO SAN LUIS DE GACENO</t>
  </si>
  <si>
    <t>PAIBA LOPEZ MIGUEL ANGEL</t>
  </si>
  <si>
    <t>MIANGELPALO@HOTMAIL.COM</t>
  </si>
  <si>
    <t>CARRERA 9 NO 10-150 INT 12C</t>
  </si>
  <si>
    <t>CEPEDA DIAZ PABLO CESAR</t>
  </si>
  <si>
    <t>pablocedi@yahoo.com</t>
  </si>
  <si>
    <t>CARRERA 22 NO 25-17</t>
  </si>
  <si>
    <t>MONTEALEGRE BRICEÑO LEONARDO</t>
  </si>
  <si>
    <t>leonardomontealegre123@hotmail.com</t>
  </si>
  <si>
    <t>CORREA GUARIN NESTOR JAVIER</t>
  </si>
  <si>
    <t>javiscorrea14@gmail.com</t>
  </si>
  <si>
    <t>ESE SOGAMOSO</t>
  </si>
  <si>
    <t>PLAZAS VEGA EMIRO</t>
  </si>
  <si>
    <t>emiroplazas67@hotmail.com</t>
  </si>
  <si>
    <t>ESTUPIÑAN SUAREZ CARLOS ORLANDO</t>
  </si>
  <si>
    <t>carlosoestupinan@hotmail.com</t>
  </si>
  <si>
    <t>MAURICIO HERNANDEZ FORERO</t>
  </si>
  <si>
    <t>crtemhf@yahoo.com</t>
  </si>
  <si>
    <t>CARRERA 9 NO 20-35</t>
  </si>
  <si>
    <t>MONTENEGRO GORDILLO EDILBERTO</t>
  </si>
  <si>
    <t>betinmont1969@gmail.com</t>
  </si>
  <si>
    <t>CARRERA 5 NO 4-57</t>
  </si>
  <si>
    <t>GARCIA VARGAS JULIAN FERNANDO</t>
  </si>
  <si>
    <t>julianfgarciav@gmail.com</t>
  </si>
  <si>
    <t>CARRERA 1 ESTE NO 58A-17</t>
  </si>
  <si>
    <t>RODRIGUEZ CASTRO JOSELIN</t>
  </si>
  <si>
    <t>joselinrocas80@hotmail.com</t>
  </si>
  <si>
    <t>CASA 24 B 6 B TOMAS ROLDAN TOPAGA</t>
  </si>
  <si>
    <t>PEREZ ALVAREZ JAIME FERNEY</t>
  </si>
  <si>
    <t>ferney.perez@yahoo.com</t>
  </si>
  <si>
    <t>BOGOYA LOPEZ JORGE WILHEM</t>
  </si>
  <si>
    <t>jwbogoyal@gmail.com</t>
  </si>
  <si>
    <t>CARRERA 45 NO 22-44</t>
  </si>
  <si>
    <t>PACHON PASACHOA LUIS FRANCISCO</t>
  </si>
  <si>
    <t>asosanmarcos@hotmail.com</t>
  </si>
  <si>
    <t>URBANIZACION SAN MARCOS</t>
  </si>
  <si>
    <t>HECTOR ALFONSO MARTINEZ AMORTEGUI</t>
  </si>
  <si>
    <t>alfonso.contabilidad72@gmail.com</t>
  </si>
  <si>
    <t>CALLE 6 NO 1-15</t>
  </si>
  <si>
    <t>HERRERA VILLABON JUAN</t>
  </si>
  <si>
    <t>jeissonperdomo235@gmail.com</t>
  </si>
  <si>
    <t>CALLE 4 SUR NO 8B-02</t>
  </si>
  <si>
    <t>SALINAS ORTEGON JOSE MARIO</t>
  </si>
  <si>
    <t>jmso01@hotmail.com</t>
  </si>
  <si>
    <t>CALLE 31 NO 6A-10</t>
  </si>
  <si>
    <t>HERRERA LOZADA JHELVER ALEXANDER</t>
  </si>
  <si>
    <t>jaherreral76@gmail.com</t>
  </si>
  <si>
    <t>CALLE 90 NO 14-37</t>
  </si>
  <si>
    <t>HOMECENTER TUNJA</t>
  </si>
  <si>
    <t>INTER RAPIDISIMO S.A</t>
  </si>
  <si>
    <t>CRA 30 7 45</t>
  </si>
  <si>
    <t>PATRIMONIOS AUTONOMOS AVAL FIDUCIARIA S.A</t>
  </si>
  <si>
    <t>direccion.impuestos@avalfiduciaria.com</t>
  </si>
  <si>
    <t>PEAJE EL CRUCERO</t>
  </si>
  <si>
    <t>FIDEICOMISOS BBVA ASSET MANAGEMENT S. A. SOCIEDAD FIDUCIARIA PUDIENDO UTILIZAR INDISTINTAMENTE, PARA TODOS LOS EFECTOS LEGALES, EL NOMBRE DE BBVA ASSET MANAGEMENT O BBVA FIDUCIARIA</t>
  </si>
  <si>
    <t>PEAJE A BOGOTA</t>
  </si>
  <si>
    <t>ESTELAR EXPRESS S.A.S</t>
  </si>
  <si>
    <t>contabilidad1@estelarexpress.co</t>
  </si>
  <si>
    <t>CALLE 24F NO 102A 23</t>
  </si>
  <si>
    <t>ESTACION DE SERVICIOS DEL NORTE S.A.</t>
  </si>
  <si>
    <t>servinortesa@hotmail.com</t>
  </si>
  <si>
    <t>CARRERA 11 NO 29-45 SOGAMOSO</t>
  </si>
  <si>
    <t>BANCO BILBAO VIZCAYA ARGENTARIA COLOMBIA S A PUDIENDO UTILIZAR INDISTINTAMENTE PARA TODOS LOS EFECTOS LEGALES EL NOMBRE BBVA COLOMBIA</t>
  </si>
  <si>
    <t>notifica.co@bbva.com</t>
  </si>
  <si>
    <t>CALLE 15 NO 15-75</t>
  </si>
  <si>
    <t>SEGUROS DE VIDA DEL ESTADO S.A.</t>
  </si>
  <si>
    <t>CRA 11 NO 90-20</t>
  </si>
  <si>
    <t>ALLIANZ SEGUROS DE VIDA S A</t>
  </si>
  <si>
    <t>carrera 23 no 29-24</t>
  </si>
  <si>
    <t>EXPRESO GAVIOTA S A</t>
  </si>
  <si>
    <t>info@expresogaviota.com.co</t>
  </si>
  <si>
    <t>DIAGONAL 23 NO 69-60</t>
  </si>
  <si>
    <t>DEPOSITO PRINCIPAL DE DROGAS LIMITADA</t>
  </si>
  <si>
    <t>depositoprincipaldedrogas01@hotmail.com</t>
  </si>
  <si>
    <t>DROGAS LA ECONOMIA SOGAMOSO</t>
  </si>
  <si>
    <t>I R C C S.A.S INDUSTRIA DE RESTAURANTES CASUALES S.A.S</t>
  </si>
  <si>
    <t>notifica@alimentosalconsumidor.com</t>
  </si>
  <si>
    <t>AVENIDA UNIVERSITARIA NO 75-00</t>
  </si>
  <si>
    <t>ALMACENES EXITO S A</t>
  </si>
  <si>
    <t>njudiciales@grupo-exito.com</t>
  </si>
  <si>
    <t>CRA 48 NO 32B SUR 139</t>
  </si>
  <si>
    <t>COMPAÑIA DE SERVICIOS PUBLICOS DE SOGAMOSO S.A. E.S.P</t>
  </si>
  <si>
    <t>gerencia@coserviciosesp.com.co</t>
  </si>
  <si>
    <t>COSERVICIOS SOGAMOSO</t>
  </si>
  <si>
    <t>COOPERATIVA DE TRANSPORTADORES FLOTAX DUITAMA</t>
  </si>
  <si>
    <t>coflotax@yahoo.es</t>
  </si>
  <si>
    <t>CALE 9 NO 20-08</t>
  </si>
  <si>
    <t>EMPRESA DE ENERGIA DE BOYACA S.A. E.S.P. EMPRESA DE SERVICIOS PUBLICOS</t>
  </si>
  <si>
    <t>gerencia@ebsa.com.co</t>
  </si>
  <si>
    <t>CRA 10 NO 15-87</t>
  </si>
  <si>
    <t>CRUZ ROJA COLOMBIANA SECCIONAL</t>
  </si>
  <si>
    <t>boyaca@cruzrojacolombiana.org</t>
  </si>
  <si>
    <t>CALLE 17 NO 9-56</t>
  </si>
  <si>
    <t>TR 19 NO 23-141</t>
  </si>
  <si>
    <t>COOPERATIVA DE TRANSPORTADORES CIUDAD DEL ACERO</t>
  </si>
  <si>
    <t>tesoreriacootraceroltda@yahoo.es</t>
  </si>
  <si>
    <t>AV SAN MARTIN NO 11A-27</t>
  </si>
  <si>
    <t>EMPRESA SOCIAL DEL ESTADO SALUD AQUITANIA</t>
  </si>
  <si>
    <t>gerente@esesaludaquitania-boyaca.gov.co</t>
  </si>
  <si>
    <t>CALLE 8 NO 7-60</t>
  </si>
  <si>
    <t>DISTRIBUIDORA DE COMBUSTIBLES EL SOL SOCIEDAD POR ACCIONES SIMPLIFICADA</t>
  </si>
  <si>
    <t>dicosolsa@gmail.com</t>
  </si>
  <si>
    <t>ASISTIR IPS Y HSE SU COMPAÑIA EN SALUD LTDA</t>
  </si>
  <si>
    <t>administrativo@asistiripsyhse.com.co</t>
  </si>
  <si>
    <t>CALLE 17 NO 27-56</t>
  </si>
  <si>
    <t>COMBUSTIBLES H &amp; R LTDA.</t>
  </si>
  <si>
    <t>yolima.rojas@dihego.com.co</t>
  </si>
  <si>
    <t>CALLE 121 NO 7-30 BOGOTA</t>
  </si>
  <si>
    <t>CENTRAL DE ABARROTES DS S.A.</t>
  </si>
  <si>
    <t>centraldeabarrotesdssa@hotmail.com</t>
  </si>
  <si>
    <t>CARRERA 10 NO 11-42 CHIQUINQUIRA</t>
  </si>
  <si>
    <t>GLOBAL LIFE AMBULANCIAS</t>
  </si>
  <si>
    <t>GUATOVEK02@HOTMAIL.COM</t>
  </si>
  <si>
    <t>CALLE 163 NO 16C-62</t>
  </si>
  <si>
    <t>ELASTICOS Y TEXTILES DE COLOMBIA LIMITADA</t>
  </si>
  <si>
    <t>joa_kus@hotmail.com</t>
  </si>
  <si>
    <t>CALLE 3 SUR NO 10-18</t>
  </si>
  <si>
    <t>D1 S A S</t>
  </si>
  <si>
    <t>CARRERA 19 NO 23-65</t>
  </si>
  <si>
    <t>MASSER S A S</t>
  </si>
  <si>
    <t>infomasser@masser.com.co</t>
  </si>
  <si>
    <t>VEREDA CARREÑO</t>
  </si>
  <si>
    <t>INSERBOY S.A.S</t>
  </si>
  <si>
    <t>inserboy@gmail.com</t>
  </si>
  <si>
    <t>CARRERA 14 NO 96-5</t>
  </si>
  <si>
    <t>WORLD OFFICE COLOMBIA S.A.S</t>
  </si>
  <si>
    <t>AV CLL 26 NO 69D 91 OF 303</t>
  </si>
  <si>
    <t>EL FARO ELECTRICO S A S</t>
  </si>
  <si>
    <t>contabilidad@elfaroelectrico.co</t>
  </si>
  <si>
    <t>CRA 11 NO 19A 07</t>
  </si>
  <si>
    <t>INVERSIONES JOSE MARIA AMAYA VALDERRAMA S.A.S</t>
  </si>
  <si>
    <t>gerencia@inversionesjmavsas.com</t>
  </si>
  <si>
    <t>CARRERA 6 NO 8-68</t>
  </si>
  <si>
    <t>BOTICARIO COLOMBIA SAS</t>
  </si>
  <si>
    <t>legal@grupoboticario.com.co</t>
  </si>
  <si>
    <t>CALLE 127 NO 13A-12 OF 501</t>
  </si>
  <si>
    <t>CARGANDO BUY CENTER S.A.S</t>
  </si>
  <si>
    <t>cbcsas@hotmail.com</t>
  </si>
  <si>
    <t>CARRERA 57 NO 119A-60</t>
  </si>
  <si>
    <t>HSEQ ENFOQUE Y SOLUCIONES S.A.S.</t>
  </si>
  <si>
    <t>contabilidadipshseq@gmail.com</t>
  </si>
  <si>
    <t>CARRERA 9 NO 14-47</t>
  </si>
  <si>
    <t>INGENIERIA SEGURIDAD SALUD AMBIENTE S.A.S.</t>
  </si>
  <si>
    <t>issagroupsas@gmail.com</t>
  </si>
  <si>
    <t>CARRERA 10 NO 15-36</t>
  </si>
  <si>
    <t>D'AGROS S.A.S</t>
  </si>
  <si>
    <t>dagroscontabilidad@hotmail.com</t>
  </si>
  <si>
    <t>CARRERA 8 NO 4-36</t>
  </si>
  <si>
    <t>EDUCANDO LIFE SUPPORT SAS</t>
  </si>
  <si>
    <t>avellafrench@yahoo.es</t>
  </si>
  <si>
    <t>CARRERA 8 NO 31-79 TUNJA</t>
  </si>
  <si>
    <t>EL BODEGON S.A.S.</t>
  </si>
  <si>
    <t>elbodegonsogamoso@gmail.com</t>
  </si>
  <si>
    <t>CARRERA 12 NO 12-08</t>
  </si>
  <si>
    <t>PAPELERÍA LA MAYOR DE SAN VICTORINO S.A.S.</t>
  </si>
  <si>
    <t>lamayorsan@gmail.com</t>
  </si>
  <si>
    <t>CARRERA 12A NO 10-29 SOTANO</t>
  </si>
  <si>
    <t>SURAMERICA COMERCIAL S.A.S</t>
  </si>
  <si>
    <t>impuestos.colombia@camco.com.sv</t>
  </si>
  <si>
    <t>CALLE 12 NO 10-10</t>
  </si>
  <si>
    <t>INVERSIONES SABAY S.A.S</t>
  </si>
  <si>
    <t>info@opsaing.com</t>
  </si>
  <si>
    <t>ALTOQUE ESTACION</t>
  </si>
  <si>
    <t>H&amp;R ENERGY SOCIEDAD POR ACCIONES SIMPLIFICADA</t>
  </si>
  <si>
    <t>facturacionhyrenergysas@gmail.com</t>
  </si>
  <si>
    <t>CALLE 22 NO 40-30</t>
  </si>
  <si>
    <t>ANALISTA EN SEGURIDAD INDUSTRIAL E INGENIERIA S.A.S.</t>
  </si>
  <si>
    <t>facturacionansi@gmail.com</t>
  </si>
  <si>
    <t>DIAGONAL 59 NO 11A-120 SOGAMOSO</t>
  </si>
  <si>
    <t>UHF COMUNICACIONES SAS</t>
  </si>
  <si>
    <t>info@uhfcomunicaciones.com</t>
  </si>
  <si>
    <t>CARRERA 23 NO 25-59</t>
  </si>
  <si>
    <t>FUNDACION GAIA SOLIDARIA</t>
  </si>
  <si>
    <t>fundacioncultivandofuturo@gmail.com</t>
  </si>
  <si>
    <t>ESE D EPAYA</t>
  </si>
  <si>
    <t>R Y R INVERSIONES Y COMBUSTIBLES S A S</t>
  </si>
  <si>
    <t>edsaquitania@gmail.com</t>
  </si>
  <si>
    <t>EDS TERPEL AQUITANIA</t>
  </si>
  <si>
    <t>PAGOS AUTOMATICOS DE COLOMBIA SAS</t>
  </si>
  <si>
    <t>FACTURACION@GOPASS.COM.CO</t>
  </si>
  <si>
    <t>CARRERA 20 NO 88-20</t>
  </si>
  <si>
    <t>FUNDACION HUELLAS A FUTURO</t>
  </si>
  <si>
    <t>huellasafuturo@gmail.com</t>
  </si>
  <si>
    <t>CALLE 20 NO 17-108</t>
  </si>
  <si>
    <t>CENTRO ESPECIALIZADO DE MANTENIMIENTO Y ALISTAMIENTO CONCORDE S.A.S</t>
  </si>
  <si>
    <t>facturacionalistaconcorde@gmail.com</t>
  </si>
  <si>
    <t>TERMINAL DE TRANPORTE</t>
  </si>
  <si>
    <t>BTS DERECHOS ECONÓMICOS S.A.S.</t>
  </si>
  <si>
    <t>btscontactenos@autoviabts.com</t>
  </si>
  <si>
    <t>BRICEÑO VILLAPINZON</t>
  </si>
  <si>
    <t>INVERSIONES EMPRESARIALES S&amp;S S.A.S.</t>
  </si>
  <si>
    <t>inversiones.empresarialsys@gmail.com</t>
  </si>
  <si>
    <t>AVENIDA UNIVERSITARIA 50-21</t>
  </si>
  <si>
    <t>GUZMENDOZA S.A.S.</t>
  </si>
  <si>
    <t>GUzMENDOzA2023@GMAIL.COM</t>
  </si>
  <si>
    <t>CARRERA 6 NO 51-50 TUNJA</t>
  </si>
  <si>
    <t>COMPAÑIA GASTRONOMICA RC PLATINO S.A.S</t>
  </si>
  <si>
    <t>EVENTOSGASTRONOMICOSRC@GMAIL.COM</t>
  </si>
  <si>
    <t>CALLE 12 NO 12-68</t>
  </si>
  <si>
    <t>RESTAURANTE LUCHO S.A.S</t>
  </si>
  <si>
    <t>restaurantelucho1@gmail.com</t>
  </si>
  <si>
    <t>CALLE 6 NO 6-11</t>
  </si>
  <si>
    <t>SILVA PEREA WUENDY LORENA</t>
  </si>
  <si>
    <t>lorena.silvap1904@gmail.com</t>
  </si>
  <si>
    <t>CARRERA 2 NO 3-305 SOGA</t>
  </si>
  <si>
    <t>NOSSA RIOS KATERIN XIMENA</t>
  </si>
  <si>
    <t>katerineximenanossa@gmail.com</t>
  </si>
  <si>
    <t>VEREDA PEREZ AGUA BLANCA AQUITANIA</t>
  </si>
  <si>
    <t>ROJAS FERNANDEZ PAOLA MARCELA</t>
  </si>
  <si>
    <t>auryser14@hotmail.com</t>
  </si>
  <si>
    <t>CENTRO BETEITIVA</t>
  </si>
  <si>
    <t>JENNIFER VANESSA VILLANUEVA MONDRAGON</t>
  </si>
  <si>
    <t>jennvilla16@gmail.com</t>
  </si>
  <si>
    <t>MARLITH JULIETH GALEANO FAJARDO</t>
  </si>
  <si>
    <t>juliethgaleano4@gmail.com</t>
  </si>
  <si>
    <t>CARRERA 19 NO 15-27 DUITAMA</t>
  </si>
  <si>
    <t>PLATA CASTELLANOS DIANA GABRIELA</t>
  </si>
  <si>
    <t>gabiplata122618@gmail.com</t>
  </si>
  <si>
    <t>DALYA DALLOS</t>
  </si>
  <si>
    <t>DALYDALLOS@GMAIL.COM</t>
  </si>
  <si>
    <t>PEREZ TARAZONA ANGIE STEFANIA</t>
  </si>
  <si>
    <t>stefis15001@gmail.com</t>
  </si>
  <si>
    <t>CALLE 5C NO 11A-15 AQUITANIA</t>
  </si>
  <si>
    <t>CUESTA MARTINEZ LAURA MARYAN</t>
  </si>
  <si>
    <t>lauramaryanc@gmail.com</t>
  </si>
  <si>
    <t>CALLE 6 NO 4-57 PAYA</t>
  </si>
  <si>
    <t>jenny alejandra saavedra perez</t>
  </si>
  <si>
    <t>VEREDA VARGAS AQUITANIA</t>
  </si>
  <si>
    <t>SANTOS VARGAS PAULA LISBETH</t>
  </si>
  <si>
    <t>PLSV1330@GMAIL.COM</t>
  </si>
  <si>
    <t>CARRERA 11 NO 18-11 AQUITANIA</t>
  </si>
  <si>
    <t>CHAPARRO GOMEZ LAURA JULIETH</t>
  </si>
  <si>
    <t>chaparrolaura671@gmail.com</t>
  </si>
  <si>
    <t>CALLE 6 NO 7-62 AQUITANIA</t>
  </si>
  <si>
    <t>LEAL DURÁN KAROL NAYELI</t>
  </si>
  <si>
    <t>nayeleal101@gmail.com</t>
  </si>
  <si>
    <t>CARRERA 3 NO 6-15</t>
  </si>
  <si>
    <t>BARRERA GAONA ERIKA MELISSA</t>
  </si>
  <si>
    <t>meligao@hotmail.com</t>
  </si>
  <si>
    <t>ESE DE RAQUIRA</t>
  </si>
  <si>
    <t>SALAMANCA BALLESTEROS YENNY CAROLINA</t>
  </si>
  <si>
    <t>karo2001.sb@gmail.com</t>
  </si>
  <si>
    <t>CARRERA 3 NO 3-31</t>
  </si>
  <si>
    <t>LUNA HIGUERA SORAYA VALENTINA</t>
  </si>
  <si>
    <t>higueraluna846@gmail.com</t>
  </si>
  <si>
    <t>VEREDA BONZA PAIPA</t>
  </si>
  <si>
    <t>GUTIERREZ CACERES TATIANA IBETH</t>
  </si>
  <si>
    <t>tatianagutierrez015@gmail.com</t>
  </si>
  <si>
    <t>CENTRO - ESE</t>
  </si>
  <si>
    <t>ROJAS HERNANDEZ JESICA PAOLA</t>
  </si>
  <si>
    <t>rojasjesica031@gmail.com</t>
  </si>
  <si>
    <t>CENTRO DE SALUD SAN PABLO DE BORBUR</t>
  </si>
  <si>
    <t>MORENO ANZOLA MAYRA ALEJANDRA</t>
  </si>
  <si>
    <t>maimoreno@uniboyaca.edu.co</t>
  </si>
  <si>
    <t>CARRERA 5 NO 2-75 OTANCHE</t>
  </si>
  <si>
    <t>SANDOVAL TORRES LUISA MARIA</t>
  </si>
  <si>
    <t>luisamariasandovaltorres@gmail.com</t>
  </si>
  <si>
    <t>BARRIO NUEVA ESPERANZA CASA 2 SACHICA</t>
  </si>
  <si>
    <t>TORRES DELGADILLO JAVIER YESID</t>
  </si>
  <si>
    <t>javi_yecid@hotmail.com</t>
  </si>
  <si>
    <t>ESE SAN PABLO DE B</t>
  </si>
  <si>
    <t>OBANDO FORERO JESSICA JULIANA</t>
  </si>
  <si>
    <t>Jj.obandofore@gmail.com</t>
  </si>
  <si>
    <t>CARRERA 4 NO 4-16</t>
  </si>
  <si>
    <t>YESICA ALEXANDRA LOPEZ RUEDA</t>
  </si>
  <si>
    <t>yesikitha456@gmail.com</t>
  </si>
  <si>
    <t>HERNANDEZ SANCHEZ LEIDY YURELY</t>
  </si>
  <si>
    <t>yurleyh838@gmail.com</t>
  </si>
  <si>
    <t>APONTE GONZALEZ ANGELICA MARIA</t>
  </si>
  <si>
    <t>angelicaaponte2019@gmail.com</t>
  </si>
  <si>
    <t>ESE CENTRO DE SALUD DE SACHICA</t>
  </si>
  <si>
    <t>Cristian Felipe Gil Castiblanco</t>
  </si>
  <si>
    <t>2rc9vhy7cz@privaterelay.appleid.com</t>
  </si>
  <si>
    <t>BARRERA VARGAS LUZ AMANDA</t>
  </si>
  <si>
    <t>amandithabarrera@gmail.com</t>
  </si>
  <si>
    <t>CARRERA 6 NO 7-16</t>
  </si>
  <si>
    <t>PINTO ROMERO DEISY YURANY</t>
  </si>
  <si>
    <t>deysiromero878@gmail.com</t>
  </si>
  <si>
    <t>VEREDA HATO VIEJO LABRANZAGRANDE</t>
  </si>
  <si>
    <t>GONZALEZ YEFFERSON GARCIA</t>
  </si>
  <si>
    <t>garciagonzalezyefferson2@gmail.conn</t>
  </si>
  <si>
    <t>CENTRO TOPAGA</t>
  </si>
  <si>
    <t>TORRES RODRIGUEZ JAVIER ALEXANDER</t>
  </si>
  <si>
    <t>javiertorresgim@gmail.com</t>
  </si>
  <si>
    <t>CARRERA 23 NO 16-86</t>
  </si>
  <si>
    <t>MONTAÑA LOMBANA ROYER ALEJANDRO</t>
  </si>
  <si>
    <t>rmontana466@gmail.com</t>
  </si>
  <si>
    <t>CENTRO PAYA</t>
  </si>
  <si>
    <t>FORERO MOLINA ANGIE KATHERINE</t>
  </si>
  <si>
    <t>foreromolinaangiekatherine@gmail.com</t>
  </si>
  <si>
    <t>VEREDA TORRES RAQUIRA</t>
  </si>
  <si>
    <t>CELIS SANCHEZ ELIAN FRANCISCO</t>
  </si>
  <si>
    <t>elfacesa@gmail.com</t>
  </si>
  <si>
    <t>CARRERA 5 NO 10-28</t>
  </si>
  <si>
    <t>CALDERON GONZALEZ PAULA JEIMY</t>
  </si>
  <si>
    <t>jeimycg.18@gmail.com</t>
  </si>
  <si>
    <t>CALLE 5 NO 5-15</t>
  </si>
  <si>
    <t>JULIANA VALENTINA LEON ARAQUE</t>
  </si>
  <si>
    <t>valentinaleon25052003@gmail.com</t>
  </si>
  <si>
    <t>HOLGUIN URRUTIA SARA FERNANDA</t>
  </si>
  <si>
    <t>fernandaholurr@hotmail.com</t>
  </si>
  <si>
    <t>ESE D EPISBA</t>
  </si>
  <si>
    <t>VIRGHIT VANETH VACCA ROPERO</t>
  </si>
  <si>
    <t>vaccaropero@gmail.com</t>
  </si>
  <si>
    <t>ESE DE LABRANZAGRANDE</t>
  </si>
  <si>
    <t>CARRILLO ARDILA LUIS MIGUEL</t>
  </si>
  <si>
    <t>miguelcarrillo1008@gmail.com</t>
  </si>
  <si>
    <t>GORDILLO ZAMUDIO CLAUDIA DEL CARMEN</t>
  </si>
  <si>
    <t>cladiwn@hotmail.com</t>
  </si>
  <si>
    <t>CARRERA 6 NO 10-110 QUIPAMA</t>
  </si>
  <si>
    <t>DIANA FLOREZ</t>
  </si>
  <si>
    <t>dianajakeline900@gmail.com</t>
  </si>
  <si>
    <t>CENTRO SOGAMOSO</t>
  </si>
  <si>
    <t>LAURA TATIANA CASALLAS SOTAQUIRA</t>
  </si>
  <si>
    <t>laucasallas35@gmail.com</t>
  </si>
  <si>
    <t>TORRE 5 APTP 502 T DE AQUITANIA</t>
  </si>
  <si>
    <t>BARRERA ALARCON LEIDY YUMARY</t>
  </si>
  <si>
    <t>leyubaalar24@gmail.com</t>
  </si>
  <si>
    <t>CLLE 2B NO 8-81 SOGAMOSO</t>
  </si>
  <si>
    <t>GARNICA RODRIGUEZ ANGIE LILIANA</t>
  </si>
  <si>
    <t>angiegarnicarodriguez0503@gmail.com</t>
  </si>
  <si>
    <t>BARRIO CHCO ALTO QUIPAMA</t>
  </si>
  <si>
    <t>VARGAS VARGAS ADRIANA YASMIN</t>
  </si>
  <si>
    <t>vargasvargasadriana90@gmail.com</t>
  </si>
  <si>
    <t>VEREDA CHAMEZ AMENOR NOBSA</t>
  </si>
  <si>
    <t>CASTRO TORRES HEIDY MAYERLY</t>
  </si>
  <si>
    <t>nathalyplazas.14@gmail.com</t>
  </si>
  <si>
    <t>HERNANDEZ CORREDOR DIANA PAOLA</t>
  </si>
  <si>
    <t>danaheco@hotmail.com</t>
  </si>
  <si>
    <t>USCATEGUI FUENTES ANA JUDITH</t>
  </si>
  <si>
    <t>judithuscategui28@gmail.com</t>
  </si>
  <si>
    <t>AYALA DELGADO JULIANA ANDREA</t>
  </si>
  <si>
    <t>ayaladelgadojulianaandrea@gmail.com</t>
  </si>
  <si>
    <t>CALLE 8 NO 5-33</t>
  </si>
  <si>
    <t>MARTIN RODRIGUEZ MARIA ANGELICA</t>
  </si>
  <si>
    <t>mariangel_200@hotmail.com</t>
  </si>
  <si>
    <t>CONTRO TOPAGA</t>
  </si>
  <si>
    <t>LASSO ARCINIEGAS NATHALIA SOFIA</t>
  </si>
  <si>
    <t>naatasofia@gmail.com</t>
  </si>
  <si>
    <t>CENTRO DE SALUD DE RAQUIRA</t>
  </si>
  <si>
    <t>VARGAS VELANDIA JULIANA</t>
  </si>
  <si>
    <t>1019003321jvs@gmail.com</t>
  </si>
  <si>
    <t>VARGAS VEGA DIANA MILENA</t>
  </si>
  <si>
    <t>diviscat1126@gmail.com</t>
  </si>
  <si>
    <t>SANCHEZ MORALES JOSE MIGUEL</t>
  </si>
  <si>
    <t>jmisanchezm@gmail.com</t>
  </si>
  <si>
    <t>VARRERA 25 NO 4-10</t>
  </si>
  <si>
    <t>MIGUEL ANGEL OSMA TORRES</t>
  </si>
  <si>
    <t>facturacionelectronicafig@figarantias.com</t>
  </si>
  <si>
    <t>JYRETH STEFANNY TRIANA ARIAS</t>
  </si>
  <si>
    <t>stefanny420@gmail.com</t>
  </si>
  <si>
    <t>VEREDA LA CALICHORRA LA VICTORIA</t>
  </si>
  <si>
    <t>RIOS DIXON</t>
  </si>
  <si>
    <t>dixongiovannyrioscastellanos@gmail.com</t>
  </si>
  <si>
    <t>VARGAS LOPEZ LICETH CAROLINA</t>
  </si>
  <si>
    <t>lizz.lpez@gmail.com</t>
  </si>
  <si>
    <t>VEREDA EL CAJON</t>
  </si>
  <si>
    <t>CASTRO PEÑA IVAN DARIO</t>
  </si>
  <si>
    <t>dario0508@hotmail.com</t>
  </si>
  <si>
    <t>LEAL GOYENECHE OLIVIA</t>
  </si>
  <si>
    <t>Axlleal@gmail.com</t>
  </si>
  <si>
    <t>SOCOTA CENTRO</t>
  </si>
  <si>
    <t>ROJAS TORRES CESAR RICARDO</t>
  </si>
  <si>
    <t>rirojas77@gmail.com</t>
  </si>
  <si>
    <t>TRANSVERSAL 7 NO 10-04 AQUITANIA</t>
  </si>
  <si>
    <t>JIMENEZ BARRERA JAVIER CAMILO</t>
  </si>
  <si>
    <t>jcjimenezb@unal.edu.co</t>
  </si>
  <si>
    <t>CARRERA 13 A NO 20-18</t>
  </si>
  <si>
    <t>MARÍA PAOLA</t>
  </si>
  <si>
    <t>recepcionconsumidorfinal@juanvaldezcafe.com</t>
  </si>
  <si>
    <t>BARRAZA GOMEZ ESTEFANY CAROLINA</t>
  </si>
  <si>
    <t>estefany.barrazagomez@hotmail.com</t>
  </si>
  <si>
    <t>QUIROZ COSSIO MONICA PATRICIA</t>
  </si>
  <si>
    <t>monipaty.mq@gmail.com</t>
  </si>
  <si>
    <t>LABRANZAGRANDE CENTRO</t>
  </si>
  <si>
    <t>ALBORNOZ VELASCO GENIFER DAYANA</t>
  </si>
  <si>
    <t>genifer.albornoz@gmail.com</t>
  </si>
  <si>
    <t>CARRERA 4 NO 04-06 SPBORBUR</t>
  </si>
  <si>
    <t>FONSECA OJEDA JUAN SEBASTIAN</t>
  </si>
  <si>
    <t>estacionsanluis@hotmail.com</t>
  </si>
  <si>
    <t>KILOMETRO 12 VIA TUNJA PAIPA</t>
  </si>
  <si>
    <t>Javier Mesa Vargas</t>
  </si>
  <si>
    <t>mesavargas_javier@hotmail.com</t>
  </si>
  <si>
    <t>CALLE 18 NO 9-64</t>
  </si>
  <si>
    <t>ROMERO PULIDO DARLYN NALLIVE</t>
  </si>
  <si>
    <t>darlin.nromero2@gmail.com</t>
  </si>
  <si>
    <t>BARRIO METROPOLIS CASA 72 P DE RIO</t>
  </si>
  <si>
    <t>OLGA VANESSA MANRIQUE ARISMENDY</t>
  </si>
  <si>
    <t>vanessamanrique1997@gmail.com</t>
  </si>
  <si>
    <t>CENTRO TASCO</t>
  </si>
  <si>
    <t>AMAYA ROJAS PAULA FERNANDA</t>
  </si>
  <si>
    <t>pfamaya@uniboyaca.edu.co</t>
  </si>
  <si>
    <t>CALLE 15 NO 8-17</t>
  </si>
  <si>
    <t>ROMERO DURAN ANA YUSLEIVE</t>
  </si>
  <si>
    <t>anaromerod419@gmail.com</t>
  </si>
  <si>
    <t>PISBA CENTRO</t>
  </si>
  <si>
    <t>CHAPARRO ALARCON ARCENIO</t>
  </si>
  <si>
    <t>archalarcon@hotmail.com</t>
  </si>
  <si>
    <t>CALLE 5 NO 5-51 AQUITANIA</t>
  </si>
  <si>
    <t>RAMIREZ RAMIREZ DIANA ASTRID</t>
  </si>
  <si>
    <t>dianaramirez1290@gmail.com</t>
  </si>
  <si>
    <t>SANTOS HOLGUIN MABEL LICETH</t>
  </si>
  <si>
    <t>mabelisaho10@hotmail.com</t>
  </si>
  <si>
    <t>CALE 5 NO 5 50</t>
  </si>
  <si>
    <t>RODRIGUEZ CEPEDA LEIDY ESTHER</t>
  </si>
  <si>
    <t>leidyrodriguezc20@gmail.com</t>
  </si>
  <si>
    <t>LOPEZ TALERO FRANKLYN SNEIDER</t>
  </si>
  <si>
    <t>fslopez21@gmail.com</t>
  </si>
  <si>
    <t>CARDOZO FIGUEREDO WILMER ELIAS</t>
  </si>
  <si>
    <t>wili170993@hotmail.com</t>
  </si>
  <si>
    <t>TORRES DE AQUITANIA T4B APTO 504</t>
  </si>
  <si>
    <t>GUANUME CHAPARRO TATIANA DEL PILAR</t>
  </si>
  <si>
    <t>tdelpilar52@gmail.com</t>
  </si>
  <si>
    <t>CENTRO AQUITANIA</t>
  </si>
  <si>
    <t>ACEVEDO ALARCON ROBINSON STIVEN</t>
  </si>
  <si>
    <t>stivena123456@gmail.com</t>
  </si>
  <si>
    <t>CHAPARRO SANTOS ERIKA YOHANA</t>
  </si>
  <si>
    <t>erikachas96@hotmail.com</t>
  </si>
  <si>
    <t>CARRERA 6 NO 7-60</t>
  </si>
  <si>
    <t>LEMUS GOMEZ ADRIANA PAOLA</t>
  </si>
  <si>
    <t>lemusadriana203@gmail.com</t>
  </si>
  <si>
    <t>VEREDA HATO VIEJO</t>
  </si>
  <si>
    <t>CADENA VEGA ANA MARIA</t>
  </si>
  <si>
    <t>anamariacadena_20@hotmail.com</t>
  </si>
  <si>
    <t>AQUITANIA CENTRO</t>
  </si>
  <si>
    <t>Andrea Forero</t>
  </si>
  <si>
    <t>andjohforero@uniboyaca.edu.co</t>
  </si>
  <si>
    <t>CALLE 4 NO 10-49 C 210</t>
  </si>
  <si>
    <t>MELO FIGUEROA LEIDY XIMENA</t>
  </si>
  <si>
    <t>jack13lml@gmail.com</t>
  </si>
  <si>
    <t>CENTRO DE SALUD PISBA</t>
  </si>
  <si>
    <t>SANABRIA GRANADOS FERNEY DANILO</t>
  </si>
  <si>
    <t>ferneysanabria14@gmail.com</t>
  </si>
  <si>
    <t>RODRIGUEZ GUERRERO MARIA VALENTINA</t>
  </si>
  <si>
    <t>vr744943@gmail.com</t>
  </si>
  <si>
    <t>REYES GONZALEZ YENNY PAOLA</t>
  </si>
  <si>
    <t>yennypaolareyes3007@gmail.com</t>
  </si>
  <si>
    <t>SECTOR PATIOS BLANCOS FLORESTA</t>
  </si>
  <si>
    <t>CASTRO CASTRO YAMILE ESPERANZA</t>
  </si>
  <si>
    <t>yami22castro84@gmail.com</t>
  </si>
  <si>
    <t>CALLE 7 NO 10-18</t>
  </si>
  <si>
    <t>CARO ALARCON DEICY MARCELA</t>
  </si>
  <si>
    <t>dema_071@hotmail.com</t>
  </si>
  <si>
    <t>CALLE 7 NO 9-55</t>
  </si>
  <si>
    <t>CARVAJAL RIVERA GEITHNER VIVIANA</t>
  </si>
  <si>
    <t>yeiquim269@hotmail.es</t>
  </si>
  <si>
    <t>CALLE 7 NO 11-01</t>
  </si>
  <si>
    <t>IVAN SUAREZ</t>
  </si>
  <si>
    <t>Cyberplaysena@gmail.com</t>
  </si>
  <si>
    <t>AV CIRCUNVALAR NO 22-98</t>
  </si>
  <si>
    <t>DIAZ RINCON LEIDY JOHANA</t>
  </si>
  <si>
    <t>leidydiazrincon@gmail.com</t>
  </si>
  <si>
    <t>ROJAS RODRIGUEZ KATERIN ALEXANDRA</t>
  </si>
  <si>
    <t>katerinalexandrarojas@gmail.com</t>
  </si>
  <si>
    <t>CALLE 4 NO 4-41</t>
  </si>
  <si>
    <t>INACTIVO / NO ENCONTRADO</t>
  </si>
  <si>
    <t>CARRERA 10A NO 29A-40</t>
  </si>
  <si>
    <t>PIÑEROS FORERO LINA ALEJANDRA</t>
  </si>
  <si>
    <t>alejandraptrabajo@gmail.com</t>
  </si>
  <si>
    <t>CARRERA 10C NO 33-55</t>
  </si>
  <si>
    <t>ATUESTA CANO ANGELA MARIA</t>
  </si>
  <si>
    <t>angela.atuesta.cano046@gmail.com</t>
  </si>
  <si>
    <t>CRISTANCHO CHIA JUAN DIEGO</t>
  </si>
  <si>
    <t>juandiegocristancho15@gmail.com</t>
  </si>
  <si>
    <t>CENTRO DE SALUD PAYA</t>
  </si>
  <si>
    <t>COLMENARES ROJAS MANUELA</t>
  </si>
  <si>
    <t>manuela.colmenares1@gmail.com</t>
  </si>
  <si>
    <t>CALLE 18 NO 20-10</t>
  </si>
  <si>
    <t>FONSECA GUEVARA DIANA ROCIO</t>
  </si>
  <si>
    <t>dianafonseca183@gmail.com</t>
  </si>
  <si>
    <t>CENTRO DE SALUD DE TASCO</t>
  </si>
  <si>
    <t>DIAZ PIDIACHE MILTON EDUARDO</t>
  </si>
  <si>
    <t>miltondiaz643@yahoo.com</t>
  </si>
  <si>
    <t>JOHAN REYES</t>
  </si>
  <si>
    <t>FONSECA COLMENARES WILLIAM FERNANDO</t>
  </si>
  <si>
    <t>williamffcol@gmail.com</t>
  </si>
  <si>
    <t>CARRERA 4 NO 3-32</t>
  </si>
  <si>
    <t>CASTAÑEDA TORRES LUZ MERY</t>
  </si>
  <si>
    <t>luzmerycastaneda13@gmail.com</t>
  </si>
  <si>
    <t>CARRERA 4 NO 7-07 CORRALES</t>
  </si>
  <si>
    <t>SALINAS PEÑA MAIRA PAOLA</t>
  </si>
  <si>
    <t>paitos1801@gmail.com</t>
  </si>
  <si>
    <t>CALLE 17 NO 10-40</t>
  </si>
  <si>
    <t>CAICEDO BONILLA EINAR YESID</t>
  </si>
  <si>
    <t>karendanielacaicedo06@gmail.com</t>
  </si>
  <si>
    <t>SANTA BARBARA CENTRO</t>
  </si>
  <si>
    <t>CARO VARELA ZULAY TATIANA</t>
  </si>
  <si>
    <t>ztcv05@gmail.com</t>
  </si>
  <si>
    <t>AREVALO MARTINEZ LICETH TATIANA</t>
  </si>
  <si>
    <t>listatis_98@hotmail.com</t>
  </si>
  <si>
    <t>CALLE 4 NO 5-74 SPB</t>
  </si>
  <si>
    <t>CAÑÓN MENESES OSCAR FERNANDO</t>
  </si>
  <si>
    <t>oscarmikelore28@gmail.com</t>
  </si>
  <si>
    <t>ESE CENTRO DE SALUD SAN PABLO DE BORBUR</t>
  </si>
  <si>
    <t>NICOLAS DAVID ACOSTA MEDINA</t>
  </si>
  <si>
    <t>acostamedina024@gmail.com</t>
  </si>
  <si>
    <t>CALLE 29 N 12B -42</t>
  </si>
  <si>
    <t>ESTUPIÑAN SANTANA LEYDI JOHANA</t>
  </si>
  <si>
    <t>lejoesa86@hotmail.com</t>
  </si>
  <si>
    <t>ESE DE IZA</t>
  </si>
  <si>
    <t>TORRES CHAPARRO ANGELA PATRICIA</t>
  </si>
  <si>
    <t>milu16_@hotmail.com</t>
  </si>
  <si>
    <t>TOLEDO LIZCANO MARIA CRISTINA</t>
  </si>
  <si>
    <t>chrystinatoledo@gmail.com</t>
  </si>
  <si>
    <t>CENTRO IZA BOYACA</t>
  </si>
  <si>
    <t>ROJAS VARGAS LINA ESTEFANNY</t>
  </si>
  <si>
    <t>lina.e.rojas.vargas@gmail.com</t>
  </si>
  <si>
    <t>VEREDA TOQUILLA IZA</t>
  </si>
  <si>
    <t>MARIÑO ZAMBRANO JULIETH JERALDIN</t>
  </si>
  <si>
    <t>jeraldinmarino0@gmail.com</t>
  </si>
  <si>
    <t>B VILLA ROSITA CASA 41 IZA</t>
  </si>
  <si>
    <t>MORENO PAMPLONA DEISY PATRICIA</t>
  </si>
  <si>
    <t>deimp2213@gmail.com</t>
  </si>
  <si>
    <t>CALLE 7 NO 2-56</t>
  </si>
  <si>
    <t>GUAUQUE FLOREZ PAULA ISABELLA</t>
  </si>
  <si>
    <t>pguauquef@gmail.com</t>
  </si>
  <si>
    <t>CARRERA 8A NO 7-53</t>
  </si>
  <si>
    <t>CELY CRISTANCHO JUANY KATHERINE</t>
  </si>
  <si>
    <t>jkcely-0988@hotmail.com</t>
  </si>
  <si>
    <t>CALLE 1 NO 11-91 SOGAMOSO</t>
  </si>
  <si>
    <t>GUAUQUE GARCIA ELIANA PATRICIA</t>
  </si>
  <si>
    <t>adolfolarrta718@gmail.com</t>
  </si>
  <si>
    <t>AV LIBERTADORES 25-13</t>
  </si>
  <si>
    <t>PACHECO CIFUENTES LAURA ALEJANDRA</t>
  </si>
  <si>
    <t>alejandrapacheco202@gmail.com</t>
  </si>
  <si>
    <t>PARRA VEGA YAQUELINE</t>
  </si>
  <si>
    <t>yaqui862009@hotmail.com</t>
  </si>
  <si>
    <t>BARRIO PLAZUELA TASCO</t>
  </si>
  <si>
    <t>FONSECA JOYA MARGHY DANIELA</t>
  </si>
  <si>
    <t>mardanfonseca1217@gmail.com</t>
  </si>
  <si>
    <t>CARRERA 7 NO 6-68</t>
  </si>
  <si>
    <t>GARCIA JIMENEZ YEIMY YANETH</t>
  </si>
  <si>
    <t>yeimy.gar@hotmail.com</t>
  </si>
  <si>
    <t>CALLE 8 NO 8-73</t>
  </si>
  <si>
    <t>JEFFERSON FERNANDO CHAVEZ GOMEZ</t>
  </si>
  <si>
    <t>jeffer_201165@hotmail.com</t>
  </si>
  <si>
    <t>RINCON MURCIA CLAUDIA MARCELA</t>
  </si>
  <si>
    <t>claumar2-90@hotmail.com</t>
  </si>
  <si>
    <t>VEREDA E ESPINAL</t>
  </si>
  <si>
    <t>ISABELLA</t>
  </si>
  <si>
    <t>moda26@dmoda.co</t>
  </si>
  <si>
    <t>CALLE 10 NO 16-34 SOGAMOSO</t>
  </si>
  <si>
    <t>ESPAÑOL CORDOBA ANA MILENA</t>
  </si>
  <si>
    <t>anamile.es.co95@hotmail.com</t>
  </si>
  <si>
    <t>BARRIO LAS CHAPITAL RAQUIRA</t>
  </si>
  <si>
    <t>GONZALEZ CIPRIAN DIEGO YESID</t>
  </si>
  <si>
    <t>CARRERA 88 C NO 39 43 SUR</t>
  </si>
  <si>
    <t>NIÑO GONZALEZ MIRYAM ANDREA</t>
  </si>
  <si>
    <t>andreanio570@yahoo.com</t>
  </si>
  <si>
    <t>ENTRO LABRANZAGRANDE</t>
  </si>
  <si>
    <t>PACHON BELTRAN DIANA MARIA</t>
  </si>
  <si>
    <t>pachondianamaria@gmail.com</t>
  </si>
  <si>
    <t>VEREDA SAN MARTIN SP DE BORBUR</t>
  </si>
  <si>
    <t>SANCHEZ AVILA ANA LIZETH</t>
  </si>
  <si>
    <t>morenitasanchez1995@gmail.com</t>
  </si>
  <si>
    <t>JIMENEZ CRUZ NICOLAS SANTIAGO</t>
  </si>
  <si>
    <t>nicolas19jimenez@gmail.com</t>
  </si>
  <si>
    <t>SOTELO CASTELLANOS ERLY YADIRA</t>
  </si>
  <si>
    <t>erlyyaira@gmail.com</t>
  </si>
  <si>
    <t>ESE DE SAN PABLO DE BORBUR</t>
  </si>
  <si>
    <t>ALBA YAGAMA CESAR HUMBERTO</t>
  </si>
  <si>
    <t>calbayagama@gmail.com</t>
  </si>
  <si>
    <t>CALLE 3 NO 3-31 SACHICA</t>
  </si>
  <si>
    <t>JEREZ REYES JHOAN FERNEY</t>
  </si>
  <si>
    <t>johanjerez315@gmail.com</t>
  </si>
  <si>
    <t>CALLE 2 NO 4-79</t>
  </si>
  <si>
    <t>DAZA MURILLO MARY STEFANY</t>
  </si>
  <si>
    <t>stefanydaza256@gmail.com</t>
  </si>
  <si>
    <t>ESE SAN PABLO D EBORBUR</t>
  </si>
  <si>
    <t>SARA VALERIE ORTIZ MORENO</t>
  </si>
  <si>
    <t>09valeriemoreno09@yahoo.com</t>
  </si>
  <si>
    <t>ROJAS NEIZA ERIKA DANIELA</t>
  </si>
  <si>
    <t>danielarneiza@gmail.com</t>
  </si>
  <si>
    <t>CARRERA 2 NO 2-22 SPB</t>
  </si>
  <si>
    <t>RODRIGUEZ ANZOLA ZULY PAOLA</t>
  </si>
  <si>
    <t>paopao071092@gmail.com</t>
  </si>
  <si>
    <t>RUIZ HERNANDEZ KAREN LISBETH</t>
  </si>
  <si>
    <t>karenruiz200617@outloook.com</t>
  </si>
  <si>
    <t>VEREDA SAN MARTRIN SP DE BORBUR</t>
  </si>
  <si>
    <t>CASTELLANOS ESPITIA DIEGO ALEXANDER</t>
  </si>
  <si>
    <t>alexca.1153a@gmail.com</t>
  </si>
  <si>
    <t>CENTRO S PABLO DE BORBUR</t>
  </si>
  <si>
    <t>GUTIERREZ SUAREZ LINA MAYERLY</t>
  </si>
  <si>
    <t>gutierezlina359@gmail.com</t>
  </si>
  <si>
    <t>VEREDA LA MESA</t>
  </si>
  <si>
    <t>EYDER YOJHAN MORENO ALBORNOZ</t>
  </si>
  <si>
    <t>elkin03882@gmail.com</t>
  </si>
  <si>
    <t>VEREDA LA MESA SP DE BORBUR</t>
  </si>
  <si>
    <t>MOJICA GUTIERREZ YURI LORENA</t>
  </si>
  <si>
    <t>yirena78@gmail.com</t>
  </si>
  <si>
    <t>CARRERA 5 NO 5-05</t>
  </si>
  <si>
    <t>PADILLA CALLE FABIAN ESTEBAN</t>
  </si>
  <si>
    <t>fabianpcallle@gmail.com</t>
  </si>
  <si>
    <t>ACEVEDO CARO DAISY PAOLA</t>
  </si>
  <si>
    <t>acevedodeisy47@gmail.com</t>
  </si>
  <si>
    <t>CENTRO GAMEZA</t>
  </si>
  <si>
    <t>CARDOZO SUAREZ ANDREA VIVIANA</t>
  </si>
  <si>
    <t>andreavicasu3@gmail.com</t>
  </si>
  <si>
    <t>CARRERA 27 NO 16-68 SOGAMOSO</t>
  </si>
  <si>
    <t>OMAIRA MOLANO CHAPARRO</t>
  </si>
  <si>
    <t>josegomez_transportes@hotmail.com</t>
  </si>
  <si>
    <t>CARRERA 12 NO 11-14</t>
  </si>
  <si>
    <t>EVELIN MELIZA RODRIGUEZ BAUTISTA</t>
  </si>
  <si>
    <t>emelimelisarodriguezbautista@yahoo.com</t>
  </si>
  <si>
    <t>VEREDA GUANTO GAMEZA</t>
  </si>
  <si>
    <t>HIGUERA WALTEROS JAQUELINE</t>
  </si>
  <si>
    <t>jakis1987@gmail.com</t>
  </si>
  <si>
    <t>CARRERA 4 NO 3-42</t>
  </si>
  <si>
    <t>MONROY SALAMANCA AUDREY LISETH</t>
  </si>
  <si>
    <t>audrey.20@hotmail.es</t>
  </si>
  <si>
    <t>CENTRO SNATA MARIA BOYACA</t>
  </si>
  <si>
    <t>BOADA RAIRAN ISABEL CRISTINA</t>
  </si>
  <si>
    <t>isabelboadar@gmail.com</t>
  </si>
  <si>
    <t>CALLE 9A NO 28-48</t>
  </si>
  <si>
    <t>ROJAS PEREZ LUIS ALFREDO</t>
  </si>
  <si>
    <t>lunky_55_vida@hotmail.com</t>
  </si>
  <si>
    <t>CASTILLO CAMARGO JAIRO GIOVANNY</t>
  </si>
  <si>
    <t>jgc110774@gmail.com</t>
  </si>
  <si>
    <t>CARRERA 6B NO 4-31 SOGAMOSO</t>
  </si>
  <si>
    <t>FONSECA PEREZ HESNE MARIANA</t>
  </si>
  <si>
    <t>anairm28@hotmail.com</t>
  </si>
  <si>
    <t>NOSSA GONZALEZ ANGELA JOHANA</t>
  </si>
  <si>
    <t>anjohana91@gmail.com</t>
  </si>
  <si>
    <t>PRADO VERDE SOGAMOSO</t>
  </si>
  <si>
    <t>CHAPARRO FERNANDEZ VICTORIA ADA</t>
  </si>
  <si>
    <t>milenao537@hotmail.com</t>
  </si>
  <si>
    <t>CARRERA 13 NO 12-49</t>
  </si>
  <si>
    <t>UNIVIO RODRIGUEZ PAOLA ALEJANDRA</t>
  </si>
  <si>
    <t>paur-15@hotmail.com</t>
  </si>
  <si>
    <t>CARRERA 9 NO 10-29 SOGAMOSO</t>
  </si>
  <si>
    <t>PADILLA ZAMBRANO MONICA ANDREA</t>
  </si>
  <si>
    <t>ronalbala_91@hotmail.com</t>
  </si>
  <si>
    <t>CALLE 31 BIS NO 8-02</t>
  </si>
  <si>
    <t>VARGAS NEIZA JONY FERNANDO</t>
  </si>
  <si>
    <t>jhonnyneiza30@gmail.com</t>
  </si>
  <si>
    <t>CARRERA 10 NO 12-06</t>
  </si>
  <si>
    <t>MORA GUTIERREZ WILLIAM RICARDO</t>
  </si>
  <si>
    <t>wricardo.mora01@gmail.com</t>
  </si>
  <si>
    <t>CARRERA 20A NO 14-25</t>
  </si>
  <si>
    <t>VELANDIA SIERRA JUAN DAVID</t>
  </si>
  <si>
    <t>velandiajuancho5@gmail.com</t>
  </si>
  <si>
    <t>CARRERA 18 NO 7-46 SOGAMOSO</t>
  </si>
  <si>
    <t>QUEMBA CORREDOR DIANA CAROLINA</t>
  </si>
  <si>
    <t>quembadiana@gmail.com</t>
  </si>
  <si>
    <t>CARRERA 4 NO 2-13 PAYA</t>
  </si>
  <si>
    <t>BAYONA BOTIA NATALIA ANDREA</t>
  </si>
  <si>
    <t>bayonanatu@gmail.com</t>
  </si>
  <si>
    <t>CARRERA 10 NO 27-82 SOGAMOSO</t>
  </si>
  <si>
    <t>PEREZ GALVIS DIANA CAROLINA</t>
  </si>
  <si>
    <t>dicapega07@gmail.com</t>
  </si>
  <si>
    <t>CARRERA 10B BIS NO 43-06</t>
  </si>
  <si>
    <t>CEPEDA MESA ANGIE LORENA</t>
  </si>
  <si>
    <t>angielorenacepeda1@gmail.com</t>
  </si>
  <si>
    <t>GOMEZ PINZON GINA MARCELA</t>
  </si>
  <si>
    <t>MARCE1896_@hotmail.com</t>
  </si>
  <si>
    <t>CALLE 6 NO 8-72</t>
  </si>
  <si>
    <t>PEREZ RIVEROS BENJAMIN OLMEDO</t>
  </si>
  <si>
    <t>bperezriveros02@gmail.com</t>
  </si>
  <si>
    <t>CALLE 7 NO 10-44 SOGAMOSO</t>
  </si>
  <si>
    <t>CHAPARRO GONZALEZ MAIRA ALEJANDRA</t>
  </si>
  <si>
    <t>m96alejach@gmail.com</t>
  </si>
  <si>
    <t>CALLE 43B NO 10B-46 SOGAMOSO</t>
  </si>
  <si>
    <t>DAZA RODRIGUEZ KAREN PAOLA</t>
  </si>
  <si>
    <t>kpdazarion@gmail.com</t>
  </si>
  <si>
    <t>CALLE 1 NO 8-64</t>
  </si>
  <si>
    <t>CASTAÑEDA GUTIERREZ PAULA ANDREA</t>
  </si>
  <si>
    <t>paulaandre1898@gmail.com</t>
  </si>
  <si>
    <t>CARRERA 4 NO 8-31 SOGAMOSO</t>
  </si>
  <si>
    <t>PAN HERNANDEZ YOLY MARCELA</t>
  </si>
  <si>
    <t>marcelapan98@gmail.com</t>
  </si>
  <si>
    <t>GUEVARA RINCON ANAMARIA</t>
  </si>
  <si>
    <t>anagr26rn@gmail.com</t>
  </si>
  <si>
    <t>CALLE 55 NO 11C-58</t>
  </si>
  <si>
    <t>GARCIA RIVERA JOSE JUBERNEL</t>
  </si>
  <si>
    <t>riveraanderson679@gmail.com</t>
  </si>
  <si>
    <t>GARCIA RIVERA BLANCA YORAIMA</t>
  </si>
  <si>
    <t>yorisgarcia6@gmail.com</t>
  </si>
  <si>
    <t>CALLE 4 NO 4-5 PAYA</t>
  </si>
  <si>
    <t>MARIA SULEINE GARCIA RIVERA</t>
  </si>
  <si>
    <t>suleygarcia2601@gmail.com</t>
  </si>
  <si>
    <t>B ALTOS DE SAN DIEGO PAYA</t>
  </si>
  <si>
    <t>CELY PEREZ LISBETH TATIANA</t>
  </si>
  <si>
    <t>ltcely@uniboyaca.edu.co</t>
  </si>
  <si>
    <t>CARRERA 5 NO 03-09 PAYA</t>
  </si>
  <si>
    <t>SIERRA BUITRAGO ESPERANZA</t>
  </si>
  <si>
    <t>esb1884@hotmail.com</t>
  </si>
  <si>
    <t>IBAGUE PINILLA LILIANA</t>
  </si>
  <si>
    <t>ivagueliliana@hotmail.com</t>
  </si>
  <si>
    <t>BARRIO MIRAFLORES RAQUIRA</t>
  </si>
  <si>
    <t>RODRIGUEZ BUITRAGO EDILMA</t>
  </si>
  <si>
    <t>edilmarb74@gmail.com</t>
  </si>
  <si>
    <t>CARRERA 1C NO 3-15</t>
  </si>
  <si>
    <t>CASTILLO VARGAS YUDI ANDREA</t>
  </si>
  <si>
    <t>yudy9245@gmail.com</t>
  </si>
  <si>
    <t>CENTRO RAQUIRA</t>
  </si>
  <si>
    <t>MURCIA BAUTISTA ANA PAOLA</t>
  </si>
  <si>
    <t>pmurcia460@gmail.com</t>
  </si>
  <si>
    <t>HERNANDEZ GONZALEZ LUIS MIGUEL</t>
  </si>
  <si>
    <t>lumihergo@gmail.com</t>
  </si>
  <si>
    <t>YULI TATIANA CAMACHO BARRETO</t>
  </si>
  <si>
    <t>YULITATIANACAMACHOB@GMAIL.COM</t>
  </si>
  <si>
    <t>CALLE 7 NO 5-66</t>
  </si>
  <si>
    <t>MONTAÑEZ BARRERA ELIANA ASTRID</t>
  </si>
  <si>
    <t>eliasmoba132015@gmail.com</t>
  </si>
  <si>
    <t>CALLE 7 NO 6-17 TOPAGA</t>
  </si>
  <si>
    <t>PEREZ LEIDY</t>
  </si>
  <si>
    <t>ADAME ZAMBRANO PAULA ANDREA</t>
  </si>
  <si>
    <t>paula.adame90@gmail.com</t>
  </si>
  <si>
    <t>CALLE 4 NO 3-09</t>
  </si>
  <si>
    <t>ALFONSO SANCHEZ YEIMI MARIBEL</t>
  </si>
  <si>
    <t>marybel17@misena.edu.co</t>
  </si>
  <si>
    <t>CARRERA 7 NO 1D-130</t>
  </si>
  <si>
    <t>SOSA GONZALEZ, YORDAN ARMANDO</t>
  </si>
  <si>
    <t>miltonjaviermartinezriveros@gmail.com</t>
  </si>
  <si>
    <t>CALLE 3 NO 4-34</t>
  </si>
  <si>
    <t>JUAN ESTEBAN PEREZ BELLO</t>
  </si>
  <si>
    <t>belloesteban146@gmail.com</t>
  </si>
  <si>
    <t>CARRERA 18 NO 1-90</t>
  </si>
  <si>
    <t>CARLOS ROMEL ESTÚPIÑAN NARANJO</t>
  </si>
  <si>
    <t>CRESTUPINAN0@GMAIL.COM</t>
  </si>
  <si>
    <t>LEIDY PAOLA PULIDO ESTEPA</t>
  </si>
  <si>
    <t>pulidoleidy67@gmail.com</t>
  </si>
  <si>
    <t>ARIAS BERNAL ELENA</t>
  </si>
  <si>
    <t>elenaariasbernal06@gmail.com</t>
  </si>
  <si>
    <t>CARRERA 26 NO 16-128</t>
  </si>
  <si>
    <t>Delgado Camila</t>
  </si>
  <si>
    <t>no_reply@despegar.com</t>
  </si>
  <si>
    <t>CARRERA 8 NO 5-26</t>
  </si>
  <si>
    <t>ARCINIEGAS RAMOS HERNAN SEBASTIAN</t>
  </si>
  <si>
    <t>sebastian.hsar@gmail.com</t>
  </si>
  <si>
    <t>CALLE 5 NO 5-24</t>
  </si>
  <si>
    <t>SANCHEZ DELGADO LEIDY KARINA</t>
  </si>
  <si>
    <t>LEIKAR_15@HOTMAIL.COM</t>
  </si>
  <si>
    <t>CALLE 10 NO 3-05 PAZ DE RIO</t>
  </si>
  <si>
    <t>CLAVIJO PEDRAZA CARLOS CARLOS</t>
  </si>
  <si>
    <t>carlos.clavijo1998@outlook.es</t>
  </si>
  <si>
    <t>MARTINEZ GONZALEZ DIANA CATALINA</t>
  </si>
  <si>
    <t>catica_martinez@hotmail.com</t>
  </si>
  <si>
    <t>GUAITERO CARREÑO LUZ DAYANA</t>
  </si>
  <si>
    <t>gemedaya@hotmail.com</t>
  </si>
  <si>
    <t>CALLE 5 NO 11-48</t>
  </si>
  <si>
    <t>CESAR JULIAN MOSSO ARIAS</t>
  </si>
  <si>
    <t>CESARJULIAN36@GMAIL.COM</t>
  </si>
  <si>
    <t>MALDONADO BENITEZ JESSIKA PAOLA</t>
  </si>
  <si>
    <t>jessikamaldonado@unisangil.edu.co</t>
  </si>
  <si>
    <t>ORTEGA PEREZ VALENTINA</t>
  </si>
  <si>
    <t>vaorpe.26@hotmail.com</t>
  </si>
  <si>
    <t>CARRERA 7 NO 6-7</t>
  </si>
  <si>
    <t>LOZANO CASTAÑEDA ANA MILENA</t>
  </si>
  <si>
    <t>amlozanoc@ut.edu.co</t>
  </si>
  <si>
    <t>MARIN SAAVEDRA JOSE DAVID</t>
  </si>
  <si>
    <t>jdmsaavedra@gmail.com</t>
  </si>
  <si>
    <t>MONTAÑA PEREZ WILTON ALIRIO</t>
  </si>
  <si>
    <t>esepayainterno@gmail.com</t>
  </si>
  <si>
    <t>GUANARO LARGO BAUDILIO</t>
  </si>
  <si>
    <t>guanarolargob@gmail.com</t>
  </si>
  <si>
    <t>YEPES GOMEZ JASBLEIDY</t>
  </si>
  <si>
    <t>jasbleidyfarid@gmail.com</t>
  </si>
  <si>
    <t>ZAMUDIO YEIMY</t>
  </si>
  <si>
    <t>YEIMEZAMUDIO@GMAIL.COM</t>
  </si>
  <si>
    <t>CENTRO DE SALUD DE IZA</t>
  </si>
  <si>
    <t>CELY URIBE JAIVER ARBEY</t>
  </si>
  <si>
    <t>celyuribe283@gmail.com</t>
  </si>
  <si>
    <t>PAYA CENTRO</t>
  </si>
  <si>
    <t>CASTRO PEREZ ANAYIBE</t>
  </si>
  <si>
    <t>anayibecastro1@gmail.com</t>
  </si>
  <si>
    <t>GARCIA PIRABAN LUZ MILA</t>
  </si>
  <si>
    <t>luzmigarcia30@yahoo.com</t>
  </si>
  <si>
    <t>MORCOTE CENTRO</t>
  </si>
  <si>
    <t>GOMEZ ORDUZ MAYERLIN STEFANNY JHONEIRA</t>
  </si>
  <si>
    <t>stegoorlaika30@gmail.com</t>
  </si>
  <si>
    <t>CALLE 5 NO 1A-40</t>
  </si>
  <si>
    <t>MALDONADO MALDONADO MILTON ALFONSO</t>
  </si>
  <si>
    <t>mialmarx90@gmail.com</t>
  </si>
  <si>
    <t>MALDONADO RIVERA GELBER</t>
  </si>
  <si>
    <t>maldonadogelber9@gmail.com</t>
  </si>
  <si>
    <t>RODRIGUEZ RIOS SERGIO ANDRES</t>
  </si>
  <si>
    <t>sergitorodririo@gmail.com</t>
  </si>
  <si>
    <t>CALLE 8 NO 10-34</t>
  </si>
  <si>
    <t>JOSE LUIS PEQA PEQA</t>
  </si>
  <si>
    <t>clientesandiego2020@gmail.com</t>
  </si>
  <si>
    <t>CALLE 16 NO 7A-55</t>
  </si>
  <si>
    <t>FONSECA FLOREZ LEIVYS JOHANA</t>
  </si>
  <si>
    <t>leivysfonseca@gmail.com</t>
  </si>
  <si>
    <t>MARIA CAMILA FONCECA PEREZ</t>
  </si>
  <si>
    <t>VEREDA HATOVIEJO CUARTO TINTAL</t>
  </si>
  <si>
    <t>ALARCON FUQUEN TATIANA YULIETH</t>
  </si>
  <si>
    <t>tatialarkon20@gmail.com</t>
  </si>
  <si>
    <t>CALLE 4 NO 11-14 SOGAMOSO</t>
  </si>
  <si>
    <t>NILSON ADRIAN ALFONSO PARRA</t>
  </si>
  <si>
    <t>nilsonalfonso0@gmail.com</t>
  </si>
  <si>
    <t>CARRERA 5 NO 3-17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</si>
</sst>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_-* #,##0_-;\-* #,##0_-;_-* &quot;-&quot;??_-;_-@_-"/>
  </numFmts>
  <fonts count="1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5" borderId="0" applyNumberFormat="0" applyBorder="0" applyAlignment="0" applyProtection="0"/>
    <xf numFmtId="43" fontId="10" fillId="0" borderId="0" applyFont="0" applyFill="0" applyBorder="0" applyAlignment="0" applyProtection="0"/>
  </cellStyleXfs>
  <cellXfs count="33">
    <xf numFmtId="0" fontId="0" fillId="0" borderId="0" xfId="0"/>
    <xf numFmtId="0" fontId="3" fillId="2" borderId="1" xfId="0" applyFont="1" applyFill="1" applyBorder="1"/>
    <xf numFmtId="1" fontId="4" fillId="4" borderId="7" xfId="0" applyNumberFormat="1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3" fillId="0" borderId="7" xfId="0" applyFont="1" applyBorder="1"/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2" fillId="5" borderId="9" xfId="1" applyBorder="1"/>
    <xf numFmtId="0" fontId="1" fillId="5" borderId="9" xfId="1" applyFont="1" applyBorder="1" applyAlignment="1">
      <alignment horizontal="right"/>
    </xf>
    <xf numFmtId="0" fontId="0" fillId="0" borderId="0" xfId="0" applyFill="1" applyProtection="1"/>
    <xf numFmtId="0" fontId="9" fillId="0" borderId="0" xfId="0" applyFont="1" applyAlignment="1" applyProtection="1">
      <alignment wrapText="1"/>
    </xf>
    <xf numFmtId="0" fontId="0" fillId="0" borderId="0" xfId="0" applyProtection="1"/>
    <xf numFmtId="0" fontId="0" fillId="0" borderId="0" xfId="0" applyAlignment="1" applyProtection="1">
      <alignment horizontal="left"/>
    </xf>
    <xf numFmtId="164" fontId="0" fillId="0" borderId="0" xfId="2" applyNumberFormat="1" applyFont="1" applyFill="1" applyProtection="1"/>
    <xf numFmtId="0" fontId="0" fillId="0" borderId="0" xfId="0" applyAlignment="1" applyProtection="1">
      <alignment wrapText="1"/>
    </xf>
    <xf numFmtId="0" fontId="0" fillId="0" borderId="0" xfId="0" applyFill="1" applyAlignment="1" applyProtection="1">
      <alignment horizontal="left"/>
    </xf>
    <xf numFmtId="0" fontId="9" fillId="0" borderId="0" xfId="0" applyFont="1" applyFill="1" applyAlignment="1" applyProtection="1">
      <alignment wrapText="1"/>
    </xf>
    <xf numFmtId="164" fontId="0" fillId="0" borderId="0" xfId="0" applyNumberFormat="1" applyFill="1" applyProtection="1"/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3" fillId="0" borderId="3" xfId="0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5" fillId="0" borderId="5" xfId="0" applyNumberFormat="1" applyFont="1" applyBorder="1"/>
    <xf numFmtId="14" fontId="5" fillId="0" borderId="6" xfId="0" applyNumberFormat="1" applyFont="1" applyBorder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8" xfId="0" applyFont="1" applyFill="1" applyBorder="1" applyAlignment="1">
      <alignment horizontal="left"/>
    </xf>
  </cellXfs>
  <cellStyles count="3">
    <cellStyle name="20% - Énfasis1" xfId="1" builtinId="30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uzma/OneDrive/Documentos/A&#209;O%202026/PROCERVIS/A&#209;O%202026%20CONTABILIDAD/EXOGENA%20PAIPA%202025/Terceros%20sistem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ortarAExcel (2)"/>
      <sheetName val="ExportarAExcel"/>
    </sheetNames>
    <sheetDataSet>
      <sheetData sheetId="0">
        <row r="1">
          <cell r="E1" t="str">
            <v>trceros 2</v>
          </cell>
          <cell r="F1" t="str">
            <v>Dirección</v>
          </cell>
          <cell r="G1" t="str">
            <v>Teléfonos</v>
          </cell>
        </row>
        <row r="2">
          <cell r="E2">
            <v>860051705</v>
          </cell>
          <cell r="G2">
            <v>0</v>
          </cell>
        </row>
        <row r="3">
          <cell r="E3">
            <v>1056954569</v>
          </cell>
          <cell r="F3" t="str">
            <v>VEREDA BOJIRQUE</v>
          </cell>
          <cell r="G3">
            <v>3132637672</v>
          </cell>
        </row>
        <row r="4">
          <cell r="E4">
            <v>1056955407</v>
          </cell>
          <cell r="F4" t="str">
            <v>VEREDA BOJIRQUE</v>
          </cell>
          <cell r="G4">
            <v>3212325327</v>
          </cell>
        </row>
        <row r="5">
          <cell r="E5">
            <v>74189004</v>
          </cell>
          <cell r="F5" t="str">
            <v>CALLE 12 NO 11-60 LOCAL 211</v>
          </cell>
          <cell r="G5">
            <v>3177722965</v>
          </cell>
        </row>
        <row r="6">
          <cell r="E6">
            <v>7128601</v>
          </cell>
          <cell r="F6" t="str">
            <v>CALLE 1 NO 5-10</v>
          </cell>
          <cell r="G6">
            <v>3112511524</v>
          </cell>
        </row>
        <row r="7">
          <cell r="E7">
            <v>74270248</v>
          </cell>
          <cell r="F7" t="str">
            <v>CRA 4 NO 5-48</v>
          </cell>
          <cell r="G7">
            <v>3114883985</v>
          </cell>
        </row>
        <row r="8">
          <cell r="E8">
            <v>1056552336</v>
          </cell>
          <cell r="F8" t="str">
            <v>CALLE 3 NO 4-40</v>
          </cell>
          <cell r="G8">
            <v>3204791345</v>
          </cell>
        </row>
        <row r="9">
          <cell r="E9">
            <v>46670963</v>
          </cell>
          <cell r="F9" t="str">
            <v>CARRERA 5 NO 1-04</v>
          </cell>
          <cell r="G9">
            <v>3219725956</v>
          </cell>
        </row>
        <row r="10">
          <cell r="E10">
            <v>74261495</v>
          </cell>
          <cell r="F10" t="str">
            <v>CALLE 2 NO 1-41</v>
          </cell>
          <cell r="G10">
            <v>3122237844</v>
          </cell>
        </row>
        <row r="11">
          <cell r="E11">
            <v>1052400972</v>
          </cell>
          <cell r="F11" t="str">
            <v>CARRERA 5 NO 4 35 MONGUI</v>
          </cell>
          <cell r="G11">
            <v>3124970477</v>
          </cell>
        </row>
        <row r="12">
          <cell r="E12">
            <v>1002461158</v>
          </cell>
          <cell r="F12" t="str">
            <v>CARRERA 7 NO 4-127</v>
          </cell>
          <cell r="G12">
            <v>3203025408</v>
          </cell>
        </row>
        <row r="13">
          <cell r="E13">
            <v>23552927</v>
          </cell>
          <cell r="F13" t="str">
            <v>CARRERA 4 NO 3-13</v>
          </cell>
          <cell r="G13">
            <v>3134470208</v>
          </cell>
        </row>
        <row r="14">
          <cell r="E14">
            <v>23336927</v>
          </cell>
          <cell r="F14" t="str">
            <v>CENTRO PISBA</v>
          </cell>
          <cell r="G14">
            <v>3214283533</v>
          </cell>
        </row>
        <row r="15">
          <cell r="E15">
            <v>1053512599</v>
          </cell>
          <cell r="F15" t="str">
            <v>CARRERA 5 NO 4-07 GAMEZA</v>
          </cell>
          <cell r="G15">
            <v>3215445772</v>
          </cell>
        </row>
        <row r="16">
          <cell r="E16">
            <v>1051476102</v>
          </cell>
          <cell r="F16" t="str">
            <v>ESE SALUD AQUITANIA</v>
          </cell>
          <cell r="G16">
            <v>3138018037</v>
          </cell>
        </row>
        <row r="17">
          <cell r="E17">
            <v>1054120960</v>
          </cell>
          <cell r="F17" t="str">
            <v>MONGUI</v>
          </cell>
          <cell r="G17">
            <v>3125423899</v>
          </cell>
        </row>
        <row r="18">
          <cell r="E18">
            <v>1057570093</v>
          </cell>
          <cell r="F18" t="str">
            <v>CENTRO GAMEZA</v>
          </cell>
          <cell r="G18">
            <v>3112848578</v>
          </cell>
        </row>
        <row r="19">
          <cell r="E19">
            <v>46386742</v>
          </cell>
          <cell r="F19" t="str">
            <v>CARRERA 5 NO 6-02</v>
          </cell>
          <cell r="G19">
            <v>3134230605</v>
          </cell>
        </row>
        <row r="20">
          <cell r="E20">
            <v>1052407260</v>
          </cell>
          <cell r="F20" t="str">
            <v>AVENIDA EL SOL NO 10-69</v>
          </cell>
          <cell r="G20">
            <v>3212574137</v>
          </cell>
        </row>
        <row r="21">
          <cell r="E21">
            <v>24183075</v>
          </cell>
          <cell r="F21" t="str">
            <v>CARRERA 4 NO 1-85 TOPAGA</v>
          </cell>
          <cell r="G21">
            <v>3118465719</v>
          </cell>
        </row>
        <row r="22">
          <cell r="E22">
            <v>46356728</v>
          </cell>
          <cell r="F22" t="str">
            <v>KM 15,5 VIA SOGAMOSO YOPAL</v>
          </cell>
          <cell r="G22">
            <v>7723306</v>
          </cell>
        </row>
        <row r="23">
          <cell r="E23">
            <v>1052410298</v>
          </cell>
          <cell r="F23" t="str">
            <v>CARRERA 5 NO 2-18</v>
          </cell>
          <cell r="G23">
            <v>3219769692</v>
          </cell>
        </row>
        <row r="24">
          <cell r="E24">
            <v>1057464463</v>
          </cell>
          <cell r="F24" t="str">
            <v>VEREDA SANTA ANA</v>
          </cell>
          <cell r="G24">
            <v>3124674467</v>
          </cell>
        </row>
        <row r="25">
          <cell r="E25">
            <v>1057579025</v>
          </cell>
          <cell r="F25" t="str">
            <v>CALLE 28 NO 59 -52</v>
          </cell>
          <cell r="G25">
            <v>3209786538</v>
          </cell>
        </row>
        <row r="26">
          <cell r="E26">
            <v>1051476788</v>
          </cell>
          <cell r="F26" t="str">
            <v>CARRERA 15 NO 9-43</v>
          </cell>
          <cell r="G26">
            <v>3214429515</v>
          </cell>
        </row>
        <row r="27">
          <cell r="E27">
            <v>1051475455</v>
          </cell>
          <cell r="F27" t="str">
            <v>CARRERA 5 NO 6 75</v>
          </cell>
          <cell r="G27">
            <v>7794681</v>
          </cell>
        </row>
        <row r="28">
          <cell r="E28">
            <v>4168924</v>
          </cell>
          <cell r="F28" t="str">
            <v>CALLE 7 NO 10-50</v>
          </cell>
          <cell r="G28">
            <v>3114489662</v>
          </cell>
        </row>
        <row r="29">
          <cell r="E29">
            <v>1054680594</v>
          </cell>
          <cell r="F29" t="str">
            <v>CALLE 17 NO 8-60</v>
          </cell>
          <cell r="G29">
            <v>0</v>
          </cell>
        </row>
        <row r="30">
          <cell r="E30">
            <v>1049647747</v>
          </cell>
          <cell r="F30" t="str">
            <v>CALLE 67 NO 9-15</v>
          </cell>
          <cell r="G30">
            <v>3222070137</v>
          </cell>
        </row>
        <row r="31">
          <cell r="E31">
            <v>1233509610</v>
          </cell>
          <cell r="F31" t="str">
            <v>CARRERA 7 NO 4-123 UMBITA</v>
          </cell>
          <cell r="G31">
            <v>0</v>
          </cell>
        </row>
        <row r="32">
          <cell r="E32">
            <v>33369806</v>
          </cell>
          <cell r="F32" t="str">
            <v>CARRERA 37 NO 9-14</v>
          </cell>
          <cell r="G32">
            <v>3124790883</v>
          </cell>
        </row>
        <row r="33">
          <cell r="E33">
            <v>1053614033</v>
          </cell>
          <cell r="F33" t="str">
            <v>CALLE 29 NO 12B-42</v>
          </cell>
          <cell r="G33">
            <v>3143228313</v>
          </cell>
        </row>
        <row r="34">
          <cell r="E34">
            <v>1053443043</v>
          </cell>
          <cell r="F34" t="str">
            <v>CALLE 29 N 12B -42</v>
          </cell>
          <cell r="G34">
            <v>3217298723</v>
          </cell>
        </row>
        <row r="35">
          <cell r="E35">
            <v>19337298</v>
          </cell>
          <cell r="F35" t="str">
            <v>CRA 3 NO 8-56</v>
          </cell>
          <cell r="G35">
            <v>3133533851</v>
          </cell>
        </row>
        <row r="36">
          <cell r="E36">
            <v>1030537050</v>
          </cell>
          <cell r="F36" t="str">
            <v>CARRERA 7 NO 7-21</v>
          </cell>
          <cell r="G36">
            <v>7327546</v>
          </cell>
        </row>
        <row r="37">
          <cell r="E37">
            <v>1052380477</v>
          </cell>
          <cell r="F37" t="str">
            <v>CARRERA 10 NO 17-34</v>
          </cell>
          <cell r="G37">
            <v>3138256696</v>
          </cell>
        </row>
        <row r="38">
          <cell r="E38">
            <v>1058038877</v>
          </cell>
          <cell r="F38" t="str">
            <v>CALLE 4 NO 3-09</v>
          </cell>
          <cell r="G38">
            <v>3212008458</v>
          </cell>
        </row>
        <row r="39">
          <cell r="E39">
            <v>901037916</v>
          </cell>
          <cell r="F39" t="str">
            <v>AV EL DORADO NO. 69-76</v>
          </cell>
          <cell r="G39">
            <v>6014322760</v>
          </cell>
        </row>
        <row r="40">
          <cell r="E40">
            <v>23646798</v>
          </cell>
          <cell r="F40" t="str">
            <v>CALLE 4 NO 4-43</v>
          </cell>
          <cell r="G40">
            <v>3112962339</v>
          </cell>
        </row>
        <row r="41">
          <cell r="E41">
            <v>900926508</v>
          </cell>
          <cell r="F41" t="str">
            <v>CALLE 24 # 24-45</v>
          </cell>
          <cell r="G41">
            <v>0</v>
          </cell>
        </row>
        <row r="42">
          <cell r="E42">
            <v>826000777</v>
          </cell>
          <cell r="F42" t="str">
            <v>CALLE 23 # 23-11</v>
          </cell>
          <cell r="G42">
            <v>7851494</v>
          </cell>
        </row>
        <row r="43">
          <cell r="E43">
            <v>7128205</v>
          </cell>
          <cell r="F43" t="str">
            <v>VDA. CAÑUELAS</v>
          </cell>
          <cell r="G43">
            <v>3133802865</v>
          </cell>
        </row>
        <row r="44">
          <cell r="E44">
            <v>23690288</v>
          </cell>
          <cell r="F44" t="str">
            <v>CALLE 12 NO 3 45</v>
          </cell>
          <cell r="G44">
            <v>3108020152</v>
          </cell>
        </row>
        <row r="45">
          <cell r="E45">
            <v>1049602341</v>
          </cell>
          <cell r="F45" t="str">
            <v>CALLE 7 NO 4-49</v>
          </cell>
          <cell r="G45">
            <v>3208271119</v>
          </cell>
        </row>
        <row r="46">
          <cell r="E46">
            <v>1019023842</v>
          </cell>
          <cell r="F46" t="str">
            <v>CALLE 25 NO 6-47</v>
          </cell>
          <cell r="G46">
            <v>3193840665</v>
          </cell>
        </row>
        <row r="47">
          <cell r="E47">
            <v>23449461</v>
          </cell>
          <cell r="F47" t="str">
            <v>BARRIO LAS ORQUIDEAS</v>
          </cell>
          <cell r="G47">
            <v>3134330361</v>
          </cell>
        </row>
        <row r="48">
          <cell r="E48">
            <v>4083609</v>
          </cell>
          <cell r="F48" t="str">
            <v>CARRERA 14 NO 9A-39 SOGAMOSO</v>
          </cell>
          <cell r="G48">
            <v>3132102937</v>
          </cell>
        </row>
        <row r="49">
          <cell r="E49">
            <v>4278204</v>
          </cell>
          <cell r="F49" t="str">
            <v>CARRERA 2B NO 7-15</v>
          </cell>
          <cell r="G49">
            <v>3004700293</v>
          </cell>
        </row>
        <row r="50">
          <cell r="E50">
            <v>30298221</v>
          </cell>
          <cell r="F50" t="str">
            <v>CALLE 8 NO 7-60</v>
          </cell>
          <cell r="G50">
            <v>87794136</v>
          </cell>
        </row>
        <row r="51">
          <cell r="E51">
            <v>4216879</v>
          </cell>
          <cell r="F51" t="str">
            <v>CALLE 8 NO 7-60</v>
          </cell>
          <cell r="G51">
            <v>7794681</v>
          </cell>
        </row>
        <row r="52">
          <cell r="E52">
            <v>1057595495</v>
          </cell>
          <cell r="F52" t="str">
            <v>CALLE 3 NO 10-35 NOBSA</v>
          </cell>
          <cell r="G52">
            <v>3112245798</v>
          </cell>
        </row>
        <row r="53">
          <cell r="E53">
            <v>80559803</v>
          </cell>
          <cell r="F53" t="str">
            <v>CANTRO LA VICTORIA</v>
          </cell>
          <cell r="G53">
            <v>3127511309</v>
          </cell>
        </row>
        <row r="54">
          <cell r="E54">
            <v>1002413969</v>
          </cell>
          <cell r="F54" t="str">
            <v>BARRIO PORVENIR LAGRANDE</v>
          </cell>
          <cell r="G54">
            <v>3222206962</v>
          </cell>
        </row>
        <row r="55">
          <cell r="E55">
            <v>23945195</v>
          </cell>
          <cell r="F55" t="str">
            <v>CALLE 5 NO 5-57</v>
          </cell>
          <cell r="G55">
            <v>3142310481</v>
          </cell>
        </row>
        <row r="56">
          <cell r="E56">
            <v>31031867</v>
          </cell>
          <cell r="F56" t="str">
            <v>CALLE 11 NO 7-70</v>
          </cell>
          <cell r="G56">
            <v>3143331260</v>
          </cell>
        </row>
        <row r="57">
          <cell r="E57">
            <v>79918865</v>
          </cell>
          <cell r="F57" t="str">
            <v>CALLE 5 NO 4-64</v>
          </cell>
          <cell r="G57">
            <v>3213105866</v>
          </cell>
        </row>
        <row r="58">
          <cell r="E58">
            <v>1002413636</v>
          </cell>
          <cell r="F58" t="str">
            <v>ESE SALUD AQUITANIA</v>
          </cell>
          <cell r="G58">
            <v>0</v>
          </cell>
        </row>
        <row r="59">
          <cell r="E59">
            <v>1007751401</v>
          </cell>
          <cell r="F59" t="str">
            <v>ESE CENTRO DE SALUD DE TASCO</v>
          </cell>
          <cell r="G59">
            <v>3134448029</v>
          </cell>
        </row>
        <row r="60">
          <cell r="E60">
            <v>4218483</v>
          </cell>
          <cell r="F60" t="str">
            <v>CALLE 7 NO 8-60 AQUITANIA</v>
          </cell>
          <cell r="G60">
            <v>3123527740</v>
          </cell>
        </row>
        <row r="61">
          <cell r="E61">
            <v>1002537554</v>
          </cell>
          <cell r="F61" t="str">
            <v>CARRERA 11 NBO 9-18</v>
          </cell>
          <cell r="G61">
            <v>3202145134</v>
          </cell>
        </row>
        <row r="62">
          <cell r="E62">
            <v>1057596289</v>
          </cell>
          <cell r="F62" t="str">
            <v>VEREDA DAITO LAGUNITA</v>
          </cell>
          <cell r="G62">
            <v>3108836578</v>
          </cell>
        </row>
        <row r="63">
          <cell r="E63">
            <v>1051472691</v>
          </cell>
          <cell r="F63" t="str">
            <v>CALLE 7 NO 6-22</v>
          </cell>
          <cell r="G63">
            <v>3134635866</v>
          </cell>
        </row>
        <row r="64">
          <cell r="E64">
            <v>53092170</v>
          </cell>
          <cell r="F64" t="str">
            <v>CARRERA 1 NO 3-35</v>
          </cell>
          <cell r="G64">
            <v>3172937587</v>
          </cell>
        </row>
        <row r="65">
          <cell r="E65">
            <v>1193542071</v>
          </cell>
          <cell r="F65" t="str">
            <v>CALLE 4 NO 11-14 SOGAMOSO</v>
          </cell>
          <cell r="G65">
            <v>3114586573</v>
          </cell>
        </row>
        <row r="66">
          <cell r="E66">
            <v>1053343912</v>
          </cell>
          <cell r="F66" t="str">
            <v>CENTRO PISBA</v>
          </cell>
          <cell r="G66">
            <v>3102093632</v>
          </cell>
        </row>
        <row r="67">
          <cell r="E67">
            <v>74084640</v>
          </cell>
          <cell r="F67" t="str">
            <v>CARRERA 10 NO 10-29 SOGAMOSO</v>
          </cell>
          <cell r="G67">
            <v>3134290322</v>
          </cell>
        </row>
        <row r="68">
          <cell r="E68">
            <v>7125572</v>
          </cell>
          <cell r="F68" t="str">
            <v>ESE SALUD AQUITANIA</v>
          </cell>
          <cell r="G68">
            <v>0</v>
          </cell>
        </row>
        <row r="69">
          <cell r="E69">
            <v>1051475457</v>
          </cell>
          <cell r="F69" t="str">
            <v>VEREDA LAGUNITA</v>
          </cell>
          <cell r="G69">
            <v>3134651787</v>
          </cell>
        </row>
        <row r="70">
          <cell r="E70">
            <v>51606792</v>
          </cell>
          <cell r="F70" t="str">
            <v>CRA 6 NO 3-02</v>
          </cell>
          <cell r="G70">
            <v>3142960942</v>
          </cell>
        </row>
        <row r="71">
          <cell r="E71">
            <v>1051475368</v>
          </cell>
          <cell r="F71" t="str">
            <v>CARRERA 22 NO 3-83</v>
          </cell>
          <cell r="G71">
            <v>3132117801</v>
          </cell>
        </row>
        <row r="72">
          <cell r="E72">
            <v>23945838</v>
          </cell>
          <cell r="F72" t="str">
            <v>CALLE 6 NO 3-35</v>
          </cell>
          <cell r="G72">
            <v>3202730201</v>
          </cell>
        </row>
        <row r="73">
          <cell r="E73">
            <v>1051476122</v>
          </cell>
          <cell r="F73" t="str">
            <v>CALLE 8 NO 7-69</v>
          </cell>
          <cell r="G73">
            <v>3213042202</v>
          </cell>
        </row>
        <row r="74">
          <cell r="E74">
            <v>46384435</v>
          </cell>
          <cell r="F74" t="str">
            <v>CALLE 24 NO 11B-47</v>
          </cell>
          <cell r="G74">
            <v>3134534335</v>
          </cell>
        </row>
        <row r="75">
          <cell r="E75">
            <v>4077521</v>
          </cell>
          <cell r="F75" t="str">
            <v>CALLE 7 NO 6-27</v>
          </cell>
          <cell r="G75">
            <v>3204694157</v>
          </cell>
        </row>
        <row r="76">
          <cell r="E76">
            <v>1054092877</v>
          </cell>
          <cell r="F76" t="str">
            <v>TR. 10 NO 7A-10</v>
          </cell>
          <cell r="G76">
            <v>3124015797</v>
          </cell>
        </row>
        <row r="77">
          <cell r="E77">
            <v>46377394</v>
          </cell>
          <cell r="F77" t="str">
            <v>CARRERA 5C NO 3-38</v>
          </cell>
          <cell r="G77">
            <v>3144419987</v>
          </cell>
        </row>
        <row r="78">
          <cell r="E78">
            <v>1056482461</v>
          </cell>
          <cell r="F78" t="str">
            <v>CALLE 3 NO 3-31 SACHICA</v>
          </cell>
          <cell r="G78">
            <v>3203611631</v>
          </cell>
        </row>
        <row r="79">
          <cell r="E79">
            <v>47439341</v>
          </cell>
          <cell r="F79" t="str">
            <v>CRA 8 NO 1-12</v>
          </cell>
          <cell r="G79">
            <v>3212412242</v>
          </cell>
        </row>
        <row r="80">
          <cell r="E80">
            <v>1002455091</v>
          </cell>
          <cell r="F80" t="str">
            <v>CALLE 8 NO 2-42 SUR</v>
          </cell>
          <cell r="G80">
            <v>3208385510</v>
          </cell>
        </row>
        <row r="81">
          <cell r="E81">
            <v>1052314512</v>
          </cell>
          <cell r="F81" t="str">
            <v>CARRERA 5 NO 1-22 BELEN</v>
          </cell>
          <cell r="G81">
            <v>3133261785</v>
          </cell>
        </row>
        <row r="82">
          <cell r="E82">
            <v>1049607834</v>
          </cell>
          <cell r="F82" t="str">
            <v>CARRERA 4 NO 04-06 SPBORBUR</v>
          </cell>
          <cell r="G82">
            <v>3223616298</v>
          </cell>
        </row>
        <row r="83">
          <cell r="E83">
            <v>891856625</v>
          </cell>
          <cell r="F83" t="str">
            <v>CALLE 4 NO 4-91</v>
          </cell>
          <cell r="G83">
            <v>3102146376</v>
          </cell>
        </row>
        <row r="84">
          <cell r="E84">
            <v>23324020</v>
          </cell>
          <cell r="F84" t="str">
            <v>CRA 6 NO 8-51</v>
          </cell>
          <cell r="G84">
            <v>3124507957</v>
          </cell>
        </row>
        <row r="85">
          <cell r="E85">
            <v>16554148</v>
          </cell>
          <cell r="F85" t="str">
            <v>CARRERA 7 NO 4-123</v>
          </cell>
          <cell r="G85">
            <v>7305054</v>
          </cell>
        </row>
        <row r="86">
          <cell r="E86">
            <v>1023930660</v>
          </cell>
          <cell r="F86" t="str">
            <v>CALLE 24 # 19-60</v>
          </cell>
          <cell r="G86">
            <v>0</v>
          </cell>
        </row>
        <row r="87">
          <cell r="E87">
            <v>7178009</v>
          </cell>
          <cell r="F87" t="str">
            <v>BOGOTA</v>
          </cell>
          <cell r="G87">
            <v>3115135898</v>
          </cell>
        </row>
        <row r="88">
          <cell r="E88">
            <v>7334088</v>
          </cell>
          <cell r="F88" t="str">
            <v>CASA 65 B. COLOMBIA</v>
          </cell>
          <cell r="G88">
            <v>3206357337</v>
          </cell>
        </row>
        <row r="89">
          <cell r="E89">
            <v>91432787</v>
          </cell>
          <cell r="F89" t="str">
            <v>CALLE 15 NO 10-38 SOGAMOSO</v>
          </cell>
          <cell r="G89">
            <v>3103454164</v>
          </cell>
        </row>
        <row r="90">
          <cell r="E90">
            <v>74353100</v>
          </cell>
          <cell r="F90" t="str">
            <v>CARRERA 4 NO 3-60</v>
          </cell>
          <cell r="G90">
            <v>3146386742</v>
          </cell>
        </row>
        <row r="91">
          <cell r="E91">
            <v>23336970</v>
          </cell>
          <cell r="F91" t="str">
            <v>CARRERA 4 NO 5-34</v>
          </cell>
          <cell r="G91">
            <v>3214849213</v>
          </cell>
        </row>
        <row r="92">
          <cell r="E92">
            <v>1233895567</v>
          </cell>
          <cell r="F92" t="str">
            <v>CARRERA 5 NO 3-17</v>
          </cell>
          <cell r="G92">
            <v>3123663281</v>
          </cell>
        </row>
        <row r="93">
          <cell r="E93">
            <v>23422943</v>
          </cell>
          <cell r="F93" t="str">
            <v>CARRERA 4 NO 1-35</v>
          </cell>
          <cell r="G93">
            <v>3154514624</v>
          </cell>
        </row>
        <row r="94">
          <cell r="E94">
            <v>1049616544</v>
          </cell>
          <cell r="F94" t="str">
            <v>CALLE 8 NO 7-60</v>
          </cell>
          <cell r="G94">
            <v>7794681</v>
          </cell>
        </row>
        <row r="95">
          <cell r="E95">
            <v>1058325010</v>
          </cell>
          <cell r="F95" t="str">
            <v>CARRERA 7 NO 1D-130</v>
          </cell>
          <cell r="G95">
            <v>3209660713</v>
          </cell>
        </row>
        <row r="96">
          <cell r="E96">
            <v>1049617743</v>
          </cell>
          <cell r="F96" t="str">
            <v>CARRERA 6 NO 59-15</v>
          </cell>
          <cell r="G96">
            <v>3112679307</v>
          </cell>
        </row>
        <row r="97">
          <cell r="E97">
            <v>890900943</v>
          </cell>
          <cell r="F97" t="str">
            <v>CALLE 24 NO 28-72</v>
          </cell>
          <cell r="G97">
            <v>6349695</v>
          </cell>
        </row>
        <row r="98">
          <cell r="E98">
            <v>860027404</v>
          </cell>
          <cell r="F98" t="str">
            <v>carrera 23 no 29-24</v>
          </cell>
          <cell r="G98">
            <v>6065900</v>
          </cell>
        </row>
        <row r="99">
          <cell r="E99">
            <v>860026182</v>
          </cell>
          <cell r="F99" t="str">
            <v>CALLE 72A NO 6-44</v>
          </cell>
          <cell r="G99">
            <v>6015188801</v>
          </cell>
        </row>
        <row r="100">
          <cell r="E100">
            <v>890900608</v>
          </cell>
          <cell r="F100" t="str">
            <v>CRA 48 NO 32B SUR 139</v>
          </cell>
          <cell r="G100">
            <v>7602273</v>
          </cell>
        </row>
        <row r="101">
          <cell r="E101">
            <v>1002740077</v>
          </cell>
          <cell r="F101" t="str">
            <v>CALLE 12 NO 11 28</v>
          </cell>
          <cell r="G101">
            <v>7753889</v>
          </cell>
        </row>
        <row r="102">
          <cell r="E102">
            <v>46682049</v>
          </cell>
          <cell r="F102" t="str">
            <v>CALLE 25 NO 20-43</v>
          </cell>
          <cell r="G102">
            <v>3118273173</v>
          </cell>
        </row>
        <row r="103">
          <cell r="E103">
            <v>901466940</v>
          </cell>
          <cell r="F103" t="str">
            <v>CALLE 14 NO 16-55 DUITAMA</v>
          </cell>
          <cell r="G103">
            <v>3153688281</v>
          </cell>
        </row>
        <row r="104">
          <cell r="E104">
            <v>23856708</v>
          </cell>
          <cell r="F104" t="str">
            <v>CARRERA 21 NO 23-31</v>
          </cell>
          <cell r="G104">
            <v>6087851156</v>
          </cell>
        </row>
        <row r="105">
          <cell r="E105">
            <v>826000361</v>
          </cell>
          <cell r="F105" t="str">
            <v>CARRERA 18 NO 20A-32</v>
          </cell>
          <cell r="G105">
            <v>0</v>
          </cell>
        </row>
        <row r="106">
          <cell r="E106">
            <v>901007107</v>
          </cell>
          <cell r="F106" t="str">
            <v>KILOMETRO 2 VIA PALERMO</v>
          </cell>
          <cell r="G106">
            <v>3138042172</v>
          </cell>
        </row>
        <row r="107">
          <cell r="E107">
            <v>1193225141</v>
          </cell>
          <cell r="F107" t="str">
            <v>CENTRO PAZ DE RIO</v>
          </cell>
          <cell r="G107">
            <v>3015694829</v>
          </cell>
        </row>
        <row r="108">
          <cell r="E108">
            <v>23854910</v>
          </cell>
          <cell r="F108" t="str">
            <v>CARRERA 11 NO 12-61</v>
          </cell>
          <cell r="G108">
            <v>3107575142</v>
          </cell>
        </row>
        <row r="109">
          <cell r="E109">
            <v>1033739332</v>
          </cell>
          <cell r="F109" t="str">
            <v>CENTRO DE SALUD IZA</v>
          </cell>
          <cell r="G109">
            <v>3104109550</v>
          </cell>
        </row>
        <row r="110">
          <cell r="E110">
            <v>74323654</v>
          </cell>
          <cell r="F110" t="str">
            <v>CARRERA 24 NO 23 76</v>
          </cell>
          <cell r="G110">
            <v>3107548807</v>
          </cell>
        </row>
        <row r="111">
          <cell r="E111">
            <v>1053614521</v>
          </cell>
          <cell r="F111" t="str">
            <v>CALLE 21 NO 22-01</v>
          </cell>
          <cell r="G111">
            <v>3203372359</v>
          </cell>
        </row>
        <row r="112">
          <cell r="E112">
            <v>1024523679</v>
          </cell>
          <cell r="F112" t="str">
            <v>CARRERA 15 NO 14-17 SOGAMOSO</v>
          </cell>
          <cell r="G112">
            <v>3057842474</v>
          </cell>
        </row>
        <row r="113">
          <cell r="E113">
            <v>80831523</v>
          </cell>
          <cell r="F113" t="str">
            <v>CALLE 7 NO 4-15</v>
          </cell>
          <cell r="G113">
            <v>3174232624</v>
          </cell>
        </row>
        <row r="114">
          <cell r="E114">
            <v>1051475005</v>
          </cell>
          <cell r="F114" t="str">
            <v>CALLE 6 NO 12-03</v>
          </cell>
          <cell r="G114">
            <v>3144729812</v>
          </cell>
        </row>
        <row r="115">
          <cell r="E115">
            <v>1049631847</v>
          </cell>
          <cell r="F115" t="str">
            <v>CARRERA 3 NO 7-21</v>
          </cell>
          <cell r="G115">
            <v>7327546</v>
          </cell>
        </row>
        <row r="116">
          <cell r="E116">
            <v>23983933</v>
          </cell>
          <cell r="F116" t="str">
            <v>CALLE 25 NO 7-86</v>
          </cell>
          <cell r="G116">
            <v>3112623854</v>
          </cell>
        </row>
        <row r="117">
          <cell r="E117">
            <v>1024501741</v>
          </cell>
          <cell r="F117" t="str">
            <v>VEREDA PABELLON</v>
          </cell>
          <cell r="G117">
            <v>3102322012</v>
          </cell>
        </row>
        <row r="118">
          <cell r="E118">
            <v>40041190</v>
          </cell>
          <cell r="F118" t="str">
            <v>MZ E CASA 6</v>
          </cell>
          <cell r="G118">
            <v>3112225999</v>
          </cell>
        </row>
        <row r="119">
          <cell r="E119">
            <v>1052312051</v>
          </cell>
          <cell r="F119" t="str">
            <v>VEREDA EL BOSQUE BELEN</v>
          </cell>
          <cell r="G119">
            <v>3192219411</v>
          </cell>
        </row>
        <row r="120">
          <cell r="E120">
            <v>23826714</v>
          </cell>
          <cell r="F120" t="str">
            <v>CALLE 3 NO 20-91</v>
          </cell>
          <cell r="G120">
            <v>3133967329</v>
          </cell>
        </row>
        <row r="121">
          <cell r="E121">
            <v>46361143</v>
          </cell>
          <cell r="F121" t="str">
            <v>CALLE 11B NO 16-42</v>
          </cell>
          <cell r="G121">
            <v>3132422740</v>
          </cell>
        </row>
        <row r="122">
          <cell r="E122">
            <v>1053313099</v>
          </cell>
          <cell r="F122" t="str">
            <v>CENTRO BELEN</v>
          </cell>
          <cell r="G122">
            <v>3102473064</v>
          </cell>
        </row>
        <row r="123">
          <cell r="E123">
            <v>9524016</v>
          </cell>
          <cell r="F123" t="str">
            <v>CARRERA 12 NO 11-69</v>
          </cell>
          <cell r="G123">
            <v>7700103</v>
          </cell>
        </row>
        <row r="124">
          <cell r="E124">
            <v>23684318</v>
          </cell>
          <cell r="F124" t="str">
            <v>CALLE 2 NO 4-28</v>
          </cell>
          <cell r="G124">
            <v>3202421378</v>
          </cell>
        </row>
        <row r="125">
          <cell r="E125">
            <v>24010642</v>
          </cell>
          <cell r="F125" t="str">
            <v>ESE DE SACHICA</v>
          </cell>
          <cell r="G125">
            <v>3112930888</v>
          </cell>
        </row>
        <row r="126">
          <cell r="E126">
            <v>23324068</v>
          </cell>
          <cell r="F126" t="str">
            <v>VEREDA MONTERREDONDO</v>
          </cell>
          <cell r="G126">
            <v>3224747230</v>
          </cell>
        </row>
        <row r="127">
          <cell r="E127">
            <v>74321491</v>
          </cell>
          <cell r="F127" t="str">
            <v>VDA EL MORO SOCOTA</v>
          </cell>
          <cell r="G127">
            <v>3107733779</v>
          </cell>
        </row>
        <row r="128">
          <cell r="E128">
            <v>1057593841</v>
          </cell>
          <cell r="F128" t="str">
            <v>CALLE 28A NO 17-80</v>
          </cell>
          <cell r="G128">
            <v>3115391074</v>
          </cell>
        </row>
        <row r="129">
          <cell r="E129">
            <v>1056253613</v>
          </cell>
          <cell r="F129" t="str">
            <v>CENTRO LABRANZAGRANDE</v>
          </cell>
          <cell r="G129">
            <v>3108853682</v>
          </cell>
        </row>
        <row r="130">
          <cell r="E130">
            <v>1026253613</v>
          </cell>
          <cell r="F130" t="str">
            <v>CENTRO LABRANZAGRANDE</v>
          </cell>
          <cell r="G130">
            <v>3108853682</v>
          </cell>
        </row>
        <row r="131">
          <cell r="E131">
            <v>1049611129</v>
          </cell>
          <cell r="F131" t="str">
            <v>CALLE 76 NO 6-82</v>
          </cell>
          <cell r="G131">
            <v>3124583097</v>
          </cell>
        </row>
        <row r="132">
          <cell r="E132">
            <v>24099823</v>
          </cell>
          <cell r="F132" t="str">
            <v>MANZANA M CASA 2 CERRITO ENCANTADO DUITAMA</v>
          </cell>
          <cell r="G132">
            <v>3118838752</v>
          </cell>
        </row>
        <row r="133">
          <cell r="E133">
            <v>74321102</v>
          </cell>
          <cell r="F133" t="str">
            <v>CARRERA 8 NO 1-86</v>
          </cell>
          <cell r="G133">
            <v>3212217281</v>
          </cell>
        </row>
        <row r="134">
          <cell r="E134">
            <v>1049654766</v>
          </cell>
          <cell r="F134" t="str">
            <v>CALLE 15 NO 8-17</v>
          </cell>
          <cell r="G134">
            <v>3028066896</v>
          </cell>
        </row>
        <row r="135">
          <cell r="E135">
            <v>1056552587</v>
          </cell>
          <cell r="F135" t="str">
            <v>CALLE 1 NO 7-32</v>
          </cell>
          <cell r="G135">
            <v>3204894123</v>
          </cell>
        </row>
        <row r="136">
          <cell r="E136">
            <v>1051476147</v>
          </cell>
          <cell r="F136" t="str">
            <v>VRA HATO VIEJO</v>
          </cell>
          <cell r="G136">
            <v>3144824934</v>
          </cell>
        </row>
        <row r="137">
          <cell r="E137">
            <v>900778507</v>
          </cell>
          <cell r="F137" t="str">
            <v>AV UNIVERSITARIA NO 75-00</v>
          </cell>
          <cell r="G137">
            <v>0</v>
          </cell>
        </row>
        <row r="138">
          <cell r="E138">
            <v>901275654</v>
          </cell>
          <cell r="F138" t="str">
            <v>AV UNIVERSITARIA 75A- 0</v>
          </cell>
          <cell r="G138">
            <v>3162494850</v>
          </cell>
        </row>
        <row r="139">
          <cell r="E139">
            <v>24113468</v>
          </cell>
          <cell r="F139" t="str">
            <v>CRR 10 N 8 - 21</v>
          </cell>
          <cell r="G139">
            <v>7703813</v>
          </cell>
        </row>
        <row r="140">
          <cell r="E140">
            <v>23926839</v>
          </cell>
          <cell r="F140" t="str">
            <v>CALLE 11 NO 17-01</v>
          </cell>
          <cell r="G140">
            <v>3132885020</v>
          </cell>
        </row>
        <row r="141">
          <cell r="E141">
            <v>901096090</v>
          </cell>
          <cell r="F141" t="str">
            <v>DIAGONAL 59 NO 11A-120 SOGAMOSO</v>
          </cell>
          <cell r="G141">
            <v>3007210463</v>
          </cell>
        </row>
        <row r="142">
          <cell r="E142">
            <v>901174543</v>
          </cell>
          <cell r="F142" t="str">
            <v>CALLE 18 NO 12-53</v>
          </cell>
          <cell r="G142">
            <v>3114909515</v>
          </cell>
        </row>
        <row r="143">
          <cell r="E143">
            <v>46368790</v>
          </cell>
          <cell r="F143" t="str">
            <v>CALLE 10C NO 37-38</v>
          </cell>
          <cell r="G143">
            <v>3115495879</v>
          </cell>
        </row>
        <row r="144">
          <cell r="E144">
            <v>1055315958</v>
          </cell>
          <cell r="F144" t="str">
            <v>CARRERA 24 NO 5C-35 SOGAMOSO</v>
          </cell>
          <cell r="G144">
            <v>3114752865</v>
          </cell>
        </row>
        <row r="145">
          <cell r="E145">
            <v>74271071</v>
          </cell>
          <cell r="F145" t="str">
            <v>CARRERA 4 NO 4-62</v>
          </cell>
          <cell r="G145">
            <v>3203002887</v>
          </cell>
        </row>
        <row r="146">
          <cell r="E146">
            <v>1052403933</v>
          </cell>
          <cell r="F146" t="str">
            <v>CARRERA 10A NO 29A-40</v>
          </cell>
          <cell r="G146">
            <v>3115135371</v>
          </cell>
        </row>
        <row r="147">
          <cell r="E147">
            <v>1057512303</v>
          </cell>
          <cell r="F147" t="str">
            <v>VEREDA LA VILLA GAMEZA</v>
          </cell>
          <cell r="G147">
            <v>3143893682</v>
          </cell>
        </row>
        <row r="148">
          <cell r="E148">
            <v>23765127</v>
          </cell>
          <cell r="F148" t="str">
            <v>CRA 20 NO 2-85</v>
          </cell>
          <cell r="G148" t="str">
            <v>3103076015_x000D_
3103076015</v>
          </cell>
        </row>
        <row r="149">
          <cell r="E149">
            <v>24099594</v>
          </cell>
          <cell r="F149" t="str">
            <v>CRA 4A NO 1B-06</v>
          </cell>
          <cell r="G149">
            <v>3208266696</v>
          </cell>
        </row>
        <row r="150">
          <cell r="E150">
            <v>901145013</v>
          </cell>
          <cell r="F150" t="str">
            <v>CALLE 25 NO 22-71</v>
          </cell>
          <cell r="G150">
            <v>6087852983</v>
          </cell>
        </row>
        <row r="151">
          <cell r="E151">
            <v>41749066</v>
          </cell>
          <cell r="F151" t="str">
            <v>CRA 9 NO 13-55</v>
          </cell>
          <cell r="G151">
            <v>87320208</v>
          </cell>
        </row>
        <row r="152">
          <cell r="E152">
            <v>1052413168</v>
          </cell>
          <cell r="F152" t="str">
            <v>CALLE 169 NO 48A-31</v>
          </cell>
          <cell r="G152">
            <v>3124028672</v>
          </cell>
        </row>
        <row r="153">
          <cell r="E153">
            <v>46368458</v>
          </cell>
          <cell r="F153" t="str">
            <v>CRA 6A NO 17-76</v>
          </cell>
          <cell r="G153">
            <v>3133511505</v>
          </cell>
        </row>
        <row r="154">
          <cell r="E154">
            <v>901095291</v>
          </cell>
          <cell r="F154" t="str">
            <v>VEREDA SALITRE ALTO SEC MUZO</v>
          </cell>
          <cell r="G154">
            <v>3125228149</v>
          </cell>
        </row>
        <row r="155">
          <cell r="E155">
            <v>74356547</v>
          </cell>
          <cell r="F155" t="str">
            <v>CALLE 35 NO 3-70</v>
          </cell>
          <cell r="G155">
            <v>3125836463</v>
          </cell>
        </row>
        <row r="156">
          <cell r="E156">
            <v>1002692400</v>
          </cell>
          <cell r="F156" t="str">
            <v>ESE CENTRO DE SALUD DE SACHICA</v>
          </cell>
          <cell r="G156">
            <v>0</v>
          </cell>
        </row>
        <row r="157">
          <cell r="E157">
            <v>9529733</v>
          </cell>
          <cell r="F157" t="str">
            <v>CALLE 15 NO 11-95</v>
          </cell>
          <cell r="G157">
            <v>7720538</v>
          </cell>
        </row>
        <row r="158">
          <cell r="E158">
            <v>901465361</v>
          </cell>
          <cell r="F158" t="str">
            <v>CARRERA 23 NO 22-51</v>
          </cell>
          <cell r="G158">
            <v>3125857981</v>
          </cell>
        </row>
        <row r="159">
          <cell r="E159">
            <v>3077174</v>
          </cell>
          <cell r="F159" t="str">
            <v>CARRERA 36 NO 8-25</v>
          </cell>
          <cell r="G159">
            <v>3112176930</v>
          </cell>
        </row>
        <row r="160">
          <cell r="E160">
            <v>52249659</v>
          </cell>
          <cell r="F160" t="str">
            <v>CALLE 3 NO 25B-15</v>
          </cell>
          <cell r="G160">
            <v>3112441532</v>
          </cell>
        </row>
        <row r="161">
          <cell r="E161">
            <v>24100224</v>
          </cell>
          <cell r="F161" t="str">
            <v>CRA 11 NO 7-70</v>
          </cell>
          <cell r="G161">
            <v>3143497124</v>
          </cell>
        </row>
        <row r="162">
          <cell r="E162">
            <v>68305318</v>
          </cell>
          <cell r="F162" t="str">
            <v>CARRERA 6 NO 2-20</v>
          </cell>
          <cell r="G162">
            <v>3142379327</v>
          </cell>
        </row>
        <row r="163">
          <cell r="E163">
            <v>24149676</v>
          </cell>
          <cell r="F163" t="str">
            <v>ESE SAN FRANCISCO DE SLG</v>
          </cell>
          <cell r="G163">
            <v>0</v>
          </cell>
        </row>
        <row r="164">
          <cell r="E164">
            <v>1018507334</v>
          </cell>
          <cell r="F164" t="str">
            <v>CARRERA 7 NO 4-124</v>
          </cell>
          <cell r="G164">
            <v>3203025408</v>
          </cell>
        </row>
        <row r="165">
          <cell r="E165">
            <v>1128191791</v>
          </cell>
          <cell r="F165" t="str">
            <v>CALLE 71 NO 68B 89 ENGATIVA</v>
          </cell>
          <cell r="G165">
            <v>3008495481</v>
          </cell>
        </row>
        <row r="166">
          <cell r="E166">
            <v>1018344184</v>
          </cell>
          <cell r="F166" t="str">
            <v>CALLE 8 NO 9-48</v>
          </cell>
          <cell r="G166">
            <v>3142150959</v>
          </cell>
        </row>
        <row r="167">
          <cell r="E167">
            <v>7210236</v>
          </cell>
          <cell r="F167" t="str">
            <v>CARRERA 12 NO 14-11</v>
          </cell>
          <cell r="G167">
            <v>6087728488</v>
          </cell>
        </row>
        <row r="168">
          <cell r="E168">
            <v>74082397</v>
          </cell>
          <cell r="F168" t="str">
            <v>CALLE 14 NO 10-10 APTO 401</v>
          </cell>
          <cell r="G168">
            <v>3118486950</v>
          </cell>
        </row>
        <row r="169">
          <cell r="E169">
            <v>1085335048</v>
          </cell>
          <cell r="F169" t="str">
            <v>CALLE 5 NO 5-24</v>
          </cell>
          <cell r="G169">
            <v>3105377942</v>
          </cell>
        </row>
        <row r="170">
          <cell r="E170">
            <v>1057599025</v>
          </cell>
          <cell r="F170" t="str">
            <v>CARRERA 31 NO 5C-47 SOGAMOSO</v>
          </cell>
          <cell r="G170">
            <v>3115978356</v>
          </cell>
        </row>
        <row r="171">
          <cell r="E171">
            <v>46387465</v>
          </cell>
          <cell r="F171" t="str">
            <v>CALLE 1 SUR NO 04-94 SOGAMOSO</v>
          </cell>
          <cell r="G171">
            <v>3108002763</v>
          </cell>
        </row>
        <row r="172">
          <cell r="E172">
            <v>1057464523</v>
          </cell>
          <cell r="F172" t="str">
            <v>CALE 5 NO 5-123</v>
          </cell>
          <cell r="G172">
            <v>3108511098</v>
          </cell>
        </row>
        <row r="173">
          <cell r="E173">
            <v>1017179553</v>
          </cell>
          <cell r="F173" t="str">
            <v>CARRERA 11B NO 21-25</v>
          </cell>
          <cell r="G173">
            <v>3507465651</v>
          </cell>
        </row>
        <row r="174">
          <cell r="E174">
            <v>900137023</v>
          </cell>
          <cell r="F174" t="str">
            <v>CALLE 25 NO 22 18</v>
          </cell>
          <cell r="G174">
            <v>7451818</v>
          </cell>
        </row>
        <row r="175">
          <cell r="E175">
            <v>1007135659</v>
          </cell>
          <cell r="F175" t="str">
            <v>CALLE 7 NO 04-87</v>
          </cell>
          <cell r="G175">
            <v>3115020554</v>
          </cell>
        </row>
        <row r="176">
          <cell r="E176">
            <v>1056956356</v>
          </cell>
          <cell r="F176" t="str">
            <v>VEREDA MONTOYA</v>
          </cell>
          <cell r="G176">
            <v>3138876365</v>
          </cell>
        </row>
        <row r="177">
          <cell r="E177">
            <v>1053349386</v>
          </cell>
          <cell r="F177" t="str">
            <v>CALLE 4 NO 5-74 SPB</v>
          </cell>
          <cell r="G177">
            <v>3124007164</v>
          </cell>
        </row>
        <row r="178">
          <cell r="E178">
            <v>24219044</v>
          </cell>
          <cell r="F178" t="str">
            <v>VEREDA SUPATA VENTAQUEMADA</v>
          </cell>
          <cell r="G178">
            <v>3103484604</v>
          </cell>
        </row>
        <row r="179">
          <cell r="E179">
            <v>9397689</v>
          </cell>
          <cell r="F179" t="str">
            <v>CENTRO AQUITANIA</v>
          </cell>
          <cell r="G179">
            <v>3112524300</v>
          </cell>
        </row>
        <row r="180">
          <cell r="E180">
            <v>7320824</v>
          </cell>
          <cell r="F180" t="str">
            <v>CARRERA 10 NO 18-22</v>
          </cell>
          <cell r="G180">
            <v>3144337958</v>
          </cell>
        </row>
        <row r="181">
          <cell r="E181">
            <v>1054121122</v>
          </cell>
          <cell r="F181" t="str">
            <v>TRANSV OEN 71-18 TUNJA</v>
          </cell>
          <cell r="G181">
            <v>3205790313</v>
          </cell>
        </row>
        <row r="182">
          <cell r="E182">
            <v>1057463670</v>
          </cell>
          <cell r="F182" t="str">
            <v>CALLE 9 NO 5-67</v>
          </cell>
          <cell r="G182">
            <v>3124365650</v>
          </cell>
        </row>
        <row r="183">
          <cell r="E183">
            <v>72327102</v>
          </cell>
          <cell r="F183" t="str">
            <v>MZ E NO 6-21</v>
          </cell>
          <cell r="G183">
            <v>3212843712</v>
          </cell>
        </row>
        <row r="184">
          <cell r="E184">
            <v>1071166724</v>
          </cell>
          <cell r="F184" t="str">
            <v>CARRERA 26 NO 16-128</v>
          </cell>
          <cell r="G184">
            <v>3155821445</v>
          </cell>
        </row>
        <row r="185">
          <cell r="E185">
            <v>46452495</v>
          </cell>
          <cell r="F185" t="str">
            <v>CALLE 8 NO 8-32</v>
          </cell>
          <cell r="G185">
            <v>3142698509</v>
          </cell>
        </row>
        <row r="186">
          <cell r="E186">
            <v>53096751</v>
          </cell>
          <cell r="F186" t="str">
            <v>CALLE 8 NO 5-08</v>
          </cell>
          <cell r="G186">
            <v>3124480401</v>
          </cell>
        </row>
        <row r="187">
          <cell r="E187">
            <v>23963923</v>
          </cell>
          <cell r="F187" t="str">
            <v>CARRERA 6 NO 7-49</v>
          </cell>
          <cell r="G187">
            <v>7327546</v>
          </cell>
        </row>
        <row r="188">
          <cell r="E188">
            <v>1056957349</v>
          </cell>
          <cell r="F188" t="str">
            <v>SECTOR EL CARPI</v>
          </cell>
          <cell r="G188">
            <v>3133450609</v>
          </cell>
        </row>
        <row r="189">
          <cell r="E189">
            <v>46374144</v>
          </cell>
          <cell r="F189" t="str">
            <v>CARRERA 18 NO 11A-54</v>
          </cell>
          <cell r="G189">
            <v>3187058671</v>
          </cell>
        </row>
        <row r="190">
          <cell r="E190">
            <v>1007135108</v>
          </cell>
          <cell r="F190" t="str">
            <v>CARRERA 3 NO 5-10 SAN LUIS</v>
          </cell>
          <cell r="G190">
            <v>3203608076</v>
          </cell>
        </row>
        <row r="191">
          <cell r="E191">
            <v>23966687</v>
          </cell>
          <cell r="F191" t="str">
            <v>CALLE 8 NO 2-82</v>
          </cell>
          <cell r="G191">
            <v>3115652525</v>
          </cell>
        </row>
        <row r="192">
          <cell r="E192">
            <v>1057466148</v>
          </cell>
          <cell r="F192" t="str">
            <v>VEREDA RESGUARDO BAJO</v>
          </cell>
          <cell r="G192">
            <v>3204318891</v>
          </cell>
        </row>
        <row r="193">
          <cell r="E193">
            <v>72325564</v>
          </cell>
          <cell r="F193" t="str">
            <v>CRA 6 NO 9-35</v>
          </cell>
          <cell r="G193">
            <v>3105806012</v>
          </cell>
        </row>
        <row r="194">
          <cell r="E194">
            <v>79307505</v>
          </cell>
          <cell r="F194" t="str">
            <v>CALLE 12A NO 11-5</v>
          </cell>
          <cell r="G194">
            <v>3138563784</v>
          </cell>
        </row>
        <row r="195">
          <cell r="E195">
            <v>33630743</v>
          </cell>
          <cell r="F195" t="str">
            <v>CALLE 7 NO 3-15 TASCO</v>
          </cell>
          <cell r="G195">
            <v>3218839538</v>
          </cell>
        </row>
        <row r="196">
          <cell r="E196">
            <v>23914386</v>
          </cell>
          <cell r="F196" t="str">
            <v>SOCHA VIEJO</v>
          </cell>
          <cell r="G196">
            <v>3107804659</v>
          </cell>
        </row>
        <row r="197">
          <cell r="E197">
            <v>23946021</v>
          </cell>
          <cell r="F197" t="str">
            <v>VEREDA QUEBRADAS AQUITANIA</v>
          </cell>
          <cell r="G197">
            <v>3204195200</v>
          </cell>
        </row>
        <row r="198">
          <cell r="E198">
            <v>46372000</v>
          </cell>
          <cell r="F198" t="str">
            <v>CALLE 2 NO 10BIS-21</v>
          </cell>
          <cell r="G198">
            <v>3134962070</v>
          </cell>
        </row>
        <row r="199">
          <cell r="E199">
            <v>46385629</v>
          </cell>
          <cell r="F199" t="str">
            <v>VDA. HATO LAGUNA</v>
          </cell>
          <cell r="G199">
            <v>3112394872</v>
          </cell>
        </row>
        <row r="200">
          <cell r="E200">
            <v>890903790</v>
          </cell>
          <cell r="F200" t="str">
            <v>CALLE 49A NO 63-55</v>
          </cell>
          <cell r="G200">
            <v>4444578</v>
          </cell>
        </row>
        <row r="201">
          <cell r="E201">
            <v>860011153</v>
          </cell>
          <cell r="F201" t="str">
            <v>CALLE 22 NO 9-84</v>
          </cell>
          <cell r="G201">
            <v>7432085</v>
          </cell>
        </row>
        <row r="202">
          <cell r="E202">
            <v>46368751</v>
          </cell>
          <cell r="F202" t="str">
            <v>CRA 10 NO 8 39</v>
          </cell>
          <cell r="G202">
            <v>3125543361</v>
          </cell>
        </row>
        <row r="203">
          <cell r="E203">
            <v>23944566</v>
          </cell>
          <cell r="F203" t="str">
            <v>CARRERA 10 NO 8-09</v>
          </cell>
          <cell r="G203">
            <v>3125611169</v>
          </cell>
        </row>
        <row r="204">
          <cell r="E204">
            <v>46355380</v>
          </cell>
          <cell r="F204" t="str">
            <v>CALLE 8 NO 7-60</v>
          </cell>
          <cell r="G204">
            <v>7794681</v>
          </cell>
        </row>
        <row r="205">
          <cell r="E205">
            <v>41738604</v>
          </cell>
          <cell r="F205" t="str">
            <v>CALLE 25 NO 19-37</v>
          </cell>
          <cell r="G205">
            <v>7852346</v>
          </cell>
        </row>
        <row r="206">
          <cell r="E206">
            <v>19205361</v>
          </cell>
          <cell r="F206" t="str">
            <v>CARRERA 19 NO 26-01</v>
          </cell>
          <cell r="G206">
            <v>7852443</v>
          </cell>
        </row>
        <row r="207">
          <cell r="E207">
            <v>4277775</v>
          </cell>
          <cell r="F207" t="str">
            <v>SECTOR SANTA TERESA TIBASOSA</v>
          </cell>
          <cell r="G207">
            <v>3118830672</v>
          </cell>
        </row>
        <row r="208">
          <cell r="E208">
            <v>4268109</v>
          </cell>
          <cell r="F208" t="str">
            <v>CARRERA 2 NO 5-135</v>
          </cell>
          <cell r="G208">
            <v>3103246497</v>
          </cell>
        </row>
        <row r="209">
          <cell r="E209">
            <v>52040495</v>
          </cell>
          <cell r="F209" t="str">
            <v>CARRERA 5 NO 6-63 SAN LUIS</v>
          </cell>
          <cell r="G209">
            <v>3204605371</v>
          </cell>
        </row>
        <row r="210">
          <cell r="E210">
            <v>1055504341</v>
          </cell>
          <cell r="F210" t="str">
            <v>CARRERA 8 NO 7-36</v>
          </cell>
          <cell r="G210">
            <v>3118895836</v>
          </cell>
        </row>
        <row r="211">
          <cell r="E211">
            <v>4144081</v>
          </cell>
          <cell r="F211" t="str">
            <v>CENTRO DE SALUD DE LABRANZAGRANDE</v>
          </cell>
          <cell r="G211">
            <v>0</v>
          </cell>
        </row>
        <row r="212">
          <cell r="E212">
            <v>860524654</v>
          </cell>
          <cell r="F212" t="str">
            <v>CALLE 100 NO 9A 45</v>
          </cell>
          <cell r="G212">
            <v>6464330</v>
          </cell>
        </row>
        <row r="213">
          <cell r="E213">
            <v>900014237</v>
          </cell>
          <cell r="F213" t="str">
            <v>CALLE 17 NO 27-56</v>
          </cell>
          <cell r="G213">
            <v>6357082</v>
          </cell>
        </row>
        <row r="214">
          <cell r="E214">
            <v>900935126</v>
          </cell>
          <cell r="F214" t="str">
            <v>CARRERA 4 NO 18-46</v>
          </cell>
          <cell r="G214">
            <v>6028353783</v>
          </cell>
        </row>
        <row r="215">
          <cell r="E215">
            <v>901292442</v>
          </cell>
          <cell r="F215" t="str">
            <v>CALLE 102 70B 57 P1</v>
          </cell>
          <cell r="G215">
            <v>3138394930</v>
          </cell>
        </row>
        <row r="216">
          <cell r="E216">
            <v>900319291</v>
          </cell>
          <cell r="F216" t="str">
            <v>CARRERA 26 NO 61C-21 BOGOTA</v>
          </cell>
          <cell r="G216">
            <v>6014875111</v>
          </cell>
        </row>
        <row r="217">
          <cell r="E217">
            <v>24117622</v>
          </cell>
          <cell r="F217" t="str">
            <v>CARRERA 11 # 21-15</v>
          </cell>
          <cell r="G217">
            <v>0</v>
          </cell>
        </row>
        <row r="218">
          <cell r="E218">
            <v>800064337</v>
          </cell>
          <cell r="F218" t="str">
            <v>CRA 9 NO 69A-75</v>
          </cell>
          <cell r="G218">
            <v>3102971</v>
          </cell>
        </row>
        <row r="219">
          <cell r="E219">
            <v>1056798903</v>
          </cell>
          <cell r="F219" t="str">
            <v>SAMACA</v>
          </cell>
          <cell r="G219">
            <v>3125711839</v>
          </cell>
        </row>
        <row r="220">
          <cell r="E220">
            <v>1052407363</v>
          </cell>
          <cell r="F220" t="str">
            <v>ESE DE PAYA</v>
          </cell>
          <cell r="G220">
            <v>3124570682</v>
          </cell>
        </row>
        <row r="221">
          <cell r="E221">
            <v>4207697</v>
          </cell>
          <cell r="F221" t="str">
            <v>CRA 23 NO 22-51</v>
          </cell>
          <cell r="G221">
            <v>7852449</v>
          </cell>
        </row>
        <row r="222">
          <cell r="E222">
            <v>37943663</v>
          </cell>
          <cell r="F222" t="str">
            <v>CALLE 25 NO 19-36</v>
          </cell>
          <cell r="G222">
            <v>7850016</v>
          </cell>
        </row>
        <row r="223">
          <cell r="E223">
            <v>7212487</v>
          </cell>
          <cell r="F223" t="str">
            <v>CALLE 25 NO 19-03</v>
          </cell>
          <cell r="G223">
            <v>7850912</v>
          </cell>
        </row>
        <row r="224">
          <cell r="E224">
            <v>23944338</v>
          </cell>
          <cell r="F224" t="str">
            <v>CALLE 8 CO CARRERA 7</v>
          </cell>
          <cell r="G224">
            <v>0</v>
          </cell>
        </row>
        <row r="225">
          <cell r="E225">
            <v>40033976</v>
          </cell>
          <cell r="F225" t="str">
            <v>CRA 6 NO 17-77 APTO 202B</v>
          </cell>
          <cell r="G225">
            <v>3107896633</v>
          </cell>
        </row>
        <row r="226">
          <cell r="E226">
            <v>1057601689</v>
          </cell>
          <cell r="F226" t="str">
            <v>VEREDA TOQUILLA</v>
          </cell>
          <cell r="G226">
            <v>3219258408</v>
          </cell>
        </row>
        <row r="227">
          <cell r="E227">
            <v>46357040</v>
          </cell>
          <cell r="F227" t="str">
            <v>ESEW SALUD AQUITANIA</v>
          </cell>
          <cell r="G227">
            <v>3108186039</v>
          </cell>
        </row>
        <row r="228">
          <cell r="E228">
            <v>23946245</v>
          </cell>
          <cell r="F228" t="str">
            <v>VEREDA HATO VIEJO</v>
          </cell>
          <cell r="G228">
            <v>3133866865</v>
          </cell>
        </row>
        <row r="229">
          <cell r="E229">
            <v>1051477910</v>
          </cell>
          <cell r="F229" t="str">
            <v>CALLE 8 7-60</v>
          </cell>
          <cell r="G229">
            <v>7794136</v>
          </cell>
        </row>
        <row r="230">
          <cell r="E230">
            <v>1051476360</v>
          </cell>
          <cell r="F230" t="str">
            <v>VEREDA CAJON</v>
          </cell>
          <cell r="G230">
            <v>3123074124</v>
          </cell>
        </row>
        <row r="231">
          <cell r="E231">
            <v>80469929</v>
          </cell>
          <cell r="F231" t="str">
            <v>CRA 3 NO 5B 00 SOCOTA</v>
          </cell>
          <cell r="G231">
            <v>3133658321</v>
          </cell>
        </row>
        <row r="232">
          <cell r="E232">
            <v>24090863</v>
          </cell>
          <cell r="F232" t="str">
            <v>AVENIDA LA PLAYA NO 7-82</v>
          </cell>
          <cell r="G232">
            <v>3112815942</v>
          </cell>
        </row>
        <row r="233">
          <cell r="E233">
            <v>1078348095</v>
          </cell>
          <cell r="F233" t="str">
            <v>VDA CUAYA</v>
          </cell>
          <cell r="G233">
            <v>3138375189</v>
          </cell>
        </row>
        <row r="234">
          <cell r="E234">
            <v>1002539348</v>
          </cell>
          <cell r="F234" t="str">
            <v>CALLE 1 NO 5-05</v>
          </cell>
          <cell r="G234">
            <v>3186254502</v>
          </cell>
        </row>
        <row r="235">
          <cell r="E235">
            <v>1058430374</v>
          </cell>
          <cell r="F235" t="str">
            <v>CENTRO TASCO</v>
          </cell>
          <cell r="G235">
            <v>3124281429</v>
          </cell>
        </row>
        <row r="236">
          <cell r="E236">
            <v>46363591</v>
          </cell>
          <cell r="F236" t="str">
            <v>CALLE 7 NO 9-27</v>
          </cell>
          <cell r="G236">
            <v>3017809655</v>
          </cell>
        </row>
        <row r="237">
          <cell r="E237">
            <v>1053610332</v>
          </cell>
          <cell r="F237" t="str">
            <v>MANZANA L CASA 11 URB SA DANIEL PAIPA</v>
          </cell>
          <cell r="G237">
            <v>3204935343</v>
          </cell>
        </row>
        <row r="238">
          <cell r="E238">
            <v>1056957385</v>
          </cell>
          <cell r="F238" t="str">
            <v>VEREDA SAN JOSE</v>
          </cell>
          <cell r="G238">
            <v>3228395424</v>
          </cell>
        </row>
        <row r="239">
          <cell r="E239">
            <v>9536288</v>
          </cell>
          <cell r="F239" t="str">
            <v>VEREDA BOJIRQUE</v>
          </cell>
          <cell r="G239">
            <v>3212834463</v>
          </cell>
        </row>
        <row r="240">
          <cell r="E240">
            <v>63336438</v>
          </cell>
          <cell r="F240" t="str">
            <v>CALLE 127C BIS NO 7-25</v>
          </cell>
          <cell r="G240">
            <v>0</v>
          </cell>
        </row>
        <row r="241">
          <cell r="E241">
            <v>7176096</v>
          </cell>
          <cell r="F241" t="str">
            <v>CRA 5 NO 41-94</v>
          </cell>
          <cell r="G241">
            <v>3188017774</v>
          </cell>
        </row>
        <row r="242">
          <cell r="E242">
            <v>23966750</v>
          </cell>
          <cell r="F242" t="str">
            <v>MZ K CASA 4 B. PRIMAVERA II</v>
          </cell>
          <cell r="G242">
            <v>3138204765</v>
          </cell>
        </row>
        <row r="243">
          <cell r="E243">
            <v>23966540</v>
          </cell>
          <cell r="F243" t="str">
            <v>CENTRO</v>
          </cell>
          <cell r="G243">
            <v>0</v>
          </cell>
        </row>
        <row r="244">
          <cell r="E244">
            <v>47441865</v>
          </cell>
          <cell r="F244" t="str">
            <v>TERMINAL DE TRANSPORTE AGUAZUL</v>
          </cell>
          <cell r="G244">
            <v>3204894293</v>
          </cell>
        </row>
        <row r="245">
          <cell r="E245">
            <v>1096244123</v>
          </cell>
          <cell r="F245" t="str">
            <v>CARRERA 9A NO 14A-34</v>
          </cell>
          <cell r="G245">
            <v>3234381644</v>
          </cell>
        </row>
        <row r="246">
          <cell r="E246">
            <v>1049626478</v>
          </cell>
          <cell r="F246" t="str">
            <v>MZ 12 CASA 8</v>
          </cell>
          <cell r="G246">
            <v>0</v>
          </cell>
        </row>
        <row r="247">
          <cell r="E247">
            <v>74861552</v>
          </cell>
          <cell r="F247" t="str">
            <v>TRANSVERSAL 8 NO 28-25</v>
          </cell>
          <cell r="G247">
            <v>3133896444</v>
          </cell>
        </row>
        <row r="248">
          <cell r="E248">
            <v>4221222</v>
          </cell>
          <cell r="F248" t="str">
            <v>CALLE 8 NO 2-40</v>
          </cell>
          <cell r="G248">
            <v>3125975076</v>
          </cell>
        </row>
        <row r="249">
          <cell r="E249">
            <v>1018417522</v>
          </cell>
          <cell r="F249" t="str">
            <v>CENTRO_x000D_
CENTRO</v>
          </cell>
          <cell r="G249">
            <v>0</v>
          </cell>
        </row>
        <row r="250">
          <cell r="E250">
            <v>72325262</v>
          </cell>
          <cell r="F250" t="str">
            <v>CALLE 8 NO 3-32</v>
          </cell>
          <cell r="G250">
            <v>3124049138</v>
          </cell>
        </row>
        <row r="251">
          <cell r="E251">
            <v>1016087165</v>
          </cell>
          <cell r="F251" t="str">
            <v>CALLE 8 NO 5-33</v>
          </cell>
          <cell r="G251">
            <v>3193799197</v>
          </cell>
        </row>
        <row r="252">
          <cell r="E252">
            <v>47430502</v>
          </cell>
          <cell r="F252" t="str">
            <v>CARRERA 31A NO 30-15</v>
          </cell>
          <cell r="G252">
            <v>3134016842</v>
          </cell>
        </row>
        <row r="253">
          <cell r="E253">
            <v>52712850</v>
          </cell>
          <cell r="F253" t="str">
            <v>CRA 5 NO 7-65</v>
          </cell>
          <cell r="G253">
            <v>3112179745</v>
          </cell>
        </row>
        <row r="254">
          <cell r="E254">
            <v>1052402981</v>
          </cell>
          <cell r="F254" t="str">
            <v>CARRERA 16 NO 8-23</v>
          </cell>
          <cell r="G254">
            <v>3114472788</v>
          </cell>
        </row>
        <row r="255">
          <cell r="E255">
            <v>52938294</v>
          </cell>
          <cell r="F255" t="str">
            <v>AQUITANIA</v>
          </cell>
          <cell r="G255">
            <v>3118033369</v>
          </cell>
        </row>
        <row r="256">
          <cell r="E256">
            <v>1049620090</v>
          </cell>
          <cell r="F256" t="str">
            <v>CARRERA 7 NO 6-68</v>
          </cell>
          <cell r="G256">
            <v>3132450054</v>
          </cell>
        </row>
        <row r="257">
          <cell r="E257">
            <v>9590129</v>
          </cell>
          <cell r="F257" t="str">
            <v>CARRERA 7 NO 4-98</v>
          </cell>
          <cell r="G257">
            <v>3132377209</v>
          </cell>
        </row>
        <row r="258">
          <cell r="E258">
            <v>23324729</v>
          </cell>
          <cell r="F258" t="str">
            <v>CALLE 8 NO 1-12</v>
          </cell>
          <cell r="G258">
            <v>3204201660</v>
          </cell>
        </row>
        <row r="259">
          <cell r="E259">
            <v>24081182</v>
          </cell>
          <cell r="F259" t="str">
            <v>CRA 12 NO 16A-14</v>
          </cell>
          <cell r="G259">
            <v>3204305422</v>
          </cell>
        </row>
        <row r="260">
          <cell r="E260">
            <v>1052314975</v>
          </cell>
          <cell r="F260" t="str">
            <v>CARRERA 5 NO 8-35</v>
          </cell>
          <cell r="G260">
            <v>3182448958</v>
          </cell>
        </row>
        <row r="261">
          <cell r="E261">
            <v>20652450</v>
          </cell>
          <cell r="F261" t="str">
            <v>CALLE 8 NO 10-77</v>
          </cell>
          <cell r="G261">
            <v>3114491181</v>
          </cell>
        </row>
        <row r="262">
          <cell r="E262">
            <v>24100657</v>
          </cell>
          <cell r="F262" t="str">
            <v>CRA 11 NO 7-70</v>
          </cell>
          <cell r="G262">
            <v>3125651215</v>
          </cell>
        </row>
        <row r="263">
          <cell r="E263">
            <v>28020130</v>
          </cell>
          <cell r="F263" t="str">
            <v>CENTRO LABRANZAGRANDE</v>
          </cell>
          <cell r="G263">
            <v>3144164798</v>
          </cell>
        </row>
        <row r="264">
          <cell r="E264">
            <v>46373701</v>
          </cell>
          <cell r="F264" t="str">
            <v>CARRERA 17A NO 4A-53 SOGAMOSO</v>
          </cell>
          <cell r="G264">
            <v>3043582775</v>
          </cell>
        </row>
        <row r="265">
          <cell r="E265">
            <v>900524785</v>
          </cell>
          <cell r="F265" t="str">
            <v>KILOMETRO 6,5 DUITAMA NOBSA</v>
          </cell>
          <cell r="G265">
            <v>3204063047</v>
          </cell>
        </row>
        <row r="266">
          <cell r="E266">
            <v>800037800</v>
          </cell>
          <cell r="F266" t="str">
            <v>CALLE 25 NO 19-124</v>
          </cell>
          <cell r="G266">
            <v>7850048</v>
          </cell>
        </row>
        <row r="267">
          <cell r="E267">
            <v>860035827</v>
          </cell>
          <cell r="F267" t="str">
            <v>CALLE 16 NO 15-23</v>
          </cell>
          <cell r="G267">
            <v>7605719</v>
          </cell>
        </row>
        <row r="268">
          <cell r="E268">
            <v>860003020</v>
          </cell>
          <cell r="F268" t="str">
            <v>CALLE 15 NO 15-75</v>
          </cell>
          <cell r="G268">
            <v>7600127</v>
          </cell>
        </row>
        <row r="269">
          <cell r="E269">
            <v>860007335</v>
          </cell>
          <cell r="F269" t="str">
            <v>CALLE 15 NO 15-02</v>
          </cell>
          <cell r="G269">
            <v>7602378</v>
          </cell>
        </row>
        <row r="270">
          <cell r="E270">
            <v>860034594</v>
          </cell>
          <cell r="F270" t="str">
            <v>CRA 14 NO 15-10</v>
          </cell>
          <cell r="G270">
            <v>7429864</v>
          </cell>
        </row>
        <row r="271">
          <cell r="E271">
            <v>860034313</v>
          </cell>
          <cell r="F271" t="str">
            <v>CC INNOVO L 1-15-16</v>
          </cell>
          <cell r="G271">
            <v>7627928</v>
          </cell>
        </row>
        <row r="272">
          <cell r="E272">
            <v>860002964</v>
          </cell>
          <cell r="F272" t="str">
            <v>CALLE 15 NO 15-28</v>
          </cell>
          <cell r="G272">
            <v>7602160</v>
          </cell>
        </row>
        <row r="273">
          <cell r="E273">
            <v>860007660</v>
          </cell>
          <cell r="G273">
            <v>0</v>
          </cell>
        </row>
        <row r="274">
          <cell r="E274">
            <v>890300279</v>
          </cell>
          <cell r="F274" t="str">
            <v>CRA 14 NO 15-29</v>
          </cell>
          <cell r="G274">
            <v>7627500</v>
          </cell>
        </row>
        <row r="275">
          <cell r="E275">
            <v>860050750</v>
          </cell>
          <cell r="G275">
            <v>0</v>
          </cell>
        </row>
        <row r="276">
          <cell r="E276">
            <v>860007738</v>
          </cell>
          <cell r="F276" t="str">
            <v>CALLE 25 NO 20-58</v>
          </cell>
          <cell r="G276">
            <v>7850053</v>
          </cell>
        </row>
        <row r="277">
          <cell r="E277">
            <v>890903937</v>
          </cell>
          <cell r="F277" t="str">
            <v>CRA 10 NO 18-16</v>
          </cell>
          <cell r="G277">
            <v>7423365</v>
          </cell>
        </row>
        <row r="278">
          <cell r="E278">
            <v>890903938</v>
          </cell>
          <cell r="F278" t="str">
            <v>CALLE 29A NO 10-14</v>
          </cell>
          <cell r="G278">
            <v>7439457</v>
          </cell>
        </row>
        <row r="279">
          <cell r="E279">
            <v>23856982</v>
          </cell>
          <cell r="F279" t="str">
            <v>CARRERA 19 NO 22 60</v>
          </cell>
          <cell r="G279">
            <v>3167449776</v>
          </cell>
        </row>
        <row r="280">
          <cell r="E280">
            <v>46378244</v>
          </cell>
          <cell r="F280" t="str">
            <v>CALLE 43 NO 12-180</v>
          </cell>
          <cell r="G280">
            <v>3142566785</v>
          </cell>
        </row>
        <row r="281">
          <cell r="E281">
            <v>46385018</v>
          </cell>
          <cell r="F281" t="str">
            <v>CENTRO CORRALES</v>
          </cell>
          <cell r="G281">
            <v>3142568527</v>
          </cell>
        </row>
        <row r="282">
          <cell r="E282">
            <v>33378167</v>
          </cell>
          <cell r="F282" t="str">
            <v>CRA 5 NO 3-12</v>
          </cell>
          <cell r="G282">
            <v>3107581459</v>
          </cell>
        </row>
        <row r="283">
          <cell r="E283">
            <v>23809791</v>
          </cell>
          <cell r="F283" t="str">
            <v>CALLE 3 NO 10A INT 107 NOBSA</v>
          </cell>
          <cell r="G283">
            <v>3102651568</v>
          </cell>
        </row>
        <row r="284">
          <cell r="E284">
            <v>1002556990</v>
          </cell>
          <cell r="F284" t="str">
            <v>VEREDA COMAITA SOCOTA</v>
          </cell>
          <cell r="G284">
            <v>3214256157</v>
          </cell>
        </row>
        <row r="285">
          <cell r="E285">
            <v>1002556673</v>
          </cell>
          <cell r="F285" t="str">
            <v>BARRIO LA PLAYA</v>
          </cell>
          <cell r="G285">
            <v>3142395135</v>
          </cell>
        </row>
        <row r="286">
          <cell r="E286">
            <v>23810883</v>
          </cell>
          <cell r="F286" t="str">
            <v>CALLE 3 NO 10-135</v>
          </cell>
          <cell r="G286">
            <v>3112634202</v>
          </cell>
        </row>
        <row r="287">
          <cell r="E287">
            <v>1042995459</v>
          </cell>
          <cell r="F287" t="str">
            <v>CENTRO PAYA</v>
          </cell>
          <cell r="G287">
            <v>3132844921</v>
          </cell>
        </row>
        <row r="288">
          <cell r="E288">
            <v>1051476842</v>
          </cell>
          <cell r="F288" t="str">
            <v>CALLE 4 NO 7-53</v>
          </cell>
          <cell r="G288">
            <v>3202841180</v>
          </cell>
        </row>
        <row r="289">
          <cell r="E289">
            <v>1007493482</v>
          </cell>
          <cell r="F289" t="str">
            <v>CLLE 2B NO 8-81 SOGAMOSO</v>
          </cell>
          <cell r="G289">
            <v>3115203396</v>
          </cell>
        </row>
        <row r="290">
          <cell r="E290">
            <v>46358287</v>
          </cell>
          <cell r="F290" t="str">
            <v>CARRERA 12 NO 15-43</v>
          </cell>
          <cell r="G290">
            <v>3002145828</v>
          </cell>
        </row>
        <row r="291">
          <cell r="E291">
            <v>1052392298</v>
          </cell>
          <cell r="F291" t="str">
            <v>CALLE 10 NO 27-80</v>
          </cell>
          <cell r="G291">
            <v>3214666370</v>
          </cell>
        </row>
        <row r="292">
          <cell r="E292">
            <v>1051476029</v>
          </cell>
          <cell r="F292" t="str">
            <v>CALLE 5 NO 4-17</v>
          </cell>
          <cell r="G292">
            <v>7794681</v>
          </cell>
        </row>
        <row r="293">
          <cell r="E293">
            <v>46385258</v>
          </cell>
          <cell r="F293" t="str">
            <v>CARRERA 20 NO 14-70 SOGAMOSO</v>
          </cell>
          <cell r="G293">
            <v>3223091542</v>
          </cell>
        </row>
        <row r="294">
          <cell r="E294">
            <v>1058038072</v>
          </cell>
          <cell r="F294" t="str">
            <v>CALLE 4 NO 4-21</v>
          </cell>
          <cell r="G294">
            <v>3212634740</v>
          </cell>
        </row>
        <row r="295">
          <cell r="E295">
            <v>1054120433</v>
          </cell>
          <cell r="F295" t="str">
            <v>CENTRO</v>
          </cell>
          <cell r="G295">
            <v>3223313355</v>
          </cell>
        </row>
        <row r="296">
          <cell r="E296">
            <v>1002461307</v>
          </cell>
          <cell r="F296" t="str">
            <v>ESE DE RAQUIRA</v>
          </cell>
          <cell r="G296">
            <v>0</v>
          </cell>
        </row>
        <row r="297">
          <cell r="E297">
            <v>1057576714</v>
          </cell>
          <cell r="F297" t="str">
            <v>CARRERA 8 NO 8-27</v>
          </cell>
          <cell r="G297">
            <v>3223645467</v>
          </cell>
        </row>
        <row r="298">
          <cell r="E298">
            <v>1007751453</v>
          </cell>
          <cell r="F298" t="str">
            <v>CENTRO AQUITANIA</v>
          </cell>
          <cell r="G298">
            <v>3126017498</v>
          </cell>
        </row>
        <row r="299">
          <cell r="E299">
            <v>1002414917</v>
          </cell>
          <cell r="F299" t="str">
            <v>VEREDA SAN JUAN</v>
          </cell>
          <cell r="G299">
            <v>0</v>
          </cell>
        </row>
        <row r="300">
          <cell r="E300">
            <v>46355825</v>
          </cell>
          <cell r="F300" t="str">
            <v>CARRERA 3 NO 4-124</v>
          </cell>
          <cell r="G300">
            <v>7790188</v>
          </cell>
        </row>
        <row r="301">
          <cell r="E301">
            <v>1052398271</v>
          </cell>
          <cell r="F301" t="str">
            <v>CARRERA 3 NO 6-27</v>
          </cell>
          <cell r="G301">
            <v>3229334065</v>
          </cell>
        </row>
        <row r="302">
          <cell r="E302">
            <v>4282310</v>
          </cell>
          <cell r="F302" t="str">
            <v>CARRERA 4 NO 3-40</v>
          </cell>
          <cell r="G302">
            <v>3112647137</v>
          </cell>
        </row>
        <row r="303">
          <cell r="E303">
            <v>46377511</v>
          </cell>
          <cell r="F303" t="str">
            <v>CALLE 4 NO 3A-05</v>
          </cell>
          <cell r="G303">
            <v>3212703896</v>
          </cell>
        </row>
        <row r="304">
          <cell r="E304">
            <v>46387479</v>
          </cell>
          <cell r="F304" t="str">
            <v>CALLE 8 NO 5-40</v>
          </cell>
          <cell r="G304">
            <v>3212594765</v>
          </cell>
        </row>
        <row r="305">
          <cell r="E305">
            <v>1057548829</v>
          </cell>
          <cell r="F305" t="str">
            <v>ESE CENTRO DE SALUD DE UMBITA</v>
          </cell>
          <cell r="G305">
            <v>3203025408</v>
          </cell>
        </row>
        <row r="306">
          <cell r="E306">
            <v>23945469</v>
          </cell>
          <cell r="F306" t="str">
            <v>CARRERA 10 NO 5-34</v>
          </cell>
          <cell r="G306">
            <v>3212704217</v>
          </cell>
        </row>
        <row r="307">
          <cell r="E307">
            <v>46377465</v>
          </cell>
          <cell r="F307" t="str">
            <v>CRA 20 NO 11-30</v>
          </cell>
          <cell r="G307">
            <v>3133127575</v>
          </cell>
        </row>
        <row r="308">
          <cell r="E308">
            <v>1058431279</v>
          </cell>
          <cell r="F308" t="str">
            <v>CARRERA 7 NO 2-207</v>
          </cell>
          <cell r="G308">
            <v>3132226071</v>
          </cell>
        </row>
        <row r="309">
          <cell r="E309">
            <v>1051473222</v>
          </cell>
          <cell r="F309" t="str">
            <v>VEREDA HATO VIEJO</v>
          </cell>
          <cell r="G309">
            <v>3108717318</v>
          </cell>
        </row>
        <row r="310">
          <cell r="E310">
            <v>1053584067</v>
          </cell>
          <cell r="F310" t="str">
            <v>CALLE 4 NO 10-68</v>
          </cell>
          <cell r="G310">
            <v>3223723462</v>
          </cell>
        </row>
        <row r="311">
          <cell r="E311">
            <v>7306746</v>
          </cell>
          <cell r="F311" t="str">
            <v>CARRERA 4 NO 34-22</v>
          </cell>
          <cell r="G311">
            <v>3112783866</v>
          </cell>
        </row>
        <row r="312">
          <cell r="E312">
            <v>1058430673</v>
          </cell>
          <cell r="F312" t="str">
            <v>BARRIO LAS MARIAS MONGUI</v>
          </cell>
          <cell r="G312">
            <v>3102229633</v>
          </cell>
        </row>
        <row r="313">
          <cell r="E313">
            <v>1051473458</v>
          </cell>
          <cell r="F313" t="str">
            <v>CRA 9 NO 2 86</v>
          </cell>
          <cell r="G313">
            <v>3138729377</v>
          </cell>
        </row>
        <row r="314">
          <cell r="E314">
            <v>1002726169</v>
          </cell>
          <cell r="F314" t="str">
            <v>CARRERA 6 NO 7-16</v>
          </cell>
          <cell r="G314">
            <v>3223166812</v>
          </cell>
        </row>
        <row r="315">
          <cell r="E315">
            <v>4217139</v>
          </cell>
          <cell r="F315" t="str">
            <v>CENTRO PISBA</v>
          </cell>
          <cell r="G315">
            <v>3213173384</v>
          </cell>
        </row>
        <row r="316">
          <cell r="E316">
            <v>74081921</v>
          </cell>
          <cell r="F316" t="str">
            <v>VEREDA CHAMEZA MAYOR</v>
          </cell>
          <cell r="G316">
            <v>3226783968</v>
          </cell>
        </row>
        <row r="317">
          <cell r="E317">
            <v>7186492</v>
          </cell>
          <cell r="F317" t="str">
            <v>CARRERA 3 NO 32-25</v>
          </cell>
          <cell r="G317">
            <v>3208476025</v>
          </cell>
        </row>
        <row r="318">
          <cell r="E318">
            <v>4192934</v>
          </cell>
          <cell r="F318" t="str">
            <v>CARRERA 22 NO 22-82</v>
          </cell>
          <cell r="G318">
            <v>3214823426</v>
          </cell>
        </row>
        <row r="319">
          <cell r="E319">
            <v>4282283</v>
          </cell>
          <cell r="F319" t="str">
            <v>CARRERA 4 NO 7-06</v>
          </cell>
          <cell r="G319">
            <v>3143214209</v>
          </cell>
        </row>
        <row r="320">
          <cell r="E320">
            <v>1010138112</v>
          </cell>
          <cell r="F320" t="str">
            <v>ESE SALUD AQUITANIA</v>
          </cell>
          <cell r="G320">
            <v>0</v>
          </cell>
        </row>
        <row r="321">
          <cell r="E321">
            <v>46683319</v>
          </cell>
          <cell r="F321" t="str">
            <v>CALLE 28 NO 13A-39</v>
          </cell>
          <cell r="G321">
            <v>3125389396</v>
          </cell>
        </row>
        <row r="322">
          <cell r="E322">
            <v>33435722</v>
          </cell>
          <cell r="F322" t="str">
            <v>CARRERA 9 NO 12-102 QUIPAMA</v>
          </cell>
          <cell r="G322">
            <v>3228363203</v>
          </cell>
        </row>
        <row r="323">
          <cell r="E323">
            <v>74182093</v>
          </cell>
          <cell r="F323" t="str">
            <v>CARRERA 3 NO 4-53</v>
          </cell>
          <cell r="G323">
            <v>3107651045</v>
          </cell>
        </row>
        <row r="324">
          <cell r="E324">
            <v>23423769</v>
          </cell>
          <cell r="F324" t="str">
            <v>CARRERA 6 NO 3 59</v>
          </cell>
          <cell r="G324">
            <v>3132071623</v>
          </cell>
        </row>
        <row r="325">
          <cell r="E325">
            <v>1056957500</v>
          </cell>
          <cell r="F325" t="str">
            <v>AV CENTRAL TUNJA VENTA</v>
          </cell>
          <cell r="G325">
            <v>3057462964</v>
          </cell>
        </row>
        <row r="326">
          <cell r="E326">
            <v>24219433</v>
          </cell>
          <cell r="F326" t="str">
            <v>VEREDA SAN JOSE DEL GACAL</v>
          </cell>
          <cell r="G326">
            <v>3144724941</v>
          </cell>
        </row>
        <row r="327">
          <cell r="E327">
            <v>1057893255</v>
          </cell>
          <cell r="F327" t="str">
            <v>CALLE 4 NO 5 23</v>
          </cell>
          <cell r="G327">
            <v>3195244425</v>
          </cell>
        </row>
        <row r="328">
          <cell r="E328">
            <v>1053606869</v>
          </cell>
          <cell r="F328" t="str">
            <v>CALLE 25 NO 22-40 L 203</v>
          </cell>
          <cell r="G328">
            <v>3115804994</v>
          </cell>
        </row>
        <row r="329">
          <cell r="E329">
            <v>1057598298</v>
          </cell>
          <cell r="F329" t="str">
            <v>CARRERA 10 NO 27-82 SOGAMOSO</v>
          </cell>
          <cell r="G329">
            <v>3106284925</v>
          </cell>
        </row>
        <row r="330">
          <cell r="E330">
            <v>46379763</v>
          </cell>
          <cell r="F330" t="str">
            <v>CALLE 2 NO 10A-26</v>
          </cell>
          <cell r="G330">
            <v>3219095490</v>
          </cell>
        </row>
        <row r="331">
          <cell r="E331">
            <v>52047879</v>
          </cell>
          <cell r="F331" t="str">
            <v>VEREDA PETAGUERO</v>
          </cell>
          <cell r="G331">
            <v>3227099643</v>
          </cell>
        </row>
        <row r="332">
          <cell r="E332">
            <v>900860284</v>
          </cell>
          <cell r="F332" t="str">
            <v>KILOMETRO 2,5 VIA COLPAPEL</v>
          </cell>
          <cell r="G332">
            <v>3141820468</v>
          </cell>
        </row>
        <row r="333">
          <cell r="E333">
            <v>800147502</v>
          </cell>
          <cell r="F333" t="str">
            <v>CALLR 18 NO 11-22</v>
          </cell>
          <cell r="G333">
            <v>7427600</v>
          </cell>
        </row>
        <row r="334">
          <cell r="E334">
            <v>74451722</v>
          </cell>
          <cell r="F334" t="str">
            <v>CALLE 7 NO 7-04</v>
          </cell>
          <cell r="G334">
            <v>3213215048</v>
          </cell>
        </row>
        <row r="335">
          <cell r="E335">
            <v>5633837</v>
          </cell>
          <cell r="F335" t="str">
            <v>VEREDA PEÑA NEGRA</v>
          </cell>
          <cell r="G335">
            <v>3125592657</v>
          </cell>
        </row>
        <row r="336">
          <cell r="E336">
            <v>1052385894</v>
          </cell>
          <cell r="F336" t="str">
            <v>CARRERA 13 # 6A-24</v>
          </cell>
          <cell r="G336">
            <v>0</v>
          </cell>
        </row>
        <row r="337">
          <cell r="E337">
            <v>46355915</v>
          </cell>
          <cell r="F337" t="str">
            <v>CALLE 22B NO 19-17</v>
          </cell>
          <cell r="G337">
            <v>3138134005</v>
          </cell>
        </row>
        <row r="338">
          <cell r="E338">
            <v>1002414325</v>
          </cell>
          <cell r="F338" t="str">
            <v>CALLE 16A NO 0-15 AQUITANIA</v>
          </cell>
          <cell r="G338">
            <v>3102279195</v>
          </cell>
        </row>
        <row r="339">
          <cell r="E339">
            <v>52904455</v>
          </cell>
          <cell r="F339" t="str">
            <v>CALLE 168 NO 8D-40</v>
          </cell>
          <cell r="G339">
            <v>3113119645</v>
          </cell>
        </row>
        <row r="340">
          <cell r="E340">
            <v>1057582126</v>
          </cell>
          <cell r="F340" t="str">
            <v>VEREDA CEREZAL</v>
          </cell>
          <cell r="G340">
            <v>3173210075</v>
          </cell>
        </row>
        <row r="341">
          <cell r="E341">
            <v>1128024751</v>
          </cell>
          <cell r="F341" t="str">
            <v>CRA 9 NO 10-27</v>
          </cell>
          <cell r="G341">
            <v>3136015229</v>
          </cell>
        </row>
        <row r="342">
          <cell r="E342">
            <v>46359035</v>
          </cell>
          <cell r="F342" t="str">
            <v>CARRERA 11 NO 22-2 LOCAL 128</v>
          </cell>
          <cell r="G342">
            <v>7730145</v>
          </cell>
        </row>
        <row r="343">
          <cell r="E343">
            <v>23809743</v>
          </cell>
          <cell r="F343" t="str">
            <v>CALLE 11 NO 11-93</v>
          </cell>
          <cell r="G343">
            <v>3132117040</v>
          </cell>
        </row>
        <row r="344">
          <cell r="E344">
            <v>3215624</v>
          </cell>
          <cell r="F344" t="str">
            <v>CARRERA 10 NO 3-75</v>
          </cell>
          <cell r="G344">
            <v>3204909546</v>
          </cell>
        </row>
        <row r="345">
          <cell r="E345">
            <v>10187554</v>
          </cell>
          <cell r="F345" t="str">
            <v>CENTRO</v>
          </cell>
          <cell r="G345">
            <v>0</v>
          </cell>
        </row>
        <row r="346">
          <cell r="E346">
            <v>51844462</v>
          </cell>
          <cell r="F346" t="str">
            <v>CARRERA 7 NO 3-09</v>
          </cell>
          <cell r="G346">
            <v>3143150659</v>
          </cell>
        </row>
        <row r="347">
          <cell r="E347">
            <v>46368232</v>
          </cell>
          <cell r="F347" t="str">
            <v>CALLE 8 NO 9-20</v>
          </cell>
          <cell r="G347">
            <v>3202068466</v>
          </cell>
        </row>
        <row r="348">
          <cell r="E348">
            <v>23912962</v>
          </cell>
          <cell r="F348" t="str">
            <v>VEREDA LA VEGA SOCOTA</v>
          </cell>
          <cell r="G348">
            <v>3123039719</v>
          </cell>
        </row>
        <row r="349">
          <cell r="E349">
            <v>1007826121</v>
          </cell>
          <cell r="F349" t="str">
            <v>CARRERA 11 NO 7-34</v>
          </cell>
          <cell r="G349">
            <v>3143079295</v>
          </cell>
        </row>
        <row r="350">
          <cell r="E350">
            <v>1055710828</v>
          </cell>
          <cell r="F350" t="str">
            <v>VEREDA FUNZA TINJACA</v>
          </cell>
          <cell r="G350">
            <v>3118939787</v>
          </cell>
        </row>
        <row r="351">
          <cell r="E351">
            <v>1057611121</v>
          </cell>
          <cell r="F351" t="str">
            <v>CARRERA 20 NO 1-51 SOGAMOSO</v>
          </cell>
          <cell r="G351">
            <v>3212957047</v>
          </cell>
        </row>
        <row r="352">
          <cell r="E352">
            <v>49782420</v>
          </cell>
          <cell r="F352" t="str">
            <v>CENTRO LABRANZAGRANDE</v>
          </cell>
          <cell r="G352">
            <v>3102104787</v>
          </cell>
        </row>
        <row r="353">
          <cell r="E353">
            <v>1056613556</v>
          </cell>
          <cell r="F353" t="str">
            <v>CALLE 8 NO 1-24</v>
          </cell>
          <cell r="G353">
            <v>3104727210</v>
          </cell>
        </row>
        <row r="354">
          <cell r="E354">
            <v>33435617</v>
          </cell>
          <cell r="F354" t="str">
            <v>VEREDA ITACO NORTE QUIPAMA</v>
          </cell>
          <cell r="G354">
            <v>3224269382</v>
          </cell>
        </row>
        <row r="355">
          <cell r="E355">
            <v>23799527</v>
          </cell>
          <cell r="F355" t="str">
            <v>CALLE 12 NO 1-12 QUIPAMA</v>
          </cell>
          <cell r="G355">
            <v>3202340518</v>
          </cell>
        </row>
        <row r="356">
          <cell r="E356">
            <v>1057514275</v>
          </cell>
          <cell r="F356" t="str">
            <v>SECTOR SANTA BARBARA</v>
          </cell>
          <cell r="G356">
            <v>3011625066</v>
          </cell>
        </row>
        <row r="357">
          <cell r="E357">
            <v>46673128</v>
          </cell>
          <cell r="F357" t="str">
            <v>DUITAMA</v>
          </cell>
          <cell r="G357">
            <v>3138319579</v>
          </cell>
        </row>
        <row r="358">
          <cell r="E358">
            <v>46682030</v>
          </cell>
          <cell r="F358" t="str">
            <v>PALERMO CENTRO</v>
          </cell>
          <cell r="G358">
            <v>3144485334</v>
          </cell>
        </row>
        <row r="359">
          <cell r="E359">
            <v>46378692</v>
          </cell>
          <cell r="F359" t="str">
            <v>CALLE 0 NO 8-15</v>
          </cell>
          <cell r="G359">
            <v>3143099575</v>
          </cell>
        </row>
        <row r="360">
          <cell r="E360">
            <v>1193150028</v>
          </cell>
          <cell r="F360" t="str">
            <v>ESE DE BELEN</v>
          </cell>
          <cell r="G360">
            <v>3208236979</v>
          </cell>
        </row>
        <row r="361">
          <cell r="E361">
            <v>24100491</v>
          </cell>
          <cell r="F361" t="str">
            <v>CENTRO SOCOTA</v>
          </cell>
          <cell r="G361">
            <v>3142122068</v>
          </cell>
        </row>
        <row r="362">
          <cell r="E362">
            <v>1057572913</v>
          </cell>
          <cell r="F362" t="str">
            <v>CALLE 5 NO 5-25</v>
          </cell>
          <cell r="G362">
            <v>3102530417</v>
          </cell>
        </row>
        <row r="363">
          <cell r="E363">
            <v>1002526833</v>
          </cell>
          <cell r="F363" t="str">
            <v>CENTRO SAN PABLO DE BORBUR</v>
          </cell>
          <cell r="G363">
            <v>3052627051</v>
          </cell>
        </row>
        <row r="364">
          <cell r="E364">
            <v>52758170</v>
          </cell>
          <cell r="F364" t="str">
            <v>BARRIO EL CALVARIO SOCOTA</v>
          </cell>
          <cell r="G364">
            <v>3212355243</v>
          </cell>
        </row>
        <row r="365">
          <cell r="E365">
            <v>1000494712</v>
          </cell>
          <cell r="F365" t="str">
            <v>CARRERA 2 NO 7-15</v>
          </cell>
          <cell r="G365">
            <v>3116698245</v>
          </cell>
        </row>
        <row r="366">
          <cell r="E366">
            <v>1053331010</v>
          </cell>
          <cell r="F366" t="str">
            <v>BARRIO GALAN CASA 16</v>
          </cell>
          <cell r="G366">
            <v>3105703494</v>
          </cell>
        </row>
        <row r="367">
          <cell r="E367">
            <v>46671844</v>
          </cell>
          <cell r="F367" t="str">
            <v>VDA MOTAVITA SOCOTA</v>
          </cell>
          <cell r="G367">
            <v>3213509314</v>
          </cell>
        </row>
        <row r="368">
          <cell r="E368">
            <v>46662695</v>
          </cell>
          <cell r="F368" t="str">
            <v>VEREDA BONZ PAIPA</v>
          </cell>
          <cell r="G368">
            <v>0</v>
          </cell>
        </row>
        <row r="369">
          <cell r="E369">
            <v>1030622461</v>
          </cell>
          <cell r="F369" t="str">
            <v>CALLE 8 NO 1-30</v>
          </cell>
          <cell r="G369">
            <v>3102696620</v>
          </cell>
        </row>
        <row r="370">
          <cell r="E370">
            <v>1054253406</v>
          </cell>
          <cell r="F370" t="str">
            <v>VEREDA GUITA</v>
          </cell>
          <cell r="G370">
            <v>3138084455</v>
          </cell>
        </row>
        <row r="371">
          <cell r="E371">
            <v>1058430392</v>
          </cell>
          <cell r="F371" t="str">
            <v>BARRIO L ALOMA TASCO</v>
          </cell>
          <cell r="G371">
            <v>3148810136</v>
          </cell>
        </row>
        <row r="372">
          <cell r="E372">
            <v>23555804</v>
          </cell>
          <cell r="F372" t="str">
            <v>CALLE 9 NO 6-18</v>
          </cell>
          <cell r="G372">
            <v>3115683177</v>
          </cell>
        </row>
        <row r="373">
          <cell r="E373">
            <v>74377314</v>
          </cell>
          <cell r="F373" t="str">
            <v>CARRERA 3 NO 4-10 BETEITIVA</v>
          </cell>
          <cell r="G373">
            <v>3204724095</v>
          </cell>
        </row>
        <row r="374">
          <cell r="E374">
            <v>24149919</v>
          </cell>
          <cell r="F374" t="str">
            <v>CALLE 4 NO 3 25</v>
          </cell>
          <cell r="G374">
            <v>3115241103</v>
          </cell>
        </row>
        <row r="375">
          <cell r="E375">
            <v>1058431060</v>
          </cell>
          <cell r="F375" t="str">
            <v>CENTRO TASCO</v>
          </cell>
          <cell r="G375">
            <v>3108588479</v>
          </cell>
        </row>
        <row r="376">
          <cell r="E376">
            <v>23418185</v>
          </cell>
          <cell r="F376" t="str">
            <v>CALLE 5 NO 8-31 AQUITANIA</v>
          </cell>
          <cell r="G376">
            <v>3106078599</v>
          </cell>
        </row>
        <row r="377">
          <cell r="E377">
            <v>93237452</v>
          </cell>
          <cell r="F377" t="str">
            <v>CALLE 43 NO 12D-68</v>
          </cell>
          <cell r="G377">
            <v>3014452794</v>
          </cell>
        </row>
        <row r="378">
          <cell r="E378">
            <v>1057606235</v>
          </cell>
          <cell r="F378" t="str">
            <v>CENTRO DE SALUD TASCO</v>
          </cell>
          <cell r="G378">
            <v>3115083695</v>
          </cell>
        </row>
        <row r="379">
          <cell r="E379">
            <v>1014261170</v>
          </cell>
          <cell r="F379" t="str">
            <v>CALLE 25 NO 22-73</v>
          </cell>
          <cell r="G379">
            <v>3204593610</v>
          </cell>
        </row>
        <row r="380">
          <cell r="E380">
            <v>46370805</v>
          </cell>
          <cell r="F380" t="str">
            <v>CALLE 13 NO 11-123</v>
          </cell>
          <cell r="G380">
            <v>3112815142</v>
          </cell>
        </row>
        <row r="381">
          <cell r="E381">
            <v>23944786</v>
          </cell>
          <cell r="F381" t="str">
            <v>CALLE 2A NO 8 29</v>
          </cell>
          <cell r="G381">
            <v>3115820361</v>
          </cell>
        </row>
        <row r="382">
          <cell r="E382">
            <v>1051477654</v>
          </cell>
          <cell r="F382" t="str">
            <v>ESE SALUD AQUITANIA</v>
          </cell>
          <cell r="G382">
            <v>3148797715</v>
          </cell>
        </row>
        <row r="383">
          <cell r="E383">
            <v>7125400</v>
          </cell>
          <cell r="F383" t="str">
            <v>CALLE 7 NO 5-36</v>
          </cell>
          <cell r="G383">
            <v>3112313938</v>
          </cell>
        </row>
        <row r="384">
          <cell r="E384">
            <v>23882514</v>
          </cell>
          <cell r="F384" t="str">
            <v>CALLE 2 NO 1-41 SAN PABLO DE BORBUR</v>
          </cell>
          <cell r="G384">
            <v>3132425048</v>
          </cell>
        </row>
        <row r="385">
          <cell r="E385">
            <v>1074188805</v>
          </cell>
          <cell r="F385" t="str">
            <v>CENTRO VENTAQUEMADA</v>
          </cell>
          <cell r="G385">
            <v>3045234017</v>
          </cell>
        </row>
        <row r="386">
          <cell r="E386">
            <v>23978413</v>
          </cell>
          <cell r="F386" t="str">
            <v>CENTRO RECETOR</v>
          </cell>
          <cell r="G386">
            <v>3133828522</v>
          </cell>
        </row>
        <row r="387">
          <cell r="E387">
            <v>1049606913</v>
          </cell>
          <cell r="F387" t="str">
            <v>CALLE 6 NO 8-26</v>
          </cell>
          <cell r="G387">
            <v>3005260198</v>
          </cell>
        </row>
        <row r="388">
          <cell r="E388">
            <v>24213490</v>
          </cell>
          <cell r="F388" t="str">
            <v>VEREDA EL BOSQUE</v>
          </cell>
          <cell r="G388">
            <v>3112710887</v>
          </cell>
        </row>
        <row r="389">
          <cell r="E389">
            <v>46366637</v>
          </cell>
          <cell r="F389" t="str">
            <v>CARRERA 18 NO 8-72 SOGAMOSO</v>
          </cell>
          <cell r="G389">
            <v>3112677750</v>
          </cell>
        </row>
        <row r="390">
          <cell r="E390">
            <v>1056612453</v>
          </cell>
          <cell r="F390" t="str">
            <v>CARRERA 2B NO 34-21 UMBITA</v>
          </cell>
          <cell r="G390">
            <v>3212912204</v>
          </cell>
        </row>
        <row r="391">
          <cell r="E391">
            <v>1118562745</v>
          </cell>
          <cell r="F391" t="str">
            <v>CENTRO</v>
          </cell>
          <cell r="G391">
            <v>3118954939</v>
          </cell>
        </row>
        <row r="392">
          <cell r="E392">
            <v>7180220</v>
          </cell>
          <cell r="F392" t="str">
            <v>CARRERA 14 NO 20-33</v>
          </cell>
          <cell r="G392">
            <v>3144142338</v>
          </cell>
        </row>
        <row r="393">
          <cell r="E393">
            <v>1053614810</v>
          </cell>
          <cell r="F393" t="str">
            <v>CALLE 24 NO 22-47 CENTRO PAIPA</v>
          </cell>
          <cell r="G393">
            <v>3102640117</v>
          </cell>
        </row>
        <row r="394">
          <cell r="E394">
            <v>46457026</v>
          </cell>
          <cell r="F394" t="str">
            <v>BLOQUE C13 APTO 401</v>
          </cell>
          <cell r="G394">
            <v>3118781078</v>
          </cell>
        </row>
        <row r="395">
          <cell r="E395">
            <v>1033780094</v>
          </cell>
          <cell r="F395" t="str">
            <v>CARRERA 59A NO 47-16 BOGOTA</v>
          </cell>
          <cell r="G395">
            <v>3022435839</v>
          </cell>
        </row>
        <row r="396">
          <cell r="E396">
            <v>1049603008</v>
          </cell>
          <cell r="F396" t="str">
            <v>TRANSVERSAL 2 NO 67A-30</v>
          </cell>
          <cell r="G396">
            <v>3114435279</v>
          </cell>
        </row>
        <row r="397">
          <cell r="E397">
            <v>1052314215</v>
          </cell>
          <cell r="F397" t="str">
            <v>CARRERA 4 NO -15</v>
          </cell>
          <cell r="G397">
            <v>3134949771</v>
          </cell>
        </row>
        <row r="398">
          <cell r="E398">
            <v>1057577225</v>
          </cell>
          <cell r="F398" t="str">
            <v>CALLE 9A NO 28-48</v>
          </cell>
          <cell r="G398">
            <v>3012525893</v>
          </cell>
        </row>
        <row r="399">
          <cell r="E399">
            <v>1049393521</v>
          </cell>
          <cell r="F399" t="str">
            <v>CENTRO SAN PABLO DE BORBUR</v>
          </cell>
          <cell r="G399">
            <v>3143467498</v>
          </cell>
        </row>
        <row r="400">
          <cell r="E400">
            <v>80181463</v>
          </cell>
          <cell r="F400" t="str">
            <v>CARRERA 45 NO 22-44</v>
          </cell>
          <cell r="G400">
            <v>3007356910</v>
          </cell>
        </row>
        <row r="401">
          <cell r="E401">
            <v>1057581319</v>
          </cell>
          <cell r="F401" t="str">
            <v>CALLE 5 NO 7-68</v>
          </cell>
          <cell r="G401">
            <v>7794681</v>
          </cell>
        </row>
        <row r="402">
          <cell r="E402">
            <v>1057710397</v>
          </cell>
          <cell r="F402" t="str">
            <v>CENTRO</v>
          </cell>
          <cell r="G402">
            <v>3133229535</v>
          </cell>
        </row>
        <row r="403">
          <cell r="E403">
            <v>1057584252</v>
          </cell>
          <cell r="F403" t="str">
            <v>CARRERA8BIS NO 30-33</v>
          </cell>
          <cell r="G403">
            <v>3219890661</v>
          </cell>
        </row>
        <row r="404">
          <cell r="E404">
            <v>1053724423</v>
          </cell>
          <cell r="F404" t="str">
            <v>CARRERA 4 NO 4-60</v>
          </cell>
          <cell r="G404">
            <v>3133520245</v>
          </cell>
        </row>
        <row r="405">
          <cell r="E405">
            <v>1057465386</v>
          </cell>
          <cell r="F405" t="str">
            <v>CARRERA 7 NO 7-21</v>
          </cell>
          <cell r="G405">
            <v>7327546</v>
          </cell>
        </row>
        <row r="406">
          <cell r="E406">
            <v>23965609</v>
          </cell>
          <cell r="F406" t="str">
            <v>VRA CAICEDOS</v>
          </cell>
          <cell r="G406">
            <v>3214110208</v>
          </cell>
        </row>
        <row r="407">
          <cell r="E407">
            <v>1057585252</v>
          </cell>
          <cell r="F407" t="str">
            <v>CARRERA 24 NO 2F-23</v>
          </cell>
          <cell r="G407">
            <v>3143962391</v>
          </cell>
        </row>
        <row r="408">
          <cell r="E408">
            <v>9530898</v>
          </cell>
          <cell r="F408" t="str">
            <v>CARRERA 23 NO 23-80</v>
          </cell>
          <cell r="G408">
            <v>0</v>
          </cell>
        </row>
        <row r="409">
          <cell r="E409">
            <v>23809786</v>
          </cell>
          <cell r="F409" t="str">
            <v>CALLE 8 NO 7-60</v>
          </cell>
          <cell r="G409">
            <v>7794136</v>
          </cell>
        </row>
        <row r="410">
          <cell r="E410">
            <v>4119036</v>
          </cell>
          <cell r="F410" t="str">
            <v>CENTRO DE SALUD IZA</v>
          </cell>
          <cell r="G410">
            <v>3112191185</v>
          </cell>
        </row>
        <row r="411">
          <cell r="E411">
            <v>23702140</v>
          </cell>
          <cell r="F411" t="str">
            <v>CARRERA 2 NO 1C-42</v>
          </cell>
          <cell r="G411">
            <v>3212001122</v>
          </cell>
        </row>
        <row r="412">
          <cell r="E412">
            <v>1002678529</v>
          </cell>
          <cell r="F412" t="str">
            <v>ESE SAN PABLO DE BORBUR</v>
          </cell>
          <cell r="G412">
            <v>0</v>
          </cell>
        </row>
        <row r="413">
          <cell r="E413">
            <v>23966504</v>
          </cell>
          <cell r="F413" t="str">
            <v>CALLE 25 NO 8-27 TUNJA</v>
          </cell>
          <cell r="G413">
            <v>3214784298</v>
          </cell>
        </row>
        <row r="414">
          <cell r="E414">
            <v>1053684080</v>
          </cell>
          <cell r="F414" t="str">
            <v>MZ D BLOQUE 4 APTO 301_x000D_
CENTRO</v>
          </cell>
          <cell r="G414">
            <v>0</v>
          </cell>
        </row>
        <row r="415">
          <cell r="E415">
            <v>4221723</v>
          </cell>
          <cell r="F415" t="str">
            <v>CARRERA 7 NO 7-21</v>
          </cell>
          <cell r="G415">
            <v>7327546</v>
          </cell>
        </row>
        <row r="416">
          <cell r="E416">
            <v>6770124</v>
          </cell>
          <cell r="F416" t="str">
            <v>CARRERA 0A ESTE NO. 74-26 ALCAL AREAL</v>
          </cell>
          <cell r="G416">
            <v>3178536851</v>
          </cell>
        </row>
        <row r="417">
          <cell r="E417">
            <v>79539227</v>
          </cell>
          <cell r="F417" t="str">
            <v>CARRERA 3 NO 7-21</v>
          </cell>
          <cell r="G417">
            <v>7327546</v>
          </cell>
        </row>
        <row r="418">
          <cell r="E418">
            <v>1056554672</v>
          </cell>
          <cell r="F418" t="str">
            <v>CARRERA 10 NO 8-03</v>
          </cell>
          <cell r="G418">
            <v>3219540792</v>
          </cell>
        </row>
        <row r="419">
          <cell r="E419">
            <v>51898032</v>
          </cell>
          <cell r="F419" t="str">
            <v>CARRERA 3 NO 7-21</v>
          </cell>
          <cell r="G419">
            <v>7327546</v>
          </cell>
        </row>
        <row r="420">
          <cell r="E420">
            <v>1057580475</v>
          </cell>
          <cell r="F420" t="str">
            <v>CALLE 12 NO 13-114</v>
          </cell>
          <cell r="G420">
            <v>0</v>
          </cell>
        </row>
        <row r="421">
          <cell r="E421">
            <v>1100949634</v>
          </cell>
          <cell r="F421" t="str">
            <v>CARRERA 22 NO 25-27</v>
          </cell>
          <cell r="G421">
            <v>0</v>
          </cell>
        </row>
        <row r="422">
          <cell r="E422">
            <v>1049638216</v>
          </cell>
          <cell r="F422" t="str">
            <v>VEREDA MONTOYA</v>
          </cell>
          <cell r="G422">
            <v>3202382953</v>
          </cell>
        </row>
        <row r="423">
          <cell r="E423">
            <v>1129570213</v>
          </cell>
          <cell r="F423" t="str">
            <v>TR 39 NO 12-04 MEDELLIN</v>
          </cell>
          <cell r="G423">
            <v>3134803391</v>
          </cell>
        </row>
        <row r="424">
          <cell r="E424">
            <v>9518547</v>
          </cell>
          <cell r="F424" t="str">
            <v>CALLE 27 NO 23-58</v>
          </cell>
          <cell r="G424">
            <v>3123280876</v>
          </cell>
        </row>
        <row r="425">
          <cell r="E425">
            <v>1071329481</v>
          </cell>
          <cell r="F425" t="str">
            <v>CALLE 5 NO 6-88</v>
          </cell>
          <cell r="G425">
            <v>3144005615</v>
          </cell>
        </row>
        <row r="426">
          <cell r="E426">
            <v>23856568</v>
          </cell>
          <cell r="F426" t="str">
            <v>CALLE 28 NO 13A-38</v>
          </cell>
          <cell r="G426">
            <v>3124480205</v>
          </cell>
        </row>
        <row r="427">
          <cell r="E427">
            <v>40932669</v>
          </cell>
          <cell r="F427" t="str">
            <v>CENTRO SAN LUIS DE GACENOI</v>
          </cell>
          <cell r="G427">
            <v>3232256639</v>
          </cell>
        </row>
        <row r="428">
          <cell r="E428">
            <v>901371452</v>
          </cell>
          <cell r="F428" t="str">
            <v>BRICEÑO VILLAPINZON</v>
          </cell>
          <cell r="G428">
            <v>3174341030</v>
          </cell>
        </row>
        <row r="429">
          <cell r="E429">
            <v>23973699</v>
          </cell>
          <cell r="F429" t="str">
            <v>VEREDA FUNZARAQUIRA</v>
          </cell>
          <cell r="G429">
            <v>3204944869</v>
          </cell>
        </row>
        <row r="430">
          <cell r="E430">
            <v>1049605030</v>
          </cell>
          <cell r="F430" t="str">
            <v>CENTRO</v>
          </cell>
          <cell r="G430">
            <v>0</v>
          </cell>
        </row>
        <row r="431">
          <cell r="E431">
            <v>1056506757</v>
          </cell>
          <cell r="F431" t="str">
            <v>CARRERA 4 NO 3-15 SPB</v>
          </cell>
          <cell r="G431">
            <v>3224360190</v>
          </cell>
        </row>
        <row r="432">
          <cell r="E432">
            <v>74335887</v>
          </cell>
          <cell r="F432" t="str">
            <v>CENTRO SAN LUIS DE GACENO</v>
          </cell>
          <cell r="G432">
            <v>3164264265</v>
          </cell>
        </row>
        <row r="433">
          <cell r="E433">
            <v>1124545</v>
          </cell>
          <cell r="F433" t="str">
            <v>BARRIO ALTAMIRA SECTOR PEDREGAL</v>
          </cell>
          <cell r="G433">
            <v>3224010236</v>
          </cell>
        </row>
        <row r="434">
          <cell r="E434">
            <v>1049608388</v>
          </cell>
          <cell r="F434" t="str">
            <v>ED ESQUINA DEL SOL P2 OF 212</v>
          </cell>
          <cell r="G434">
            <v>3138852094</v>
          </cell>
        </row>
        <row r="435">
          <cell r="E435">
            <v>1057215059</v>
          </cell>
          <cell r="F435" t="str">
            <v>VEREDA PROVIDENCIA</v>
          </cell>
          <cell r="G435">
            <v>3212719575</v>
          </cell>
        </row>
        <row r="436">
          <cell r="E436">
            <v>1015418066</v>
          </cell>
          <cell r="F436" t="str">
            <v>CARRERA 12D NO 43-131</v>
          </cell>
          <cell r="G436">
            <v>3203290500</v>
          </cell>
        </row>
        <row r="437">
          <cell r="E437">
            <v>52665019</v>
          </cell>
          <cell r="F437" t="str">
            <v>CARRERA 4 NO 7-20</v>
          </cell>
          <cell r="G437">
            <v>3124185389</v>
          </cell>
        </row>
        <row r="438">
          <cell r="E438">
            <v>1049643263</v>
          </cell>
          <cell r="F438" t="str">
            <v>CARRERA 8A NO 67-48</v>
          </cell>
          <cell r="G438">
            <v>3142389618</v>
          </cell>
        </row>
        <row r="439">
          <cell r="E439">
            <v>4292742</v>
          </cell>
          <cell r="F439" t="str">
            <v>VEREDA MONTOYA</v>
          </cell>
          <cell r="G439">
            <v>3144723425</v>
          </cell>
        </row>
        <row r="440">
          <cell r="E440">
            <v>1056614209</v>
          </cell>
          <cell r="F440" t="str">
            <v>CENTRO UMBITA</v>
          </cell>
          <cell r="G440">
            <v>3227591604</v>
          </cell>
        </row>
        <row r="441">
          <cell r="E441">
            <v>1056613558</v>
          </cell>
          <cell r="F441" t="str">
            <v>CALLE 5 NO 4-05</v>
          </cell>
          <cell r="G441">
            <v>3228557275</v>
          </cell>
        </row>
        <row r="442">
          <cell r="E442">
            <v>74333381</v>
          </cell>
          <cell r="F442" t="str">
            <v>CALLE 24 NO 19-107</v>
          </cell>
          <cell r="G442">
            <v>7852661</v>
          </cell>
        </row>
        <row r="443">
          <cell r="E443">
            <v>52710653</v>
          </cell>
          <cell r="F443" t="str">
            <v>CARRERA 13A NO 107-10</v>
          </cell>
          <cell r="G443">
            <v>3124524136</v>
          </cell>
        </row>
        <row r="444">
          <cell r="E444">
            <v>33435340</v>
          </cell>
          <cell r="F444" t="str">
            <v>CARRERA 7 NO 8-71 QUIPAMA</v>
          </cell>
          <cell r="G444">
            <v>3203692946</v>
          </cell>
        </row>
        <row r="445">
          <cell r="E445">
            <v>87713868</v>
          </cell>
          <cell r="F445" t="str">
            <v>CENTRO</v>
          </cell>
          <cell r="G445">
            <v>0</v>
          </cell>
        </row>
        <row r="446">
          <cell r="E446">
            <v>52006393</v>
          </cell>
          <cell r="F446" t="str">
            <v>CARRERA 10 NO 24-16 QUIPAMA</v>
          </cell>
          <cell r="G446">
            <v>3142705165</v>
          </cell>
        </row>
        <row r="447">
          <cell r="E447">
            <v>39535677</v>
          </cell>
          <cell r="F447" t="str">
            <v>CALLE 14 NO 9A 71</v>
          </cell>
          <cell r="G447">
            <v>3204574336</v>
          </cell>
        </row>
        <row r="448">
          <cell r="E448">
            <v>1052397214</v>
          </cell>
          <cell r="F448" t="str">
            <v>CALLE 134 NO 9-58</v>
          </cell>
          <cell r="G448">
            <v>3102557850</v>
          </cell>
        </row>
        <row r="449">
          <cell r="E449">
            <v>40038985</v>
          </cell>
          <cell r="F449" t="str">
            <v>CALLE 58A NO 9-23 TUNJA</v>
          </cell>
          <cell r="G449">
            <v>3107637048</v>
          </cell>
        </row>
        <row r="450">
          <cell r="E450">
            <v>1052406001</v>
          </cell>
          <cell r="F450" t="str">
            <v>CENTRO NOBSA</v>
          </cell>
          <cell r="G450">
            <v>3155818584</v>
          </cell>
        </row>
        <row r="451">
          <cell r="E451">
            <v>1057593886</v>
          </cell>
          <cell r="F451" t="str">
            <v>CALLE 14A NO 11-44</v>
          </cell>
          <cell r="G451">
            <v>3106377171</v>
          </cell>
        </row>
        <row r="452">
          <cell r="E452">
            <v>7312377</v>
          </cell>
          <cell r="F452" t="str">
            <v>CENTRO SAN PABLO DE BORBUR</v>
          </cell>
          <cell r="G452">
            <v>0</v>
          </cell>
        </row>
        <row r="453">
          <cell r="E453">
            <v>1049651877</v>
          </cell>
          <cell r="F453" t="str">
            <v>CALLE 3 NO 10-135</v>
          </cell>
          <cell r="G453">
            <v>3112634207</v>
          </cell>
        </row>
        <row r="454">
          <cell r="E454">
            <v>23913309</v>
          </cell>
          <cell r="F454" t="str">
            <v>CALLE 2 NO 2-30</v>
          </cell>
          <cell r="G454">
            <v>3212656502</v>
          </cell>
        </row>
        <row r="455">
          <cell r="E455">
            <v>23810057</v>
          </cell>
          <cell r="F455" t="str">
            <v>CALLE 5 NO 4-14</v>
          </cell>
          <cell r="G455">
            <v>3133233112</v>
          </cell>
        </row>
        <row r="456">
          <cell r="E456">
            <v>43402156</v>
          </cell>
          <cell r="F456" t="str">
            <v>CARRERA 18 NO 17-65</v>
          </cell>
          <cell r="G456">
            <v>7610768</v>
          </cell>
        </row>
        <row r="457">
          <cell r="E457">
            <v>1118532395</v>
          </cell>
          <cell r="F457" t="str">
            <v>CALLE 10 NO 7-34_x000D_
CALLE 10 NO 7-34</v>
          </cell>
          <cell r="G457">
            <v>3138992233</v>
          </cell>
        </row>
        <row r="458">
          <cell r="E458">
            <v>1051473512</v>
          </cell>
          <cell r="F458" t="str">
            <v>CALLE 8 NO 7-60</v>
          </cell>
          <cell r="G458">
            <v>7794681</v>
          </cell>
        </row>
        <row r="459">
          <cell r="E459">
            <v>23946232</v>
          </cell>
          <cell r="F459" t="str">
            <v>CALLE 5C NO 11A-33</v>
          </cell>
          <cell r="G459">
            <v>3143582814</v>
          </cell>
        </row>
        <row r="460">
          <cell r="E460">
            <v>1051477752</v>
          </cell>
          <cell r="F460" t="str">
            <v>AQUITANIA CENTRO</v>
          </cell>
          <cell r="G460">
            <v>3145029812</v>
          </cell>
        </row>
        <row r="461">
          <cell r="E461">
            <v>1051477299</v>
          </cell>
          <cell r="F461" t="str">
            <v>CENTRO AQUITANIA</v>
          </cell>
          <cell r="G461">
            <v>3222425865</v>
          </cell>
        </row>
        <row r="462">
          <cell r="E462">
            <v>1002709741</v>
          </cell>
          <cell r="F462" t="str">
            <v>CALLE 25 NO 19-93</v>
          </cell>
          <cell r="G462">
            <v>3102094817</v>
          </cell>
        </row>
        <row r="463">
          <cell r="E463">
            <v>800140949</v>
          </cell>
          <cell r="G463">
            <v>0</v>
          </cell>
        </row>
        <row r="464">
          <cell r="E464">
            <v>1053334173</v>
          </cell>
          <cell r="F464" t="str">
            <v>SANTA BARBARA CENTRO</v>
          </cell>
          <cell r="G464">
            <v>3143621057</v>
          </cell>
        </row>
        <row r="465">
          <cell r="E465">
            <v>891800213</v>
          </cell>
          <cell r="F465" t="str">
            <v>CALLE 25 NO 19-124</v>
          </cell>
          <cell r="G465">
            <v>7851543</v>
          </cell>
        </row>
        <row r="466">
          <cell r="E466">
            <v>844003392</v>
          </cell>
          <cell r="F466" t="str">
            <v>CRA 21 6 29 CENTRO</v>
          </cell>
          <cell r="G466">
            <v>6323030</v>
          </cell>
        </row>
        <row r="467">
          <cell r="E467">
            <v>890102044</v>
          </cell>
          <cell r="F467" t="str">
            <v>CALLE 21 NO 13A-84 CC PLAZA REAL</v>
          </cell>
          <cell r="G467">
            <v>3124106171</v>
          </cell>
        </row>
        <row r="468">
          <cell r="E468">
            <v>11412984</v>
          </cell>
          <cell r="F468" t="str">
            <v>CARRERA 2 NO 2-22 SPB</v>
          </cell>
          <cell r="G468">
            <v>3203215967</v>
          </cell>
        </row>
        <row r="469">
          <cell r="E469">
            <v>899999010</v>
          </cell>
          <cell r="G469">
            <v>0</v>
          </cell>
        </row>
        <row r="470">
          <cell r="E470">
            <v>1002737029</v>
          </cell>
          <cell r="F470" t="str">
            <v>CALLE 5 NO 5-15</v>
          </cell>
          <cell r="G470">
            <v>3143477354</v>
          </cell>
        </row>
        <row r="471">
          <cell r="E471">
            <v>805004565</v>
          </cell>
          <cell r="G471">
            <v>0</v>
          </cell>
        </row>
        <row r="472">
          <cell r="E472">
            <v>1002537551</v>
          </cell>
          <cell r="F472" t="str">
            <v>VEREDA CHAMEZA NOBSA</v>
          </cell>
          <cell r="G472">
            <v>3205722947</v>
          </cell>
        </row>
        <row r="473">
          <cell r="E473">
            <v>1053585148</v>
          </cell>
          <cell r="F473" t="str">
            <v>CENTRO</v>
          </cell>
          <cell r="G473">
            <v>3204525211</v>
          </cell>
        </row>
        <row r="474">
          <cell r="E474">
            <v>4192365</v>
          </cell>
          <cell r="F474" t="str">
            <v>EJOLET TUNJA</v>
          </cell>
          <cell r="G474">
            <v>0</v>
          </cell>
        </row>
        <row r="475">
          <cell r="E475">
            <v>1057919434</v>
          </cell>
          <cell r="F475" t="str">
            <v>CALLE 7 NO 5-66</v>
          </cell>
          <cell r="G475">
            <v>3127561211</v>
          </cell>
        </row>
        <row r="476">
          <cell r="E476">
            <v>1054093064</v>
          </cell>
          <cell r="F476" t="str">
            <v>CARRERA 13 NO 8-81</v>
          </cell>
          <cell r="G476">
            <v>3133137134</v>
          </cell>
        </row>
        <row r="477">
          <cell r="E477">
            <v>33630681</v>
          </cell>
          <cell r="F477" t="str">
            <v>BARRIO LA HUMILDAD TASCO</v>
          </cell>
          <cell r="G477">
            <v>3214236962</v>
          </cell>
        </row>
        <row r="478">
          <cell r="E478">
            <v>1002556662</v>
          </cell>
          <cell r="F478" t="str">
            <v>CARRERA 3 NO 4-47</v>
          </cell>
          <cell r="G478">
            <v>3143796844</v>
          </cell>
        </row>
        <row r="479">
          <cell r="E479">
            <v>1051954455</v>
          </cell>
          <cell r="F479" t="str">
            <v>CENTRO</v>
          </cell>
          <cell r="G479">
            <v>3114479723</v>
          </cell>
        </row>
        <row r="480">
          <cell r="E480">
            <v>1095805315</v>
          </cell>
          <cell r="F480" t="str">
            <v>CARRERA 7 NO 13-31</v>
          </cell>
          <cell r="G480">
            <v>3102690738</v>
          </cell>
        </row>
        <row r="481">
          <cell r="E481">
            <v>1058275377</v>
          </cell>
          <cell r="F481" t="str">
            <v>CARRERA 4 NO 2-28</v>
          </cell>
          <cell r="G481">
            <v>3229484749</v>
          </cell>
        </row>
        <row r="482">
          <cell r="E482">
            <v>33367898</v>
          </cell>
          <cell r="F482" t="str">
            <v>CARRERA 7 NO 7-21</v>
          </cell>
          <cell r="G482">
            <v>7327546</v>
          </cell>
        </row>
        <row r="483">
          <cell r="E483">
            <v>891855025</v>
          </cell>
          <cell r="F483" t="str">
            <v>TR 19 NO 23-141</v>
          </cell>
          <cell r="G483">
            <v>7602596</v>
          </cell>
        </row>
        <row r="484">
          <cell r="E484">
            <v>16471881</v>
          </cell>
          <cell r="F484" t="str">
            <v>CALLE 25 NO 20-29</v>
          </cell>
          <cell r="G484">
            <v>3100532014</v>
          </cell>
        </row>
        <row r="485">
          <cell r="E485">
            <v>47428946</v>
          </cell>
          <cell r="F485" t="str">
            <v>CALLE 11 NO 11-55</v>
          </cell>
          <cell r="G485">
            <v>3124797874</v>
          </cell>
        </row>
        <row r="486">
          <cell r="E486">
            <v>23946184</v>
          </cell>
          <cell r="F486" t="str">
            <v>CALLE 4 NO 10-36</v>
          </cell>
          <cell r="G486">
            <v>3166438408</v>
          </cell>
        </row>
        <row r="487">
          <cell r="E487">
            <v>46369203</v>
          </cell>
          <cell r="F487" t="str">
            <v>CRA 9 NO 5-135</v>
          </cell>
          <cell r="G487">
            <v>3102687138</v>
          </cell>
        </row>
        <row r="488">
          <cell r="E488">
            <v>1077085718</v>
          </cell>
          <cell r="F488" t="str">
            <v>CALLE 5 NO 6-88</v>
          </cell>
          <cell r="G488">
            <v>3203551342</v>
          </cell>
        </row>
        <row r="489">
          <cell r="E489">
            <v>1010246852</v>
          </cell>
          <cell r="F489" t="str">
            <v>CARRERA 57 NO 160-15</v>
          </cell>
          <cell r="G489">
            <v>3118654121</v>
          </cell>
        </row>
        <row r="490">
          <cell r="E490">
            <v>1052409098</v>
          </cell>
          <cell r="F490" t="str">
            <v>CALLE 18 NO 13-10</v>
          </cell>
          <cell r="G490">
            <v>3115733450</v>
          </cell>
        </row>
        <row r="491">
          <cell r="E491">
            <v>1057595520</v>
          </cell>
          <cell r="F491" t="str">
            <v>CARRERA 10 NO 28/08 SOGAMOSO</v>
          </cell>
          <cell r="G491">
            <v>3223502045</v>
          </cell>
        </row>
        <row r="492">
          <cell r="E492">
            <v>1010176503</v>
          </cell>
          <cell r="F492" t="str">
            <v>ESE SALUD AQUITANIA</v>
          </cell>
          <cell r="G492">
            <v>7794681</v>
          </cell>
        </row>
        <row r="493">
          <cell r="E493">
            <v>46680612</v>
          </cell>
          <cell r="F493" t="str">
            <v>CALLE 23 NO 25-00</v>
          </cell>
          <cell r="G493">
            <v>0</v>
          </cell>
        </row>
        <row r="494">
          <cell r="E494">
            <v>23857575</v>
          </cell>
          <cell r="F494" t="str">
            <v>CARRERA 22 NO 25-55</v>
          </cell>
          <cell r="G494">
            <v>3103109620</v>
          </cell>
        </row>
        <row r="495">
          <cell r="E495">
            <v>74322432</v>
          </cell>
          <cell r="F495" t="str">
            <v>BALCONES DEL BOSQUE APTO 501G</v>
          </cell>
          <cell r="G495">
            <v>314475737</v>
          </cell>
        </row>
        <row r="496">
          <cell r="E496">
            <v>7167199</v>
          </cell>
          <cell r="F496" t="str">
            <v>CALLE 25 NO 20 49</v>
          </cell>
          <cell r="G496">
            <v>7851483</v>
          </cell>
        </row>
        <row r="497">
          <cell r="E497">
            <v>4178859</v>
          </cell>
          <cell r="F497" t="str">
            <v>CARRERA 11 NO 28-147 SUR</v>
          </cell>
          <cell r="G497">
            <v>3138171534</v>
          </cell>
        </row>
        <row r="498">
          <cell r="E498">
            <v>23855639</v>
          </cell>
          <cell r="F498" t="str">
            <v>CALLE 25 NO 23-24</v>
          </cell>
          <cell r="G498">
            <v>7851847</v>
          </cell>
        </row>
        <row r="499">
          <cell r="E499">
            <v>1110460096</v>
          </cell>
          <cell r="F499" t="str">
            <v>CRA 24 NO 14-78</v>
          </cell>
          <cell r="G499">
            <v>3164501924</v>
          </cell>
        </row>
        <row r="500">
          <cell r="E500">
            <v>46365084</v>
          </cell>
          <cell r="F500" t="str">
            <v>CALLE 2 SUR NO 11-78</v>
          </cell>
          <cell r="G500" t="str">
            <v>3132316218_x000D_
3132316218</v>
          </cell>
        </row>
        <row r="501">
          <cell r="E501">
            <v>74433478</v>
          </cell>
          <cell r="F501" t="str">
            <v>ITP PAIPA BOYACA</v>
          </cell>
          <cell r="G501">
            <v>0</v>
          </cell>
        </row>
        <row r="502">
          <cell r="E502">
            <v>46610001</v>
          </cell>
          <cell r="F502" t="str">
            <v>CALLE 15B NO 27-09</v>
          </cell>
          <cell r="G502">
            <v>3125090371</v>
          </cell>
        </row>
        <row r="503">
          <cell r="E503">
            <v>1053442488</v>
          </cell>
          <cell r="F503" t="str">
            <v>CARRERA 21 NO 24-50</v>
          </cell>
          <cell r="G503">
            <v>0</v>
          </cell>
        </row>
        <row r="504">
          <cell r="E504">
            <v>80725328</v>
          </cell>
          <cell r="F504" t="str">
            <v>CALLE 24 NO 57-69 APTO 202 INT 2</v>
          </cell>
          <cell r="G504">
            <v>3203122974</v>
          </cell>
        </row>
        <row r="505">
          <cell r="E505">
            <v>1054121431</v>
          </cell>
          <cell r="F505" t="str">
            <v>AVENIDA PRINCIPAL NO 11-87</v>
          </cell>
          <cell r="G505">
            <v>3105801802</v>
          </cell>
        </row>
        <row r="506">
          <cell r="E506">
            <v>7172909</v>
          </cell>
          <cell r="F506" t="str">
            <v>ESE DE VENTAQUEMADA</v>
          </cell>
          <cell r="G506">
            <v>0</v>
          </cell>
        </row>
        <row r="507">
          <cell r="E507">
            <v>1053610886</v>
          </cell>
          <cell r="F507" t="str">
            <v>CALLE 29C NO 23A-10</v>
          </cell>
          <cell r="G507">
            <v>3144417785</v>
          </cell>
        </row>
        <row r="508">
          <cell r="E508">
            <v>1053609923</v>
          </cell>
          <cell r="F508" t="str">
            <v>CALLE 19 NO 22-25</v>
          </cell>
          <cell r="G508">
            <v>3022949640</v>
          </cell>
        </row>
        <row r="509">
          <cell r="E509">
            <v>24213605</v>
          </cell>
          <cell r="F509" t="str">
            <v>CARRERA 6 NO 8-35</v>
          </cell>
          <cell r="G509">
            <v>3144089940</v>
          </cell>
        </row>
        <row r="510">
          <cell r="E510">
            <v>1053351189</v>
          </cell>
          <cell r="F510" t="str">
            <v>ESE CENTRO DE SALUD SAN PABLO DE BORBUR</v>
          </cell>
          <cell r="G510">
            <v>3128659986</v>
          </cell>
        </row>
        <row r="511">
          <cell r="E511">
            <v>900298372</v>
          </cell>
          <cell r="F511" t="str">
            <v>CALLE 146 A N 92- 46</v>
          </cell>
          <cell r="G511">
            <v>3389760</v>
          </cell>
        </row>
        <row r="512">
          <cell r="E512">
            <v>899999026</v>
          </cell>
          <cell r="G512">
            <v>0</v>
          </cell>
        </row>
        <row r="513">
          <cell r="E513">
            <v>891856000</v>
          </cell>
          <cell r="G513">
            <v>0</v>
          </cell>
        </row>
        <row r="514">
          <cell r="E514">
            <v>1057582969</v>
          </cell>
          <cell r="F514" t="str">
            <v>CALLE 3A NO 18-51</v>
          </cell>
          <cell r="G514">
            <v>3229003894</v>
          </cell>
        </row>
        <row r="515">
          <cell r="E515">
            <v>1043004008</v>
          </cell>
          <cell r="F515" t="str">
            <v>CARRERA 24 NO 30-15</v>
          </cell>
          <cell r="G515">
            <v>3115626447</v>
          </cell>
        </row>
        <row r="516">
          <cell r="E516">
            <v>23449525</v>
          </cell>
          <cell r="F516" t="str">
            <v>CALLE 7 NO 2-77</v>
          </cell>
          <cell r="G516">
            <v>3125685546</v>
          </cell>
        </row>
        <row r="517">
          <cell r="E517">
            <v>52529904</v>
          </cell>
          <cell r="F517" t="str">
            <v>CARRERA 10 NO 12-64</v>
          </cell>
          <cell r="G517">
            <v>3228356506</v>
          </cell>
        </row>
        <row r="518">
          <cell r="E518">
            <v>9533540</v>
          </cell>
          <cell r="F518" t="str">
            <v>CARRERA 10 NO 13 79</v>
          </cell>
          <cell r="G518">
            <v>7728811</v>
          </cell>
        </row>
        <row r="519">
          <cell r="E519">
            <v>46378643</v>
          </cell>
          <cell r="F519" t="str">
            <v>CALLE 1 NO 26-60</v>
          </cell>
          <cell r="G519">
            <v>3133786448</v>
          </cell>
        </row>
        <row r="520">
          <cell r="E520">
            <v>4218467</v>
          </cell>
          <cell r="F520" t="str">
            <v>VDA. QUEBRADAS</v>
          </cell>
          <cell r="G520">
            <v>3204378194</v>
          </cell>
        </row>
        <row r="521">
          <cell r="E521">
            <v>1057598117</v>
          </cell>
          <cell r="F521" t="str">
            <v>CALLE 7B NO 25-62</v>
          </cell>
          <cell r="G521">
            <v>3227137823</v>
          </cell>
        </row>
        <row r="522">
          <cell r="E522">
            <v>1052382108</v>
          </cell>
          <cell r="F522" t="str">
            <v>CALLE 5 NO 5-35</v>
          </cell>
          <cell r="G522">
            <v>3214711189</v>
          </cell>
        </row>
        <row r="523">
          <cell r="E523">
            <v>1058430772</v>
          </cell>
          <cell r="F523" t="str">
            <v>VEREDA EL BANCO</v>
          </cell>
          <cell r="G523">
            <v>3228462954</v>
          </cell>
        </row>
        <row r="524">
          <cell r="E524">
            <v>1052314479</v>
          </cell>
          <cell r="F524" t="str">
            <v>CALLE 6 NO 5-41</v>
          </cell>
          <cell r="G524">
            <v>3112753683</v>
          </cell>
        </row>
        <row r="525">
          <cell r="E525">
            <v>40036335</v>
          </cell>
          <cell r="F525" t="str">
            <v>CALLE 6 NO 6-11 AQUITANIA</v>
          </cell>
          <cell r="G525">
            <v>3223098883</v>
          </cell>
        </row>
        <row r="526">
          <cell r="E526">
            <v>52836278</v>
          </cell>
          <cell r="F526" t="str">
            <v>ESE CENTRO DE SALUD DE IZA</v>
          </cell>
          <cell r="G526">
            <v>0</v>
          </cell>
        </row>
        <row r="527">
          <cell r="E527">
            <v>1019144009</v>
          </cell>
          <cell r="F527" t="str">
            <v>ESE DE RAQUIRA</v>
          </cell>
          <cell r="G527">
            <v>0</v>
          </cell>
        </row>
        <row r="528">
          <cell r="E528">
            <v>23324762</v>
          </cell>
          <cell r="F528" t="str">
            <v>CARRERA 7 CALLE 10</v>
          </cell>
          <cell r="G528">
            <v>3143267608</v>
          </cell>
        </row>
        <row r="529">
          <cell r="E529">
            <v>23325046</v>
          </cell>
          <cell r="F529" t="str">
            <v>CALLE 7 NO 5-28</v>
          </cell>
          <cell r="G529">
            <v>3212890876</v>
          </cell>
        </row>
        <row r="530">
          <cell r="E530">
            <v>23449621</v>
          </cell>
          <cell r="F530" t="str">
            <v>CALLE 8 NO 16-32</v>
          </cell>
          <cell r="G530">
            <v>3134502321</v>
          </cell>
        </row>
        <row r="531">
          <cell r="E531">
            <v>1057604908</v>
          </cell>
          <cell r="F531" t="str">
            <v>CENTRO PISBA</v>
          </cell>
          <cell r="G531">
            <v>3132266786</v>
          </cell>
        </row>
        <row r="532">
          <cell r="E532">
            <v>23689798</v>
          </cell>
          <cell r="F532" t="str">
            <v>CALLE 10 NO 7-98</v>
          </cell>
          <cell r="G532">
            <v>3102590281</v>
          </cell>
        </row>
        <row r="533">
          <cell r="E533">
            <v>1007195972</v>
          </cell>
          <cell r="F533" t="str">
            <v>VEREDA PATOSI GAMEZA</v>
          </cell>
          <cell r="G533">
            <v>3135416576</v>
          </cell>
        </row>
        <row r="534">
          <cell r="E534">
            <v>47428776</v>
          </cell>
          <cell r="F534" t="str">
            <v>CALLE 6 NO 2-67</v>
          </cell>
          <cell r="G534">
            <v>3132218203</v>
          </cell>
        </row>
        <row r="535">
          <cell r="E535">
            <v>40448185</v>
          </cell>
          <cell r="F535" t="str">
            <v>CARRERA 7 NO 1A-12 PAZ DE RIO</v>
          </cell>
          <cell r="G535">
            <v>3213005635</v>
          </cell>
        </row>
        <row r="536">
          <cell r="E536">
            <v>46377718</v>
          </cell>
          <cell r="F536" t="str">
            <v>CALLE 22 NO 17-64</v>
          </cell>
          <cell r="G536">
            <v>3144206760</v>
          </cell>
        </row>
        <row r="537">
          <cell r="E537">
            <v>1090376391</v>
          </cell>
          <cell r="F537" t="str">
            <v>VEREDA COMEZA HOYADA</v>
          </cell>
          <cell r="G537">
            <v>3224498327</v>
          </cell>
        </row>
        <row r="538">
          <cell r="E538">
            <v>9395779</v>
          </cell>
          <cell r="F538" t="str">
            <v>CARRERA 16 NO 7-49</v>
          </cell>
          <cell r="G538">
            <v>3144400204</v>
          </cell>
        </row>
        <row r="539">
          <cell r="E539">
            <v>74327235</v>
          </cell>
          <cell r="F539" t="str">
            <v>CRA 4 NO 8-05</v>
          </cell>
          <cell r="G539">
            <v>3112021066</v>
          </cell>
        </row>
        <row r="540">
          <cell r="E540">
            <v>1049617589</v>
          </cell>
          <cell r="F540" t="str">
            <v>CRA 21BIS NO 30-62</v>
          </cell>
          <cell r="G540">
            <v>3203610666</v>
          </cell>
        </row>
        <row r="541">
          <cell r="E541">
            <v>9531662</v>
          </cell>
          <cell r="F541" t="str">
            <v>ESE DE AQUITANIA</v>
          </cell>
          <cell r="G541">
            <v>3208351660</v>
          </cell>
        </row>
        <row r="542">
          <cell r="E542">
            <v>1051476900</v>
          </cell>
          <cell r="F542" t="str">
            <v>VEREDA DE PEREZ</v>
          </cell>
          <cell r="G542">
            <v>3187424075</v>
          </cell>
        </row>
        <row r="543">
          <cell r="E543">
            <v>46375906</v>
          </cell>
          <cell r="F543" t="str">
            <v>CALLE 9 NO 6-0106</v>
          </cell>
          <cell r="G543">
            <v>3124985459</v>
          </cell>
        </row>
        <row r="544">
          <cell r="E544">
            <v>1051475837</v>
          </cell>
          <cell r="F544" t="str">
            <v>TORRES DE AQUITANIA T4B APTO 504</v>
          </cell>
          <cell r="G544">
            <v>3102953361</v>
          </cell>
        </row>
        <row r="545">
          <cell r="E545">
            <v>9531545</v>
          </cell>
          <cell r="F545" t="str">
            <v>PANADERIA EL TRIGO DE ORO</v>
          </cell>
          <cell r="G545">
            <v>0</v>
          </cell>
        </row>
        <row r="546">
          <cell r="E546">
            <v>1002415087</v>
          </cell>
          <cell r="F546" t="str">
            <v>CARRERA 9 NO 8-12 AQUITANIA</v>
          </cell>
          <cell r="G546">
            <v>3133489917</v>
          </cell>
        </row>
        <row r="547">
          <cell r="E547">
            <v>23946628</v>
          </cell>
          <cell r="F547" t="str">
            <v>AQUITANIA VIEJO</v>
          </cell>
          <cell r="G547">
            <v>7794681</v>
          </cell>
        </row>
        <row r="548">
          <cell r="E548">
            <v>46355683</v>
          </cell>
          <cell r="F548" t="str">
            <v>CARRERA 10 NO 10-60</v>
          </cell>
          <cell r="G548">
            <v>3118495881</v>
          </cell>
        </row>
        <row r="549">
          <cell r="E549">
            <v>51853007</v>
          </cell>
          <cell r="F549" t="str">
            <v>CALLE 5 NO 6A-87</v>
          </cell>
          <cell r="G549">
            <v>3102045304</v>
          </cell>
        </row>
        <row r="550">
          <cell r="E550">
            <v>1057571711</v>
          </cell>
          <cell r="F550" t="str">
            <v>CARRERA 27 NO 16-68 SOGAMOSO</v>
          </cell>
          <cell r="G550">
            <v>3122000439</v>
          </cell>
        </row>
        <row r="551">
          <cell r="E551">
            <v>23945298</v>
          </cell>
          <cell r="F551" t="str">
            <v>TR. 7 NO 10-24</v>
          </cell>
          <cell r="G551">
            <v>3202303593</v>
          </cell>
        </row>
        <row r="552">
          <cell r="E552">
            <v>900623273</v>
          </cell>
          <cell r="F552" t="str">
            <v>CARRERA 57 NO 119A-60</v>
          </cell>
          <cell r="G552">
            <v>3158953325</v>
          </cell>
        </row>
        <row r="553">
          <cell r="E553">
            <v>23449659</v>
          </cell>
          <cell r="F553" t="str">
            <v>CARRERA 3 NO 6-22</v>
          </cell>
          <cell r="G553">
            <v>3214221916</v>
          </cell>
        </row>
        <row r="554">
          <cell r="E554">
            <v>1052312771</v>
          </cell>
          <cell r="F554" t="str">
            <v>CALLE 7 NO 9-55</v>
          </cell>
          <cell r="G554">
            <v>3102344318</v>
          </cell>
        </row>
        <row r="555">
          <cell r="E555">
            <v>1055504026</v>
          </cell>
          <cell r="F555" t="str">
            <v>CALLE 9 NO 8-64</v>
          </cell>
          <cell r="G555">
            <v>3212543998</v>
          </cell>
        </row>
        <row r="556">
          <cell r="E556">
            <v>51564600</v>
          </cell>
          <cell r="F556" t="str">
            <v>CRA 1 NO 7 18</v>
          </cell>
          <cell r="G556">
            <v>3134841061</v>
          </cell>
        </row>
        <row r="557">
          <cell r="E557">
            <v>1053512314</v>
          </cell>
          <cell r="F557" t="str">
            <v>CALLE 23 NO 11-23 SOGAMOSO</v>
          </cell>
          <cell r="G557">
            <v>3219656448</v>
          </cell>
        </row>
        <row r="558">
          <cell r="E558">
            <v>1049605086</v>
          </cell>
          <cell r="F558" t="str">
            <v>CARRERA 9 NO 10-08</v>
          </cell>
          <cell r="G558">
            <v>3144727492</v>
          </cell>
        </row>
        <row r="559">
          <cell r="E559">
            <v>23966468</v>
          </cell>
          <cell r="F559" t="str">
            <v>MZ K CASA 1 B PRMAVERA</v>
          </cell>
          <cell r="G559">
            <v>3124384057</v>
          </cell>
        </row>
        <row r="560">
          <cell r="E560">
            <v>1057589130</v>
          </cell>
          <cell r="F560" t="str">
            <v>CRA 3 # 5-32 MONGUI BOY</v>
          </cell>
          <cell r="G560">
            <v>3104776122</v>
          </cell>
        </row>
        <row r="561">
          <cell r="E561">
            <v>1053343253</v>
          </cell>
          <cell r="F561" t="str">
            <v>CENTRO DE SALUD SAN PABLO DE BORBUR</v>
          </cell>
          <cell r="G561">
            <v>0</v>
          </cell>
        </row>
        <row r="562">
          <cell r="E562">
            <v>46378324</v>
          </cell>
          <cell r="F562" t="str">
            <v>CALLE 13 NO 10-58</v>
          </cell>
          <cell r="G562">
            <v>3156491910</v>
          </cell>
        </row>
        <row r="563">
          <cell r="E563">
            <v>1022961379</v>
          </cell>
          <cell r="F563" t="str">
            <v>CRA 10 NO 16-19</v>
          </cell>
          <cell r="G563">
            <v>7442610</v>
          </cell>
        </row>
        <row r="564">
          <cell r="E564">
            <v>60266418</v>
          </cell>
          <cell r="F564" t="str">
            <v>CALLE 3 NO 10-135</v>
          </cell>
          <cell r="G564">
            <v>3112634207</v>
          </cell>
        </row>
        <row r="565">
          <cell r="E565">
            <v>1019088862</v>
          </cell>
          <cell r="F565" t="str">
            <v>CALLE 8 NO 7-60</v>
          </cell>
          <cell r="G565">
            <v>7794681</v>
          </cell>
        </row>
        <row r="566">
          <cell r="E566">
            <v>1007191575</v>
          </cell>
          <cell r="F566" t="str">
            <v>ESE DE LABRANZAGRANDE</v>
          </cell>
          <cell r="G566">
            <v>3133543568</v>
          </cell>
        </row>
        <row r="567">
          <cell r="E567">
            <v>23709462</v>
          </cell>
          <cell r="F567" t="str">
            <v>CALLE 10 NO 12-75</v>
          </cell>
          <cell r="G567">
            <v>3102935163</v>
          </cell>
        </row>
        <row r="568">
          <cell r="E568">
            <v>1055274215</v>
          </cell>
          <cell r="F568" t="str">
            <v>SANTA ROSA DE VITERBO</v>
          </cell>
          <cell r="G568">
            <v>3153150492</v>
          </cell>
        </row>
        <row r="569">
          <cell r="E569">
            <v>74320144</v>
          </cell>
          <cell r="F569" t="str">
            <v>CARRERA 7 NO 6-21</v>
          </cell>
          <cell r="G569">
            <v>3142351574</v>
          </cell>
        </row>
        <row r="570">
          <cell r="E570">
            <v>74320410</v>
          </cell>
          <cell r="F570" t="str">
            <v>CRA 7 NO 6-13</v>
          </cell>
          <cell r="G570">
            <v>3124480620</v>
          </cell>
        </row>
        <row r="571">
          <cell r="E571">
            <v>1052386176</v>
          </cell>
          <cell r="F571" t="str">
            <v>CALLE 4 NO 5 34</v>
          </cell>
          <cell r="G571">
            <v>0</v>
          </cell>
        </row>
        <row r="572">
          <cell r="E572">
            <v>1052399116</v>
          </cell>
          <cell r="F572" t="str">
            <v>CALLE 1 NO 9A-21</v>
          </cell>
          <cell r="G572">
            <v>3223562726</v>
          </cell>
        </row>
        <row r="573">
          <cell r="E573">
            <v>1052313606</v>
          </cell>
          <cell r="F573" t="str">
            <v>CALLE 7 NO 11-01</v>
          </cell>
          <cell r="G573">
            <v>3208155600</v>
          </cell>
        </row>
        <row r="574">
          <cell r="E574">
            <v>1056553576</v>
          </cell>
          <cell r="F574" t="str">
            <v>CARRERA 1 NO 11-69</v>
          </cell>
          <cell r="G574">
            <v>3005778126</v>
          </cell>
        </row>
        <row r="575">
          <cell r="E575">
            <v>1098728671</v>
          </cell>
          <cell r="F575" t="str">
            <v>CARRERA 6 NO 4-19</v>
          </cell>
          <cell r="G575">
            <v>7870030</v>
          </cell>
        </row>
        <row r="576">
          <cell r="E576">
            <v>1094284842</v>
          </cell>
          <cell r="F576" t="str">
            <v>CALLE 8 NO 6-42 LABRANZAGRANDE</v>
          </cell>
          <cell r="G576">
            <v>3222859000</v>
          </cell>
        </row>
        <row r="577">
          <cell r="E577">
            <v>53106133</v>
          </cell>
          <cell r="F577" t="str">
            <v>CARRERA 6 NO 8-105</v>
          </cell>
          <cell r="G577">
            <v>3123101710</v>
          </cell>
        </row>
        <row r="578">
          <cell r="E578">
            <v>1053665400</v>
          </cell>
          <cell r="F578" t="str">
            <v>CENTRO DE SALUD DE TASCO</v>
          </cell>
          <cell r="G578">
            <v>0</v>
          </cell>
        </row>
        <row r="579">
          <cell r="E579">
            <v>23690784</v>
          </cell>
          <cell r="F579" t="str">
            <v>FINCA SAN LUIS</v>
          </cell>
          <cell r="G579">
            <v>3204935535</v>
          </cell>
        </row>
        <row r="580">
          <cell r="E580">
            <v>23691124</v>
          </cell>
          <cell r="F580" t="str">
            <v>FINCA SAN LUIS</v>
          </cell>
          <cell r="G580">
            <v>3115213107</v>
          </cell>
        </row>
        <row r="581">
          <cell r="E581">
            <v>20444799</v>
          </cell>
          <cell r="F581" t="str">
            <v>CRA 14 NO 3-51</v>
          </cell>
          <cell r="G581">
            <v>3118438347</v>
          </cell>
        </row>
        <row r="582">
          <cell r="E582">
            <v>1007446797</v>
          </cell>
          <cell r="F582" t="str">
            <v>TORRE 5 APTP 502 T DE AQUITANIA</v>
          </cell>
          <cell r="G582">
            <v>3102964141</v>
          </cell>
        </row>
        <row r="583">
          <cell r="E583">
            <v>1057893098</v>
          </cell>
          <cell r="F583" t="str">
            <v>CALLE 1 NO 5-10</v>
          </cell>
          <cell r="G583">
            <v>7357277</v>
          </cell>
        </row>
        <row r="584">
          <cell r="E584">
            <v>1099215034</v>
          </cell>
          <cell r="F584" t="str">
            <v>CARRERA 81B NO 19B-50 BOGOTA</v>
          </cell>
          <cell r="G584">
            <v>3246393915</v>
          </cell>
        </row>
        <row r="585">
          <cell r="E585">
            <v>1077085280</v>
          </cell>
          <cell r="F585" t="str">
            <v>CALLE 7A NO 9-55</v>
          </cell>
          <cell r="G585">
            <v>3125741423</v>
          </cell>
        </row>
        <row r="586">
          <cell r="E586">
            <v>1002735798</v>
          </cell>
          <cell r="F586" t="str">
            <v>CENTRO RAQUIRA BOYACA</v>
          </cell>
          <cell r="G586">
            <v>3135530885</v>
          </cell>
        </row>
        <row r="587">
          <cell r="E587">
            <v>74270419</v>
          </cell>
          <cell r="F587" t="str">
            <v>ESE DE TASCO</v>
          </cell>
          <cell r="G587">
            <v>0</v>
          </cell>
        </row>
        <row r="588">
          <cell r="E588">
            <v>46375779</v>
          </cell>
          <cell r="F588" t="str">
            <v>CALLE 2E NO 18A-13</v>
          </cell>
          <cell r="G588">
            <v>3138923092</v>
          </cell>
        </row>
        <row r="589">
          <cell r="E589">
            <v>39280573</v>
          </cell>
          <cell r="F589" t="str">
            <v>CRA 6 NO 4-19</v>
          </cell>
          <cell r="G589">
            <v>3127036585</v>
          </cell>
        </row>
        <row r="590">
          <cell r="E590">
            <v>1057606472</v>
          </cell>
          <cell r="F590" t="str">
            <v>CARRERA 4 NO 8-31 SOGAMOSO</v>
          </cell>
          <cell r="G590">
            <v>3133367022</v>
          </cell>
        </row>
        <row r="591">
          <cell r="E591">
            <v>72326304</v>
          </cell>
          <cell r="F591" t="str">
            <v>CARRERA 8 NO 9-46</v>
          </cell>
          <cell r="G591">
            <v>3118598947</v>
          </cell>
        </row>
        <row r="592">
          <cell r="E592">
            <v>1013596318</v>
          </cell>
          <cell r="F592" t="str">
            <v>CALLE 95 NO 68D-20</v>
          </cell>
          <cell r="G592">
            <v>3152979685</v>
          </cell>
        </row>
        <row r="593">
          <cell r="E593">
            <v>46386082</v>
          </cell>
          <cell r="G593">
            <v>0</v>
          </cell>
        </row>
        <row r="594">
          <cell r="E594">
            <v>1014294464</v>
          </cell>
          <cell r="F594" t="str">
            <v>CALLE 19 NO 8-18</v>
          </cell>
          <cell r="G594">
            <v>3208752482</v>
          </cell>
        </row>
        <row r="595">
          <cell r="E595">
            <v>1053302343</v>
          </cell>
          <cell r="F595" t="str">
            <v>CARRERA 4 NO 7-07 CORRALES</v>
          </cell>
          <cell r="G595">
            <v>3145766256</v>
          </cell>
        </row>
        <row r="596">
          <cell r="E596">
            <v>72326858</v>
          </cell>
          <cell r="F596" t="str">
            <v>BARRIO LA CASTELLANA</v>
          </cell>
          <cell r="G596">
            <v>3208808769</v>
          </cell>
        </row>
        <row r="597">
          <cell r="E597">
            <v>60378009</v>
          </cell>
          <cell r="F597" t="str">
            <v>CALLE 26 NO 22 25</v>
          </cell>
          <cell r="G597">
            <v>3118713471</v>
          </cell>
        </row>
        <row r="598">
          <cell r="E598">
            <v>1032409419</v>
          </cell>
          <cell r="F598" t="str">
            <v>CARRERA 5 NO 7-38</v>
          </cell>
          <cell r="G598">
            <v>3212009015</v>
          </cell>
        </row>
        <row r="599">
          <cell r="E599">
            <v>1002740834</v>
          </cell>
          <cell r="F599" t="str">
            <v>CALLE 42 NO 12/78 SOGAMOSO</v>
          </cell>
          <cell r="G599">
            <v>3112653582</v>
          </cell>
        </row>
        <row r="600">
          <cell r="E600">
            <v>40044778</v>
          </cell>
          <cell r="F600" t="str">
            <v>CRA 15 NO 13-26</v>
          </cell>
          <cell r="G600">
            <v>3112153460</v>
          </cell>
        </row>
        <row r="601">
          <cell r="E601">
            <v>1057215797</v>
          </cell>
          <cell r="F601" t="str">
            <v>CALLE 5 NO 4 35 SUTAMARCHAN</v>
          </cell>
          <cell r="G601">
            <v>3134822260</v>
          </cell>
        </row>
        <row r="602">
          <cell r="E602">
            <v>1057215511</v>
          </cell>
          <cell r="F602" t="str">
            <v>VEREDA VOLCAN SUTAMARCHAN</v>
          </cell>
          <cell r="G602">
            <v>3214675012</v>
          </cell>
        </row>
        <row r="603">
          <cell r="E603">
            <v>4268095</v>
          </cell>
          <cell r="F603" t="str">
            <v>CALLE 1 NO 5-10</v>
          </cell>
          <cell r="G603">
            <v>6087357216</v>
          </cell>
        </row>
        <row r="604">
          <cell r="E604">
            <v>1007409704</v>
          </cell>
          <cell r="F604" t="str">
            <v>APTO 302 BLOQUE 1 SUR</v>
          </cell>
          <cell r="G604">
            <v>3142568435</v>
          </cell>
        </row>
        <row r="605">
          <cell r="E605">
            <v>1056506519</v>
          </cell>
          <cell r="F605" t="str">
            <v>CENTRO S PABLO DE BORBUR</v>
          </cell>
          <cell r="G605">
            <v>3223860073</v>
          </cell>
        </row>
        <row r="606">
          <cell r="E606">
            <v>40032836</v>
          </cell>
          <cell r="F606" t="str">
            <v>CRA 8 NO 17-47 APTO 501</v>
          </cell>
          <cell r="G606">
            <v>3115135371</v>
          </cell>
        </row>
        <row r="607">
          <cell r="E607">
            <v>40029130</v>
          </cell>
          <cell r="F607" t="str">
            <v>CARRERA 14 NO 2SUR 46</v>
          </cell>
          <cell r="G607">
            <v>3138705739</v>
          </cell>
        </row>
        <row r="608">
          <cell r="E608">
            <v>1057215135</v>
          </cell>
          <cell r="F608" t="str">
            <v>CAÑO ALTO SUTAMARCHAN</v>
          </cell>
          <cell r="G608">
            <v>3144062247</v>
          </cell>
        </row>
        <row r="609">
          <cell r="E609">
            <v>1053338838</v>
          </cell>
          <cell r="F609" t="str">
            <v>BARRIO PRIMAVERA</v>
          </cell>
          <cell r="G609">
            <v>3209287891</v>
          </cell>
        </row>
        <row r="610">
          <cell r="E610">
            <v>1053339162</v>
          </cell>
          <cell r="F610" t="str">
            <v>CENTRO DE SALUD DE RAQUIRA</v>
          </cell>
          <cell r="G610">
            <v>0</v>
          </cell>
        </row>
        <row r="611">
          <cell r="E611">
            <v>1054094552</v>
          </cell>
          <cell r="F611" t="str">
            <v>CALLE 7 NO 7 29</v>
          </cell>
          <cell r="G611">
            <v>3202076366</v>
          </cell>
        </row>
        <row r="612">
          <cell r="E612">
            <v>7128016</v>
          </cell>
          <cell r="F612" t="str">
            <v>CENTRO</v>
          </cell>
          <cell r="G612">
            <v>3125029266</v>
          </cell>
        </row>
        <row r="613">
          <cell r="E613">
            <v>1015480559</v>
          </cell>
          <cell r="F613" t="str">
            <v>ESE DE AQUITANIA</v>
          </cell>
          <cell r="G613">
            <v>0</v>
          </cell>
        </row>
        <row r="614">
          <cell r="E614">
            <v>33701199</v>
          </cell>
          <cell r="F614" t="str">
            <v>CARRERA 4 NO 7-42</v>
          </cell>
          <cell r="G614">
            <v>3142131280</v>
          </cell>
        </row>
        <row r="615">
          <cell r="E615">
            <v>46369587</v>
          </cell>
          <cell r="F615" t="str">
            <v>CALLE 14A NO 19-17</v>
          </cell>
          <cell r="G615">
            <v>3124790434</v>
          </cell>
        </row>
        <row r="616">
          <cell r="E616">
            <v>1053585486</v>
          </cell>
          <cell r="F616" t="str">
            <v>CARRERA 5 NO 5-24</v>
          </cell>
          <cell r="G616">
            <v>7879110</v>
          </cell>
        </row>
        <row r="617">
          <cell r="E617">
            <v>39578480</v>
          </cell>
          <cell r="F617" t="str">
            <v>CARRERA 7 NO 6-45</v>
          </cell>
          <cell r="G617">
            <v>3108711709</v>
          </cell>
        </row>
        <row r="618">
          <cell r="E618">
            <v>74186727</v>
          </cell>
          <cell r="F618" t="str">
            <v>CARRERA 11 NO 13-57 SUR</v>
          </cell>
          <cell r="G618">
            <v>0</v>
          </cell>
        </row>
        <row r="619">
          <cell r="E619">
            <v>5230480</v>
          </cell>
          <cell r="F619" t="str">
            <v>CALLE 7 MO 6-36</v>
          </cell>
          <cell r="G619">
            <v>3105335498</v>
          </cell>
        </row>
        <row r="620">
          <cell r="E620">
            <v>1057581374</v>
          </cell>
          <cell r="F620" t="str">
            <v>CARRERA 6B NO 4-31 SOGAMOSO</v>
          </cell>
          <cell r="G620">
            <v>3202311653</v>
          </cell>
        </row>
        <row r="621">
          <cell r="E621">
            <v>1056505299</v>
          </cell>
          <cell r="F621" t="str">
            <v>CALLE 2 NO 1-41</v>
          </cell>
          <cell r="G621">
            <v>3134419520</v>
          </cell>
        </row>
        <row r="622">
          <cell r="E622">
            <v>46374241</v>
          </cell>
          <cell r="F622" t="str">
            <v>TR. 7 NO 7-136</v>
          </cell>
          <cell r="G622">
            <v>3123655390</v>
          </cell>
        </row>
        <row r="623">
          <cell r="E623">
            <v>7124764</v>
          </cell>
          <cell r="F623" t="str">
            <v>CARRERA 4 NO 3-28</v>
          </cell>
          <cell r="G623">
            <v>3213724157</v>
          </cell>
        </row>
        <row r="624">
          <cell r="E624">
            <v>33435572</v>
          </cell>
          <cell r="F624" t="str">
            <v>BARRIO LAS FERIAS QUIPAMA</v>
          </cell>
          <cell r="G624">
            <v>3217271729</v>
          </cell>
        </row>
        <row r="625">
          <cell r="E625">
            <v>23689555</v>
          </cell>
          <cell r="F625" t="str">
            <v>CENTRO</v>
          </cell>
          <cell r="G625">
            <v>3138174779</v>
          </cell>
        </row>
        <row r="626">
          <cell r="E626">
            <v>7173614</v>
          </cell>
          <cell r="F626" t="str">
            <v>CRA 7 NO 23-50</v>
          </cell>
          <cell r="G626">
            <v>3124490046</v>
          </cell>
        </row>
        <row r="627">
          <cell r="E627">
            <v>1051476027</v>
          </cell>
          <cell r="F627" t="str">
            <v>BARRIO LA SIERRA TORRE 401 SOGAMOSO</v>
          </cell>
          <cell r="G627">
            <v>3133933872</v>
          </cell>
        </row>
        <row r="628">
          <cell r="E628">
            <v>1053664930</v>
          </cell>
          <cell r="F628" t="str">
            <v>CARRERA 4 NO 9-15</v>
          </cell>
          <cell r="G628">
            <v>3222791845</v>
          </cell>
        </row>
        <row r="629">
          <cell r="E629">
            <v>1051477880</v>
          </cell>
          <cell r="F629" t="str">
            <v>CARRERA 13 NO 9A-17</v>
          </cell>
          <cell r="G629">
            <v>3209614134</v>
          </cell>
        </row>
        <row r="630">
          <cell r="E630">
            <v>1053585632</v>
          </cell>
          <cell r="F630" t="str">
            <v>CENTRO</v>
          </cell>
          <cell r="G630">
            <v>3143850996</v>
          </cell>
        </row>
        <row r="631">
          <cell r="E631">
            <v>18393992</v>
          </cell>
          <cell r="F631" t="str">
            <v>CENTRO DE SALUD SAN PABLO D EBORBUR</v>
          </cell>
          <cell r="G631">
            <v>0</v>
          </cell>
        </row>
        <row r="632">
          <cell r="E632">
            <v>1057892078</v>
          </cell>
          <cell r="F632" t="str">
            <v>VEREDA MIRQUE RAQUIRA</v>
          </cell>
          <cell r="G632">
            <v>3228362031</v>
          </cell>
        </row>
        <row r="633">
          <cell r="E633">
            <v>46386628</v>
          </cell>
          <cell r="F633" t="str">
            <v>CARRERA 5 NO 03-12 APTO 201</v>
          </cell>
          <cell r="G633">
            <v>3115732028</v>
          </cell>
        </row>
        <row r="634">
          <cell r="E634">
            <v>52662715</v>
          </cell>
          <cell r="F634" t="str">
            <v>CARRERA 2 NO 7-37</v>
          </cell>
          <cell r="G634">
            <v>3223932226</v>
          </cell>
        </row>
        <row r="635">
          <cell r="E635">
            <v>1076657281</v>
          </cell>
          <cell r="F635" t="str">
            <v>CARRERA 6 NO 5-40</v>
          </cell>
          <cell r="G635">
            <v>3138611118</v>
          </cell>
        </row>
        <row r="636">
          <cell r="E636">
            <v>1056552294</v>
          </cell>
          <cell r="F636" t="str">
            <v>BARRIO SAN LUIS</v>
          </cell>
          <cell r="G636">
            <v>3138322804</v>
          </cell>
        </row>
        <row r="637">
          <cell r="E637">
            <v>1057892931</v>
          </cell>
          <cell r="F637" t="str">
            <v>CENTRO RAQUIRA</v>
          </cell>
          <cell r="G637">
            <v>3114910064</v>
          </cell>
        </row>
        <row r="638">
          <cell r="E638">
            <v>1054284506</v>
          </cell>
          <cell r="F638" t="str">
            <v>CALLE 10 NO 16-34 SOGAMOSO</v>
          </cell>
          <cell r="G638">
            <v>3144354156</v>
          </cell>
        </row>
        <row r="639">
          <cell r="E639">
            <v>1015418365</v>
          </cell>
          <cell r="F639" t="str">
            <v>CALLE 29A NO 16 BIS 33 TUNJA</v>
          </cell>
          <cell r="G639">
            <v>3103080783</v>
          </cell>
        </row>
        <row r="640">
          <cell r="E640">
            <v>52957802</v>
          </cell>
          <cell r="F640" t="str">
            <v>CARRERA 9 NO 11-48</v>
          </cell>
          <cell r="G640">
            <v>3103331692</v>
          </cell>
        </row>
        <row r="641">
          <cell r="E641">
            <v>1090510725</v>
          </cell>
          <cell r="F641" t="str">
            <v>CARRERA 5 NO 5-24</v>
          </cell>
          <cell r="G641">
            <v>6087879110</v>
          </cell>
        </row>
        <row r="642">
          <cell r="E642">
            <v>1052312544</v>
          </cell>
          <cell r="F642" t="str">
            <v>CALLE 7 NO 10-18</v>
          </cell>
          <cell r="G642">
            <v>3224634295</v>
          </cell>
        </row>
        <row r="643">
          <cell r="E643">
            <v>9590046</v>
          </cell>
          <cell r="F643" t="str">
            <v>CRA 5 NO 1-11</v>
          </cell>
          <cell r="G643">
            <v>3213301980</v>
          </cell>
        </row>
        <row r="644">
          <cell r="E644">
            <v>7307448</v>
          </cell>
          <cell r="F644" t="str">
            <v>ESE SAN PABLO DE BORBUR</v>
          </cell>
          <cell r="G644">
            <v>0</v>
          </cell>
        </row>
        <row r="645">
          <cell r="E645">
            <v>84456909</v>
          </cell>
          <cell r="F645" t="str">
            <v>MANZANA F CASA 28 SENDEROS DE LA VILLA</v>
          </cell>
          <cell r="G645">
            <v>3125029387</v>
          </cell>
        </row>
        <row r="646">
          <cell r="E646">
            <v>23325104</v>
          </cell>
          <cell r="F646" t="str">
            <v>VEREDA TUATE</v>
          </cell>
          <cell r="G646">
            <v>3132706192</v>
          </cell>
        </row>
        <row r="647">
          <cell r="E647">
            <v>1052396670</v>
          </cell>
          <cell r="F647" t="str">
            <v>CALLE 7 NO 9-15</v>
          </cell>
          <cell r="G647">
            <v>3123885645</v>
          </cell>
        </row>
        <row r="648">
          <cell r="E648">
            <v>1032439860</v>
          </cell>
          <cell r="F648" t="str">
            <v>CALLE 8 NO 218</v>
          </cell>
          <cell r="G648">
            <v>3102442324</v>
          </cell>
        </row>
        <row r="649">
          <cell r="E649">
            <v>1004802969</v>
          </cell>
          <cell r="F649" t="str">
            <v>VEREDA RESGUARDO RAQUIRA</v>
          </cell>
          <cell r="G649">
            <v>3118124498</v>
          </cell>
        </row>
        <row r="650">
          <cell r="E650">
            <v>1072666110</v>
          </cell>
          <cell r="F650" t="str">
            <v>CARRERA 3 NO 6 27 SECTOR NAZARETH NOBSA</v>
          </cell>
          <cell r="G650">
            <v>3133700658</v>
          </cell>
        </row>
        <row r="651">
          <cell r="E651">
            <v>23770358</v>
          </cell>
          <cell r="F651" t="str">
            <v>CARRERA 3 NO 9-79</v>
          </cell>
          <cell r="G651">
            <v>3218562295</v>
          </cell>
        </row>
        <row r="652">
          <cell r="E652">
            <v>39948604</v>
          </cell>
          <cell r="F652" t="str">
            <v>CALLE 28A NO 12A-21</v>
          </cell>
          <cell r="G652">
            <v>3223981763</v>
          </cell>
        </row>
        <row r="653">
          <cell r="E653">
            <v>1014222226</v>
          </cell>
          <cell r="F653" t="str">
            <v>TRANSVERSAL 110 NO 80A-80</v>
          </cell>
          <cell r="G653">
            <v>3114836895</v>
          </cell>
        </row>
        <row r="654">
          <cell r="E654">
            <v>1032382158</v>
          </cell>
          <cell r="F654" t="str">
            <v>CENTRO LABRANZAGRANDE</v>
          </cell>
          <cell r="G654">
            <v>3208033866</v>
          </cell>
        </row>
        <row r="655">
          <cell r="E655">
            <v>1052391956</v>
          </cell>
          <cell r="F655" t="str">
            <v>CALLE 2 NO 8-96 TUNJA</v>
          </cell>
          <cell r="G655">
            <v>3185529500</v>
          </cell>
        </row>
        <row r="656">
          <cell r="E656">
            <v>1118532520</v>
          </cell>
          <cell r="F656" t="str">
            <v>CENTRO LABRANZAGRANDE</v>
          </cell>
          <cell r="G656">
            <v>3108387758</v>
          </cell>
        </row>
        <row r="657">
          <cell r="E657">
            <v>72327022</v>
          </cell>
          <cell r="F657" t="str">
            <v>CALLE 8 NO 3-40</v>
          </cell>
          <cell r="G657">
            <v>3142894349</v>
          </cell>
        </row>
        <row r="658">
          <cell r="E658">
            <v>1057463681</v>
          </cell>
          <cell r="F658" t="str">
            <v>CALLE 8 NO 3 40</v>
          </cell>
          <cell r="G658">
            <v>3202581412</v>
          </cell>
        </row>
        <row r="659">
          <cell r="E659">
            <v>1007826291</v>
          </cell>
          <cell r="F659" t="str">
            <v>CENTRO</v>
          </cell>
          <cell r="G659">
            <v>3138638219</v>
          </cell>
        </row>
        <row r="660">
          <cell r="E660">
            <v>1057585321</v>
          </cell>
          <cell r="F660" t="str">
            <v>CARRERA 7  NO 9-31</v>
          </cell>
          <cell r="G660">
            <v>3204291047</v>
          </cell>
        </row>
        <row r="661">
          <cell r="E661">
            <v>901431525</v>
          </cell>
          <cell r="F661" t="str">
            <v>CARRERA 11 NO 20-53</v>
          </cell>
          <cell r="G661">
            <v>3144782390</v>
          </cell>
        </row>
        <row r="662">
          <cell r="E662">
            <v>23424250</v>
          </cell>
          <cell r="F662" t="str">
            <v>CARRERA 3 NO 4 14</v>
          </cell>
          <cell r="G662">
            <v>3157808823</v>
          </cell>
        </row>
        <row r="663">
          <cell r="E663">
            <v>1002736679</v>
          </cell>
          <cell r="F663" t="str">
            <v>CARRERA 5 NO 10-28</v>
          </cell>
          <cell r="G663">
            <v>3227524389</v>
          </cell>
        </row>
        <row r="664">
          <cell r="E664">
            <v>24183366</v>
          </cell>
          <cell r="F664" t="str">
            <v>CENTRO TOPAGA</v>
          </cell>
          <cell r="G664">
            <v>3134027748</v>
          </cell>
        </row>
        <row r="665">
          <cell r="E665">
            <v>4272304</v>
          </cell>
          <cell r="F665" t="str">
            <v>CARRERA 5 NO 5-24 TASCO</v>
          </cell>
          <cell r="G665">
            <v>6087879110</v>
          </cell>
        </row>
        <row r="666">
          <cell r="E666">
            <v>1052312262</v>
          </cell>
          <cell r="F666" t="str">
            <v>ESE DE BELEN</v>
          </cell>
          <cell r="G666">
            <v>3213846252</v>
          </cell>
        </row>
        <row r="667">
          <cell r="E667">
            <v>1053607006</v>
          </cell>
          <cell r="F667" t="str">
            <v>CALLE 1 NO 11-91 SOGAMOSO</v>
          </cell>
          <cell r="G667">
            <v>3222169004</v>
          </cell>
        </row>
        <row r="668">
          <cell r="E668">
            <v>7186313</v>
          </cell>
          <cell r="F668" t="str">
            <v>CALLE 6 NO 17 21</v>
          </cell>
          <cell r="G668">
            <v>3212388232</v>
          </cell>
        </row>
        <row r="669">
          <cell r="E669">
            <v>74180493</v>
          </cell>
          <cell r="F669" t="str">
            <v>CALLE 11 NO 10-99</v>
          </cell>
          <cell r="G669">
            <v>3188756610</v>
          </cell>
        </row>
        <row r="670">
          <cell r="E670">
            <v>24006176</v>
          </cell>
          <cell r="F670" t="str">
            <v>CALLE 3 NO 11-3</v>
          </cell>
          <cell r="G670">
            <v>3133258860</v>
          </cell>
        </row>
        <row r="671">
          <cell r="E671">
            <v>1054121376</v>
          </cell>
          <cell r="F671" t="str">
            <v>BARRIO SAN ISIDRO</v>
          </cell>
          <cell r="G671">
            <v>3203374820</v>
          </cell>
        </row>
        <row r="672">
          <cell r="E672">
            <v>1057872547</v>
          </cell>
          <cell r="F672" t="str">
            <v>CARRERA 5 NO 03-09 PAYA</v>
          </cell>
          <cell r="G672">
            <v>3123798899</v>
          </cell>
        </row>
        <row r="673">
          <cell r="E673">
            <v>1057572560</v>
          </cell>
          <cell r="F673" t="str">
            <v>CARRERA 11 NO 14-50</v>
          </cell>
          <cell r="G673">
            <v>3142717504</v>
          </cell>
        </row>
        <row r="674">
          <cell r="E674">
            <v>23810425</v>
          </cell>
          <cell r="F674" t="str">
            <v>CARRERA 5 NO 7-04</v>
          </cell>
          <cell r="G674">
            <v>3115822392</v>
          </cell>
        </row>
        <row r="675">
          <cell r="E675">
            <v>1118529481</v>
          </cell>
          <cell r="F675" t="str">
            <v>PAYA CENTRO</v>
          </cell>
          <cell r="G675">
            <v>3118105054</v>
          </cell>
        </row>
        <row r="676">
          <cell r="E676">
            <v>23337043</v>
          </cell>
          <cell r="F676" t="str">
            <v>CARRERA 4 NO 5-14 BETEITIVA</v>
          </cell>
          <cell r="G676">
            <v>3115576868</v>
          </cell>
        </row>
        <row r="677">
          <cell r="E677">
            <v>900623074</v>
          </cell>
          <cell r="F677" t="str">
            <v>AVENIDA UNIVERSITARIA NO 50-21</v>
          </cell>
          <cell r="G677">
            <v>4037313</v>
          </cell>
        </row>
        <row r="678">
          <cell r="E678">
            <v>900155107</v>
          </cell>
          <cell r="F678" t="str">
            <v>CALLE 8 NO 11-43</v>
          </cell>
          <cell r="G678">
            <v>7730111</v>
          </cell>
        </row>
        <row r="679">
          <cell r="E679">
            <v>47432945</v>
          </cell>
          <cell r="F679" t="str">
            <v>CARRERA 8 NO 6-08</v>
          </cell>
          <cell r="G679">
            <v>3207806788</v>
          </cell>
        </row>
        <row r="680">
          <cell r="E680">
            <v>900147344</v>
          </cell>
          <cell r="F680" t="str">
            <v>CARRERA 10 NO 11-42 CHIQUINQUIRA</v>
          </cell>
          <cell r="G680">
            <v>7263228</v>
          </cell>
        </row>
        <row r="681">
          <cell r="E681">
            <v>826000697</v>
          </cell>
          <cell r="F681" t="str">
            <v>AVENIDA LIBERTADORES NO 11-31 PAIPA</v>
          </cell>
          <cell r="G681">
            <v>7850266</v>
          </cell>
        </row>
        <row r="682">
          <cell r="E682">
            <v>900291230</v>
          </cell>
          <cell r="F682" t="str">
            <v>CALLE 16 NO 18-44</v>
          </cell>
          <cell r="G682">
            <v>3144869265</v>
          </cell>
        </row>
        <row r="683">
          <cell r="E683">
            <v>901305578</v>
          </cell>
          <cell r="F683" t="str">
            <v>CARRERA 9 NO 14-47</v>
          </cell>
          <cell r="G683">
            <v>3202708813</v>
          </cell>
        </row>
        <row r="684">
          <cell r="E684">
            <v>891800982</v>
          </cell>
          <cell r="F684" t="str">
            <v>KILOMETRO 1 VIA A SORACA TUNJA</v>
          </cell>
          <cell r="G684">
            <v>7407270</v>
          </cell>
        </row>
        <row r="685">
          <cell r="E685">
            <v>820005201</v>
          </cell>
          <cell r="F685" t="str">
            <v>KM 1 VIA ARCABUCO</v>
          </cell>
          <cell r="G685">
            <v>3178942828</v>
          </cell>
        </row>
        <row r="686">
          <cell r="E686">
            <v>4217413</v>
          </cell>
          <cell r="F686" t="str">
            <v>CALLE 5B NO 11A-28 AQUITANIA</v>
          </cell>
          <cell r="G686">
            <v>3113334309</v>
          </cell>
        </row>
        <row r="687">
          <cell r="E687">
            <v>23324578</v>
          </cell>
          <cell r="F687" t="str">
            <v>CALLE 5 NO 8-68</v>
          </cell>
          <cell r="G687">
            <v>3114847817</v>
          </cell>
        </row>
        <row r="688">
          <cell r="E688">
            <v>1051473313</v>
          </cell>
          <cell r="F688" t="str">
            <v>CARRERA 7 NO 3 56</v>
          </cell>
          <cell r="G688">
            <v>3215388848</v>
          </cell>
        </row>
        <row r="689">
          <cell r="E689">
            <v>46682708</v>
          </cell>
          <cell r="F689" t="str">
            <v>ESE AQUITANIA</v>
          </cell>
          <cell r="G689">
            <v>0</v>
          </cell>
        </row>
        <row r="690">
          <cell r="E690">
            <v>74359094</v>
          </cell>
          <cell r="F690" t="str">
            <v>CARRERA 22 NO 25-17</v>
          </cell>
          <cell r="G690">
            <v>7852003</v>
          </cell>
        </row>
        <row r="691">
          <cell r="E691">
            <v>33368296</v>
          </cell>
          <cell r="F691" t="str">
            <v>CENTRO</v>
          </cell>
          <cell r="G691">
            <v>0</v>
          </cell>
        </row>
        <row r="692">
          <cell r="E692">
            <v>1075266325</v>
          </cell>
          <cell r="F692" t="str">
            <v>CNETOT AQUITANIA</v>
          </cell>
          <cell r="G692">
            <v>3208728383</v>
          </cell>
        </row>
        <row r="693">
          <cell r="E693">
            <v>1057599426</v>
          </cell>
          <cell r="F693" t="str">
            <v>CENTRO AQUITANIA</v>
          </cell>
          <cell r="G693">
            <v>3133708895</v>
          </cell>
        </row>
        <row r="694">
          <cell r="E694">
            <v>1057595287</v>
          </cell>
          <cell r="F694" t="str">
            <v>CARRERA 17 NO 8-35 SOGAMOSO</v>
          </cell>
          <cell r="G694">
            <v>3227147387</v>
          </cell>
        </row>
        <row r="695">
          <cell r="E695">
            <v>46361957</v>
          </cell>
          <cell r="F695" t="str">
            <v>CRA 21 NO 24-73</v>
          </cell>
          <cell r="G695">
            <v>3132761170</v>
          </cell>
        </row>
        <row r="696">
          <cell r="E696">
            <v>43111907</v>
          </cell>
          <cell r="F696" t="str">
            <v>CC LA FLORESTA</v>
          </cell>
          <cell r="G696">
            <v>3123308210</v>
          </cell>
        </row>
        <row r="697">
          <cell r="E697">
            <v>24212928</v>
          </cell>
          <cell r="F697" t="str">
            <v>CARRERA 5 NO 7-42</v>
          </cell>
          <cell r="G697">
            <v>3213485126</v>
          </cell>
        </row>
        <row r="698">
          <cell r="E698">
            <v>1103713097</v>
          </cell>
          <cell r="F698" t="str">
            <v>DIAG. 5B NO 5-01</v>
          </cell>
          <cell r="G698">
            <v>3102802000</v>
          </cell>
        </row>
        <row r="699">
          <cell r="E699">
            <v>46387600</v>
          </cell>
          <cell r="F699" t="str">
            <v>CARRERA 5 NO 4-15</v>
          </cell>
          <cell r="G699">
            <v>7794681</v>
          </cell>
        </row>
        <row r="700">
          <cell r="E700">
            <v>74187374</v>
          </cell>
          <cell r="F700" t="str">
            <v>CALLE 25 NO 7-86</v>
          </cell>
          <cell r="G700">
            <v>3143389908</v>
          </cell>
        </row>
        <row r="701">
          <cell r="E701">
            <v>1051473377</v>
          </cell>
          <cell r="F701" t="str">
            <v>CALLE 5 NO 5-51 AQUITANIA</v>
          </cell>
          <cell r="G701">
            <v>3214412412</v>
          </cell>
        </row>
        <row r="702">
          <cell r="E702">
            <v>23945843</v>
          </cell>
          <cell r="F702" t="str">
            <v>CRA 9 NO 10-42</v>
          </cell>
          <cell r="G702">
            <v>3144060050</v>
          </cell>
        </row>
        <row r="703">
          <cell r="E703">
            <v>24134725</v>
          </cell>
          <cell r="F703" t="str">
            <v>CALLE 8 NO 9-20</v>
          </cell>
          <cell r="G703">
            <v>3114956358</v>
          </cell>
        </row>
        <row r="704">
          <cell r="E704">
            <v>1051473892</v>
          </cell>
          <cell r="F704" t="str">
            <v>CALLE 6 NO 7 54</v>
          </cell>
          <cell r="G704">
            <v>3125394413</v>
          </cell>
        </row>
        <row r="705">
          <cell r="E705">
            <v>1051473432</v>
          </cell>
          <cell r="F705" t="str">
            <v>CARRERA 4 NO 5-14</v>
          </cell>
          <cell r="G705">
            <v>3115587389</v>
          </cell>
        </row>
        <row r="706">
          <cell r="E706">
            <v>1051477310</v>
          </cell>
          <cell r="F706" t="str">
            <v>CENTRO AQUITANIA</v>
          </cell>
          <cell r="G706">
            <v>3214524492</v>
          </cell>
        </row>
        <row r="707">
          <cell r="E707">
            <v>40023455</v>
          </cell>
          <cell r="F707" t="str">
            <v>CARRERA 13A NO 6-18 SOGAMOSO</v>
          </cell>
          <cell r="G707">
            <v>3138055617</v>
          </cell>
        </row>
        <row r="708">
          <cell r="E708">
            <v>1051472029</v>
          </cell>
          <cell r="F708" t="str">
            <v>CALLE 8 MO 7 60</v>
          </cell>
          <cell r="G708">
            <v>6087794136</v>
          </cell>
        </row>
        <row r="709">
          <cell r="E709">
            <v>1051475624</v>
          </cell>
          <cell r="F709" t="str">
            <v>CALLE 2A NO 17-27</v>
          </cell>
          <cell r="G709">
            <v>3112078588</v>
          </cell>
        </row>
        <row r="710">
          <cell r="E710">
            <v>74362184</v>
          </cell>
          <cell r="F710" t="str">
            <v>CENTRO</v>
          </cell>
          <cell r="G710">
            <v>3142227795</v>
          </cell>
        </row>
        <row r="711">
          <cell r="E711">
            <v>24100368</v>
          </cell>
          <cell r="F711" t="str">
            <v>CALLE 3 NO 58-63</v>
          </cell>
          <cell r="G711">
            <v>3214691747</v>
          </cell>
        </row>
        <row r="712">
          <cell r="E712">
            <v>1057588627</v>
          </cell>
          <cell r="F712" t="str">
            <v>CARRERA 13 NO 12-49</v>
          </cell>
          <cell r="G712">
            <v>3105605440</v>
          </cell>
        </row>
        <row r="713">
          <cell r="E713">
            <v>4136658</v>
          </cell>
          <cell r="F713" t="str">
            <v>CARRERA 3 NO 4-124</v>
          </cell>
          <cell r="G713">
            <v>7790004</v>
          </cell>
        </row>
        <row r="714">
          <cell r="E714">
            <v>1057601983</v>
          </cell>
          <cell r="F714" t="str">
            <v>ESE SA FRANCISCO</v>
          </cell>
          <cell r="G714">
            <v>3133527742</v>
          </cell>
        </row>
        <row r="715">
          <cell r="E715">
            <v>9396966</v>
          </cell>
          <cell r="F715" t="str">
            <v>CRA 4 NO 4-184</v>
          </cell>
          <cell r="G715">
            <v>7720027</v>
          </cell>
        </row>
        <row r="716">
          <cell r="E716">
            <v>1002415072</v>
          </cell>
          <cell r="F716" t="str">
            <v>CALLE 6 NO 7-62 AQUITANIA</v>
          </cell>
          <cell r="G716">
            <v>3184349812</v>
          </cell>
        </row>
        <row r="717">
          <cell r="E717">
            <v>1057600712</v>
          </cell>
          <cell r="F717" t="str">
            <v>CALLE 43B NO 10B-46 SOGAMOSO</v>
          </cell>
          <cell r="G717">
            <v>3159261379</v>
          </cell>
        </row>
        <row r="718">
          <cell r="E718">
            <v>1057574860</v>
          </cell>
          <cell r="F718" t="str">
            <v>CENTRO</v>
          </cell>
          <cell r="G718">
            <v>3213268082</v>
          </cell>
        </row>
        <row r="719">
          <cell r="E719">
            <v>46363113</v>
          </cell>
          <cell r="F719" t="str">
            <v>CALLE 8 NO 8-44</v>
          </cell>
          <cell r="G719">
            <v>3138825416</v>
          </cell>
        </row>
        <row r="720">
          <cell r="E720">
            <v>1098772459</v>
          </cell>
          <cell r="F720" t="str">
            <v>CALLE 3 NO 5 32</v>
          </cell>
          <cell r="G720">
            <v>3208667908</v>
          </cell>
        </row>
        <row r="721">
          <cell r="E721">
            <v>1054282677</v>
          </cell>
          <cell r="F721" t="str">
            <v>CARRERA 10 BIS NO 2-42 SOGAMOSO</v>
          </cell>
          <cell r="G721">
            <v>3204534753</v>
          </cell>
        </row>
        <row r="722">
          <cell r="E722">
            <v>1120570</v>
          </cell>
          <cell r="F722" t="str">
            <v>CALLE 5 NO 1-15</v>
          </cell>
          <cell r="G722">
            <v>3124089479</v>
          </cell>
        </row>
        <row r="723">
          <cell r="E723">
            <v>23925729</v>
          </cell>
          <cell r="F723" t="str">
            <v>CRA 9 NO 7-55</v>
          </cell>
          <cell r="G723">
            <v>3115697860</v>
          </cell>
        </row>
        <row r="724">
          <cell r="E724">
            <v>92392572</v>
          </cell>
          <cell r="F724" t="str">
            <v>CRA 9 NO 7-55</v>
          </cell>
          <cell r="G724">
            <v>3115697860</v>
          </cell>
        </row>
        <row r="725">
          <cell r="E725">
            <v>7126893</v>
          </cell>
          <cell r="F725" t="str">
            <v>CRA 8 NO 8-24</v>
          </cell>
          <cell r="G725">
            <v>3105887516</v>
          </cell>
        </row>
        <row r="726">
          <cell r="E726">
            <v>23945808</v>
          </cell>
          <cell r="F726" t="str">
            <v>CALLE 5 NO 8-37</v>
          </cell>
          <cell r="G726">
            <v>7794681</v>
          </cell>
        </row>
        <row r="727">
          <cell r="E727">
            <v>1057599840</v>
          </cell>
          <cell r="F727" t="str">
            <v>CARRERA 4 NO 5-74</v>
          </cell>
          <cell r="G727">
            <v>3134008478</v>
          </cell>
        </row>
        <row r="728">
          <cell r="E728">
            <v>46376528</v>
          </cell>
          <cell r="F728" t="str">
            <v>CARRERA 17 NO 2D-26</v>
          </cell>
          <cell r="G728">
            <v>3114617459</v>
          </cell>
        </row>
        <row r="729">
          <cell r="E729">
            <v>46385886</v>
          </cell>
          <cell r="F729" t="str">
            <v>CARRERA 18 NO 14-26</v>
          </cell>
          <cell r="G729">
            <v>3178953164</v>
          </cell>
        </row>
        <row r="730">
          <cell r="E730">
            <v>1057570598</v>
          </cell>
          <cell r="F730" t="str">
            <v>CENTRO</v>
          </cell>
          <cell r="G730">
            <v>3134230205</v>
          </cell>
        </row>
        <row r="731">
          <cell r="E731">
            <v>1051476841</v>
          </cell>
          <cell r="F731" t="str">
            <v>CARRERA 6 NO 7-60</v>
          </cell>
          <cell r="G731">
            <v>3133444902</v>
          </cell>
        </row>
        <row r="732">
          <cell r="E732">
            <v>46366603</v>
          </cell>
          <cell r="F732" t="str">
            <v>CALLE 5 NO 11A-39</v>
          </cell>
          <cell r="G732">
            <v>3118103379</v>
          </cell>
        </row>
        <row r="733">
          <cell r="E733">
            <v>1000851093</v>
          </cell>
          <cell r="F733" t="str">
            <v>CALLE 64B NO 103A 84</v>
          </cell>
          <cell r="G733">
            <v>3147263133</v>
          </cell>
        </row>
        <row r="734">
          <cell r="E734">
            <v>1002736511</v>
          </cell>
          <cell r="F734" t="str">
            <v>CARRERA 8 NO 5-37</v>
          </cell>
          <cell r="G734">
            <v>3113685843</v>
          </cell>
        </row>
        <row r="735">
          <cell r="E735">
            <v>1054064776</v>
          </cell>
          <cell r="F735" t="str">
            <v>CENTRO TOPAGA</v>
          </cell>
          <cell r="G735">
            <v>3172986723</v>
          </cell>
        </row>
        <row r="736">
          <cell r="E736">
            <v>46682319</v>
          </cell>
          <cell r="F736" t="str">
            <v>CALLE 25 NO 17 38</v>
          </cell>
          <cell r="G736">
            <v>3013211860</v>
          </cell>
        </row>
        <row r="737">
          <cell r="E737">
            <v>46451546</v>
          </cell>
          <cell r="F737" t="str">
            <v>CALLE 14 NO 4-17</v>
          </cell>
          <cell r="G737">
            <v>3132216971</v>
          </cell>
        </row>
        <row r="738">
          <cell r="E738">
            <v>4208947</v>
          </cell>
          <cell r="F738" t="str">
            <v>CENTRO TASCO</v>
          </cell>
          <cell r="G738">
            <v>3102200878</v>
          </cell>
        </row>
        <row r="739">
          <cell r="E739">
            <v>1002548190</v>
          </cell>
          <cell r="F739" t="str">
            <v>CONJUNTO SANTA LUCIA DUITAMA</v>
          </cell>
          <cell r="G739">
            <v>3223783598</v>
          </cell>
        </row>
        <row r="740">
          <cell r="E740">
            <v>1014215600</v>
          </cell>
          <cell r="F740" t="str">
            <v>CARRERA 3 NO 6-43</v>
          </cell>
          <cell r="G740">
            <v>3132382055</v>
          </cell>
        </row>
        <row r="741">
          <cell r="E741">
            <v>52853222</v>
          </cell>
          <cell r="F741" t="str">
            <v>CALLE 62 NO 11-49</v>
          </cell>
          <cell r="G741">
            <v>4661236</v>
          </cell>
        </row>
        <row r="742">
          <cell r="E742">
            <v>24098608</v>
          </cell>
          <cell r="F742" t="str">
            <v>CRA 9A NO 10-38</v>
          </cell>
          <cell r="G742">
            <v>3128099424</v>
          </cell>
        </row>
        <row r="743">
          <cell r="E743">
            <v>1122654288</v>
          </cell>
          <cell r="F743" t="str">
            <v>CALLE 3 NO 5-50</v>
          </cell>
          <cell r="G743">
            <v>86248025</v>
          </cell>
        </row>
        <row r="744">
          <cell r="E744">
            <v>20550031</v>
          </cell>
          <cell r="F744" t="str">
            <v>CALLE 182 NO 31-43</v>
          </cell>
          <cell r="G744">
            <v>6777930</v>
          </cell>
        </row>
        <row r="745">
          <cell r="E745">
            <v>40670094</v>
          </cell>
          <cell r="F745" t="str">
            <v>CARRERA 2 NO 10-06</v>
          </cell>
          <cell r="G745">
            <v>3106794795</v>
          </cell>
        </row>
        <row r="746">
          <cell r="E746">
            <v>1057604691</v>
          </cell>
          <cell r="F746" t="str">
            <v>ESE CENTRO DE SALUD DE TOPAGA</v>
          </cell>
          <cell r="G746">
            <v>0</v>
          </cell>
        </row>
        <row r="747">
          <cell r="E747">
            <v>1055333706</v>
          </cell>
          <cell r="F747" t="str">
            <v>CALLE 7B NO 10-29 SOGAMOSO</v>
          </cell>
          <cell r="G747">
            <v>3124559805</v>
          </cell>
        </row>
        <row r="748">
          <cell r="E748">
            <v>24202293</v>
          </cell>
          <cell r="F748" t="str">
            <v>CRA 3 NO 7 21</v>
          </cell>
          <cell r="G748">
            <v>3143620229</v>
          </cell>
        </row>
        <row r="749">
          <cell r="E749">
            <v>1055247212</v>
          </cell>
          <cell r="F749" t="str">
            <v>BARRIO LAS FERIAS</v>
          </cell>
          <cell r="G749">
            <v>3234490322</v>
          </cell>
        </row>
        <row r="750">
          <cell r="E750">
            <v>74359600</v>
          </cell>
          <cell r="F750" t="str">
            <v>CARRERA 7 NO 29-27 TUNJA</v>
          </cell>
          <cell r="G750">
            <v>0</v>
          </cell>
        </row>
        <row r="751">
          <cell r="E751">
            <v>7171681</v>
          </cell>
          <cell r="F751" t="str">
            <v>CENTRO PISBA</v>
          </cell>
          <cell r="G751">
            <v>3123297204</v>
          </cell>
        </row>
        <row r="752">
          <cell r="E752">
            <v>800149496</v>
          </cell>
          <cell r="F752" t="str">
            <v>CALLE 15 NO 17-21</v>
          </cell>
          <cell r="G752">
            <v>7631766</v>
          </cell>
        </row>
        <row r="753">
          <cell r="E753">
            <v>860051135</v>
          </cell>
          <cell r="G753">
            <v>0</v>
          </cell>
        </row>
        <row r="754">
          <cell r="E754">
            <v>800153993</v>
          </cell>
          <cell r="F754" t="str">
            <v>CALLE 90 NO 14-37</v>
          </cell>
          <cell r="G754">
            <v>6181818</v>
          </cell>
        </row>
        <row r="755">
          <cell r="E755">
            <v>1094274757</v>
          </cell>
          <cell r="F755" t="str">
            <v>CALLE 25 NO 20-74</v>
          </cell>
          <cell r="G755">
            <v>3017903858</v>
          </cell>
        </row>
        <row r="756">
          <cell r="E756">
            <v>1098151856</v>
          </cell>
          <cell r="F756" t="str">
            <v>ESE DE PAYA</v>
          </cell>
          <cell r="G756">
            <v>3147485085</v>
          </cell>
        </row>
        <row r="757">
          <cell r="E757">
            <v>900103377</v>
          </cell>
          <cell r="F757" t="str">
            <v>CRA 14 NO 3-18</v>
          </cell>
          <cell r="G757">
            <v>7721252</v>
          </cell>
        </row>
        <row r="758">
          <cell r="E758">
            <v>891800024</v>
          </cell>
          <cell r="F758" t="str">
            <v>CALLE 21 NO 10-79</v>
          </cell>
          <cell r="G758">
            <v>3138047280</v>
          </cell>
        </row>
        <row r="759">
          <cell r="E759">
            <v>4134154</v>
          </cell>
          <cell r="F759" t="str">
            <v>CALLE 2 NO 2-95</v>
          </cell>
          <cell r="G759">
            <v>7251479</v>
          </cell>
        </row>
        <row r="760">
          <cell r="E760">
            <v>891800043</v>
          </cell>
          <cell r="F760" t="str">
            <v>CALE 9 NO 20-08</v>
          </cell>
          <cell r="G760">
            <v>7705815</v>
          </cell>
        </row>
        <row r="761">
          <cell r="E761">
            <v>830113831</v>
          </cell>
          <cell r="G761">
            <v>0</v>
          </cell>
        </row>
        <row r="762">
          <cell r="E762">
            <v>1052378001</v>
          </cell>
          <cell r="F762" t="str">
            <v>CALLE 26 NO 16A-32 DUITAMA</v>
          </cell>
          <cell r="G762">
            <v>3142167363</v>
          </cell>
        </row>
        <row r="763">
          <cell r="E763">
            <v>1053302340</v>
          </cell>
          <cell r="F763" t="str">
            <v>CARRERA 9 NO 2-96</v>
          </cell>
          <cell r="G763">
            <v>3186423646</v>
          </cell>
        </row>
        <row r="764">
          <cell r="E764">
            <v>1052411745</v>
          </cell>
          <cell r="F764" t="str">
            <v>CALLE 18 NO 20-10</v>
          </cell>
          <cell r="G764">
            <v>3115887824</v>
          </cell>
        </row>
        <row r="765">
          <cell r="E765">
            <v>830122566</v>
          </cell>
          <cell r="F765" t="str">
            <v>CRA 18 NO 16-05</v>
          </cell>
          <cell r="G765">
            <v>5886031</v>
          </cell>
        </row>
        <row r="766">
          <cell r="E766">
            <v>900336004</v>
          </cell>
          <cell r="F766" t="str">
            <v>CRA 10 NO 72-33</v>
          </cell>
          <cell r="G766">
            <v>2170100</v>
          </cell>
        </row>
        <row r="767">
          <cell r="E767">
            <v>33378440</v>
          </cell>
          <cell r="F767" t="str">
            <v>BARRIO EL TUNAL TUNJA</v>
          </cell>
          <cell r="G767">
            <v>3143861961</v>
          </cell>
        </row>
        <row r="768">
          <cell r="E768">
            <v>900193016</v>
          </cell>
          <cell r="F768" t="str">
            <v>KM 10 VIA DUITAMA BELENCITO</v>
          </cell>
          <cell r="G768">
            <v>3112894098</v>
          </cell>
        </row>
        <row r="769">
          <cell r="E769">
            <v>900078103</v>
          </cell>
          <cell r="F769" t="str">
            <v>CALLE 121 NO 7-30 BOGOTA</v>
          </cell>
          <cell r="G769">
            <v>2131786</v>
          </cell>
        </row>
        <row r="770">
          <cell r="E770">
            <v>53117572</v>
          </cell>
          <cell r="F770" t="str">
            <v>C COMERCIAL IWOKA LOCAL 113A</v>
          </cell>
          <cell r="G770">
            <v>3143908957</v>
          </cell>
        </row>
        <row r="771">
          <cell r="E771">
            <v>900342297</v>
          </cell>
          <cell r="F771" t="str">
            <v>CC VIVA TUNJA LC 122</v>
          </cell>
          <cell r="G771">
            <v>7438800</v>
          </cell>
        </row>
        <row r="772">
          <cell r="E772">
            <v>74439231</v>
          </cell>
          <cell r="F772" t="str">
            <v>CARRERA 12 NO 10-03</v>
          </cell>
          <cell r="G772">
            <v>7264497</v>
          </cell>
        </row>
        <row r="773">
          <cell r="E773">
            <v>1014192040</v>
          </cell>
          <cell r="F773" t="str">
            <v>CARRERA 11 NO 7-17</v>
          </cell>
          <cell r="G773">
            <v>3105855215</v>
          </cell>
        </row>
        <row r="774">
          <cell r="E774">
            <v>901358726</v>
          </cell>
          <cell r="F774" t="str">
            <v>CALLE 9 NO 35-59</v>
          </cell>
          <cell r="G774">
            <v>3232285942</v>
          </cell>
        </row>
        <row r="775">
          <cell r="E775">
            <v>4193872</v>
          </cell>
          <cell r="F775" t="str">
            <v>CARRERA 11 NO 12 62</v>
          </cell>
          <cell r="G775">
            <v>3125114322</v>
          </cell>
        </row>
        <row r="776">
          <cell r="E776">
            <v>891180008</v>
          </cell>
          <cell r="F776" t="str">
            <v>CC PLAZA REAL L 135</v>
          </cell>
          <cell r="G776">
            <v>7404574</v>
          </cell>
        </row>
        <row r="777">
          <cell r="E777">
            <v>890303093</v>
          </cell>
          <cell r="G777">
            <v>0</v>
          </cell>
        </row>
        <row r="778">
          <cell r="E778">
            <v>74358778</v>
          </cell>
          <cell r="F778" t="str">
            <v>CARRERA 19 NO 25-34</v>
          </cell>
          <cell r="G778">
            <v>3103345293</v>
          </cell>
        </row>
        <row r="779">
          <cell r="E779">
            <v>901314598</v>
          </cell>
          <cell r="F779" t="str">
            <v>CALLE 13 NO 9-117</v>
          </cell>
          <cell r="G779">
            <v>3133923080</v>
          </cell>
        </row>
        <row r="780">
          <cell r="E780">
            <v>901838878</v>
          </cell>
          <cell r="F780" t="str">
            <v>CALLE 12 NO 12-68</v>
          </cell>
          <cell r="G780">
            <v>3115141216</v>
          </cell>
        </row>
        <row r="781">
          <cell r="E781">
            <v>804002105</v>
          </cell>
          <cell r="F781" t="str">
            <v>CALLE 18 NO 9-49</v>
          </cell>
          <cell r="G781">
            <v>7403052</v>
          </cell>
        </row>
        <row r="782">
          <cell r="E782">
            <v>860066942</v>
          </cell>
          <cell r="F782" t="str">
            <v>AV 68 NO 49A-47</v>
          </cell>
          <cell r="G782">
            <v>7428066</v>
          </cell>
        </row>
        <row r="783">
          <cell r="E783">
            <v>830052998</v>
          </cell>
          <cell r="F783" t="str">
            <v>PEAJE</v>
          </cell>
          <cell r="G783">
            <v>0</v>
          </cell>
        </row>
        <row r="784">
          <cell r="E784">
            <v>800174156</v>
          </cell>
          <cell r="F784" t="str">
            <v>CALLE 15 NO 16-25</v>
          </cell>
          <cell r="G784">
            <v>0</v>
          </cell>
        </row>
        <row r="785">
          <cell r="E785">
            <v>1054121220</v>
          </cell>
          <cell r="F785" t="str">
            <v>CENTRO DE SALUD TOPAGA</v>
          </cell>
          <cell r="G785">
            <v>0</v>
          </cell>
        </row>
        <row r="786">
          <cell r="E786">
            <v>814000608</v>
          </cell>
          <cell r="G786">
            <v>0</v>
          </cell>
        </row>
        <row r="787">
          <cell r="E787">
            <v>830126782</v>
          </cell>
          <cell r="F787" t="str">
            <v>CALLE 25 NO 22-18</v>
          </cell>
          <cell r="G787">
            <v>6017463632</v>
          </cell>
        </row>
        <row r="788">
          <cell r="E788">
            <v>19267512</v>
          </cell>
          <cell r="F788" t="str">
            <v>CALLE 21 NO 20 19</v>
          </cell>
          <cell r="G788">
            <v>3158162135</v>
          </cell>
        </row>
        <row r="789">
          <cell r="E789">
            <v>900150069</v>
          </cell>
          <cell r="F789" t="str">
            <v>CARRERA 24D NO 17-74</v>
          </cell>
          <cell r="G789">
            <v>3204197497</v>
          </cell>
        </row>
        <row r="790">
          <cell r="E790">
            <v>1054253621</v>
          </cell>
          <cell r="F790" t="str">
            <v>CENTRO</v>
          </cell>
          <cell r="G790">
            <v>3202971811</v>
          </cell>
        </row>
        <row r="791">
          <cell r="E791">
            <v>901363173</v>
          </cell>
          <cell r="F791" t="str">
            <v>CALLE 3 NO 4-68</v>
          </cell>
          <cell r="G791">
            <v>3123226880</v>
          </cell>
        </row>
        <row r="792">
          <cell r="E792">
            <v>33366115</v>
          </cell>
          <cell r="F792" t="str">
            <v>CALLE 26 NO 22-25 OF 203</v>
          </cell>
          <cell r="G792">
            <v>7853443</v>
          </cell>
        </row>
        <row r="793">
          <cell r="E793">
            <v>1053442717</v>
          </cell>
          <cell r="F793" t="str">
            <v>CENTRTO PAZ DE RIO</v>
          </cell>
          <cell r="G793">
            <v>3142879601</v>
          </cell>
        </row>
        <row r="794">
          <cell r="E794">
            <v>1057548248</v>
          </cell>
          <cell r="F794" t="str">
            <v>CALLE 6 NO 66-65 TUJA</v>
          </cell>
          <cell r="G794">
            <v>3112010722</v>
          </cell>
        </row>
        <row r="795">
          <cell r="E795">
            <v>23914444</v>
          </cell>
          <cell r="F795" t="str">
            <v>CARRERA 4 NO 7-45</v>
          </cell>
          <cell r="G795">
            <v>3214824846</v>
          </cell>
        </row>
        <row r="796">
          <cell r="E796">
            <v>35424385</v>
          </cell>
          <cell r="F796" t="str">
            <v>CALLE 5 NO 6-88</v>
          </cell>
          <cell r="G796">
            <v>3208447432</v>
          </cell>
        </row>
        <row r="797">
          <cell r="E797">
            <v>899999107</v>
          </cell>
          <cell r="G797">
            <v>0</v>
          </cell>
        </row>
        <row r="798">
          <cell r="E798">
            <v>805000427</v>
          </cell>
          <cell r="F798" t="str">
            <v>CRA 14 NO 14-38</v>
          </cell>
          <cell r="G798">
            <v>7711817</v>
          </cell>
        </row>
        <row r="799">
          <cell r="E799">
            <v>891100673</v>
          </cell>
          <cell r="F799" t="str">
            <v>popayan</v>
          </cell>
          <cell r="G799">
            <v>0</v>
          </cell>
        </row>
        <row r="800">
          <cell r="E800">
            <v>860516881</v>
          </cell>
          <cell r="F800" t="str">
            <v>CRA 15 NO 97-60</v>
          </cell>
          <cell r="G800">
            <v>6460000</v>
          </cell>
        </row>
        <row r="801">
          <cell r="E801">
            <v>900226715</v>
          </cell>
          <cell r="F801" t="str">
            <v>CALLE 11 NO 7-37</v>
          </cell>
          <cell r="G801">
            <v>6567304</v>
          </cell>
        </row>
        <row r="802">
          <cell r="E802">
            <v>891855257</v>
          </cell>
          <cell r="F802" t="str">
            <v>AV SAN MARTIN NO 11A-27</v>
          </cell>
          <cell r="G802">
            <v>7703256</v>
          </cell>
        </row>
        <row r="803">
          <cell r="E803">
            <v>891855325</v>
          </cell>
          <cell r="F803" t="str">
            <v>Carrera 12N 46-86</v>
          </cell>
          <cell r="G803">
            <v>7703303</v>
          </cell>
        </row>
        <row r="804">
          <cell r="E804">
            <v>901335327</v>
          </cell>
          <cell r="F804" t="str">
            <v>TERMINAL DE TRANPORTE</v>
          </cell>
          <cell r="G804">
            <v>0</v>
          </cell>
        </row>
        <row r="805">
          <cell r="E805">
            <v>800213630</v>
          </cell>
          <cell r="F805" t="str">
            <v>TERMINAL DE TRANSPORTES DUITAMA</v>
          </cell>
          <cell r="G805">
            <v>3204328632</v>
          </cell>
        </row>
        <row r="806">
          <cell r="E806">
            <v>830011670</v>
          </cell>
          <cell r="F806" t="str">
            <v>CENTRO</v>
          </cell>
          <cell r="G806">
            <v>0</v>
          </cell>
        </row>
        <row r="807">
          <cell r="E807">
            <v>46669031</v>
          </cell>
          <cell r="F807" t="str">
            <v>CALLE 12 NO 10-68 SOGAMOSO</v>
          </cell>
          <cell r="G807">
            <v>3022605168</v>
          </cell>
        </row>
        <row r="808">
          <cell r="E808">
            <v>1052314073</v>
          </cell>
          <cell r="F808" t="str">
            <v>CALLE 8 NO 2-07 BELEN</v>
          </cell>
          <cell r="G808">
            <v>3214475228</v>
          </cell>
        </row>
        <row r="809">
          <cell r="E809">
            <v>1065636563</v>
          </cell>
          <cell r="F809" t="str">
            <v>CENTRO SAN LUIS DE GACENO</v>
          </cell>
          <cell r="G809">
            <v>3003615991</v>
          </cell>
        </row>
        <row r="810">
          <cell r="E810">
            <v>74322325</v>
          </cell>
          <cell r="F810" t="str">
            <v>CARRERA 19 NO 25-41</v>
          </cell>
          <cell r="G810">
            <v>3142529499</v>
          </cell>
        </row>
        <row r="811">
          <cell r="E811">
            <v>1048710530</v>
          </cell>
          <cell r="F811" t="str">
            <v>CENTRO SANTA MARIA</v>
          </cell>
          <cell r="G811">
            <v>3212417433</v>
          </cell>
        </row>
        <row r="812">
          <cell r="E812">
            <v>1053587714</v>
          </cell>
          <cell r="F812" t="str">
            <v>CALLE 24 SUR NO 10-48</v>
          </cell>
          <cell r="G812">
            <v>3138165780</v>
          </cell>
        </row>
        <row r="813">
          <cell r="E813">
            <v>46681990</v>
          </cell>
          <cell r="F813" t="str">
            <v>CALLE 24 NO 11 50</v>
          </cell>
          <cell r="G813">
            <v>3204652542</v>
          </cell>
        </row>
        <row r="814">
          <cell r="E814">
            <v>1090421174</v>
          </cell>
          <cell r="F814" t="str">
            <v>AVENIDA 6 NO. 7-71</v>
          </cell>
          <cell r="G814">
            <v>3142258226</v>
          </cell>
        </row>
        <row r="815">
          <cell r="E815">
            <v>23966035</v>
          </cell>
          <cell r="F815" t="str">
            <v>CRA 5 NO 5 19</v>
          </cell>
          <cell r="G815">
            <v>3107827529</v>
          </cell>
        </row>
        <row r="816">
          <cell r="E816">
            <v>1052414599</v>
          </cell>
          <cell r="F816" t="str">
            <v>CALLE 3 NO 10-135</v>
          </cell>
          <cell r="G816">
            <v>3112634207</v>
          </cell>
        </row>
        <row r="817">
          <cell r="E817">
            <v>1053611115</v>
          </cell>
          <cell r="F817" t="str">
            <v>CALLE 23 NO 3 33</v>
          </cell>
          <cell r="G817">
            <v>3144462202</v>
          </cell>
        </row>
        <row r="818">
          <cell r="E818">
            <v>1056410581</v>
          </cell>
          <cell r="F818" t="str">
            <v>CARRERA 3 NO 2-46</v>
          </cell>
          <cell r="G818">
            <v>3114497379</v>
          </cell>
        </row>
        <row r="819">
          <cell r="E819">
            <v>1018452559</v>
          </cell>
          <cell r="F819" t="str">
            <v>CARRERA 7 NO 4-123</v>
          </cell>
          <cell r="G819">
            <v>7305054</v>
          </cell>
        </row>
        <row r="820">
          <cell r="E820">
            <v>74373503</v>
          </cell>
          <cell r="F820" t="str">
            <v>SOGA</v>
          </cell>
          <cell r="G820">
            <v>3112302085</v>
          </cell>
        </row>
        <row r="821">
          <cell r="E821">
            <v>60265579</v>
          </cell>
          <cell r="F821" t="str">
            <v>CARRERA 20 NO 22-41</v>
          </cell>
          <cell r="G821">
            <v>3134882989</v>
          </cell>
        </row>
        <row r="822">
          <cell r="E822">
            <v>79857528</v>
          </cell>
          <cell r="F822" t="str">
            <v>CENTRO TOPAGA</v>
          </cell>
          <cell r="G822">
            <v>0</v>
          </cell>
        </row>
        <row r="823">
          <cell r="E823">
            <v>1098729946</v>
          </cell>
          <cell r="F823" t="str">
            <v>ESE SALUD AQUITANIA</v>
          </cell>
          <cell r="G823">
            <v>7794681</v>
          </cell>
        </row>
        <row r="824">
          <cell r="E824">
            <v>23855934</v>
          </cell>
          <cell r="F824" t="str">
            <v>CALLE 24 NO 22-63</v>
          </cell>
          <cell r="G824">
            <v>3115602121</v>
          </cell>
        </row>
        <row r="825">
          <cell r="E825">
            <v>4258768</v>
          </cell>
          <cell r="F825" t="str">
            <v>CARRERA 10A NO. 41A-18</v>
          </cell>
          <cell r="G825">
            <v>3232420861</v>
          </cell>
        </row>
        <row r="826">
          <cell r="E826">
            <v>1002339205</v>
          </cell>
          <cell r="F826" t="str">
            <v>CENTRO BELEN BOYACA</v>
          </cell>
          <cell r="G826">
            <v>3185157055</v>
          </cell>
        </row>
        <row r="827">
          <cell r="E827">
            <v>46358096</v>
          </cell>
          <cell r="F827" t="str">
            <v>CRA 11 NO 35-08</v>
          </cell>
          <cell r="G827">
            <v>3125228349</v>
          </cell>
        </row>
        <row r="828">
          <cell r="E828">
            <v>4206648</v>
          </cell>
          <cell r="F828" t="str">
            <v>CRA 10A NO 10-58</v>
          </cell>
          <cell r="G828">
            <v>3115209960</v>
          </cell>
        </row>
        <row r="829">
          <cell r="E829">
            <v>23263070</v>
          </cell>
          <cell r="F829" t="str">
            <v>SECTOR LOS LAGOS PAIPA</v>
          </cell>
          <cell r="G829">
            <v>3208038960</v>
          </cell>
        </row>
        <row r="830">
          <cell r="E830">
            <v>1052404571</v>
          </cell>
          <cell r="F830" t="str">
            <v>CARRERA 11 NO 24-25</v>
          </cell>
          <cell r="G830">
            <v>3002998883</v>
          </cell>
        </row>
        <row r="831">
          <cell r="E831">
            <v>74380472</v>
          </cell>
          <cell r="F831" t="str">
            <v>CALLE 23 NO 23-51</v>
          </cell>
          <cell r="G831">
            <v>3167585937</v>
          </cell>
        </row>
        <row r="832">
          <cell r="E832">
            <v>46372016</v>
          </cell>
          <cell r="F832" t="str">
            <v>AV EL SOL NO 10-39</v>
          </cell>
          <cell r="G832">
            <v>3212163159</v>
          </cell>
        </row>
        <row r="833">
          <cell r="E833">
            <v>1118565219</v>
          </cell>
          <cell r="F833" t="str">
            <v>CARRERA 11 NO 24-15 SOGAMOSO</v>
          </cell>
          <cell r="G833">
            <v>3213228891</v>
          </cell>
        </row>
        <row r="834">
          <cell r="E834">
            <v>24183318</v>
          </cell>
          <cell r="F834" t="str">
            <v>CARRERA 3 NO 2-45</v>
          </cell>
          <cell r="G834">
            <v>3208184039</v>
          </cell>
        </row>
        <row r="835">
          <cell r="E835">
            <v>1052396484</v>
          </cell>
          <cell r="F835" t="str">
            <v>CALLE 10 NO 10-06</v>
          </cell>
          <cell r="G835">
            <v>3214119793</v>
          </cell>
        </row>
        <row r="836">
          <cell r="E836">
            <v>74085345</v>
          </cell>
          <cell r="F836" t="str">
            <v>CRA 10 NO 40-41</v>
          </cell>
          <cell r="G836">
            <v>3133349305</v>
          </cell>
        </row>
        <row r="837">
          <cell r="E837">
            <v>46380782</v>
          </cell>
          <cell r="F837" t="str">
            <v>CARRERA 10D NO 43-34</v>
          </cell>
          <cell r="G837">
            <v>3204403423</v>
          </cell>
        </row>
        <row r="838">
          <cell r="E838">
            <v>1049623180</v>
          </cell>
          <cell r="F838" t="str">
            <v>TUNJA</v>
          </cell>
          <cell r="G838">
            <v>3112177545</v>
          </cell>
        </row>
        <row r="839">
          <cell r="E839">
            <v>6755828</v>
          </cell>
          <cell r="F839" t="str">
            <v>CARRERA 11 NO 17-22</v>
          </cell>
          <cell r="G839">
            <v>87426283</v>
          </cell>
        </row>
        <row r="840">
          <cell r="E840">
            <v>41926601</v>
          </cell>
          <cell r="F840" t="str">
            <v>TORRE G APTO. 204 MIRADOR DEL BOSQUE</v>
          </cell>
          <cell r="G840">
            <v>3123583416</v>
          </cell>
        </row>
        <row r="841">
          <cell r="E841">
            <v>33366356</v>
          </cell>
          <cell r="F841" t="str">
            <v>CRA 14 NO 20-48</v>
          </cell>
          <cell r="G841">
            <v>3107665270</v>
          </cell>
        </row>
        <row r="842">
          <cell r="E842">
            <v>40038229</v>
          </cell>
          <cell r="F842" t="str">
            <v>CENTRO PIOSBA</v>
          </cell>
          <cell r="G842">
            <v>0</v>
          </cell>
        </row>
        <row r="843">
          <cell r="E843">
            <v>1073532873</v>
          </cell>
          <cell r="F843" t="str">
            <v>CALLE 2A NO 3B-08</v>
          </cell>
          <cell r="G843">
            <v>3107918329</v>
          </cell>
        </row>
        <row r="844">
          <cell r="E844">
            <v>1053610569</v>
          </cell>
          <cell r="F844" t="str">
            <v>CALLE 8 NO 7-60</v>
          </cell>
          <cell r="G844">
            <v>7794681</v>
          </cell>
        </row>
        <row r="845">
          <cell r="E845">
            <v>1057215527</v>
          </cell>
          <cell r="F845" t="str">
            <v>CARRERA 6 NO 6A 11</v>
          </cell>
          <cell r="G845">
            <v>3204465853</v>
          </cell>
        </row>
        <row r="846">
          <cell r="E846">
            <v>7320888</v>
          </cell>
          <cell r="F846" t="str">
            <v>CENTRO LABRANZAGRANDE</v>
          </cell>
          <cell r="G846">
            <v>3213332361</v>
          </cell>
        </row>
        <row r="847">
          <cell r="E847">
            <v>1023961849</v>
          </cell>
          <cell r="F847" t="str">
            <v>KILOMETRO 1 VIA RAMIRIQUI TUNJA</v>
          </cell>
          <cell r="G847">
            <v>3013917146</v>
          </cell>
        </row>
        <row r="848">
          <cell r="E848">
            <v>900074306</v>
          </cell>
          <cell r="F848" t="str">
            <v>EDIFICIO MUNICIPAL PAIPA</v>
          </cell>
          <cell r="G848">
            <v>3203479426</v>
          </cell>
        </row>
        <row r="849">
          <cell r="E849">
            <v>891800031</v>
          </cell>
          <cell r="F849" t="str">
            <v>COSERVICIOS SOGAMOSO</v>
          </cell>
          <cell r="G849">
            <v>3104124710</v>
          </cell>
        </row>
        <row r="850">
          <cell r="E850">
            <v>70143100</v>
          </cell>
          <cell r="F850" t="str">
            <v>CALLE 5 NO 5 73</v>
          </cell>
          <cell r="G850">
            <v>3014266479</v>
          </cell>
        </row>
        <row r="851">
          <cell r="E851">
            <v>33630652</v>
          </cell>
          <cell r="F851" t="str">
            <v>CENTRO</v>
          </cell>
          <cell r="G851">
            <v>3232064202</v>
          </cell>
        </row>
        <row r="852">
          <cell r="E852">
            <v>1057574273</v>
          </cell>
          <cell r="F852" t="str">
            <v>CARRERA 27 NO 11A-19</v>
          </cell>
          <cell r="G852">
            <v>3123263427</v>
          </cell>
        </row>
        <row r="853">
          <cell r="E853">
            <v>74323777</v>
          </cell>
          <cell r="F853" t="str">
            <v>MZ N CASA 13 URB LA ESTACION</v>
          </cell>
          <cell r="G853">
            <v>3227155201</v>
          </cell>
        </row>
        <row r="854">
          <cell r="E854">
            <v>96192347</v>
          </cell>
          <cell r="F854" t="str">
            <v>CRA 17 NO 18 56</v>
          </cell>
          <cell r="G854">
            <v>3112227124</v>
          </cell>
        </row>
        <row r="855">
          <cell r="E855">
            <v>23551967</v>
          </cell>
          <cell r="F855" t="str">
            <v>CRA 18 NO 14-39</v>
          </cell>
          <cell r="G855">
            <v>7611348</v>
          </cell>
        </row>
        <row r="856">
          <cell r="E856">
            <v>9529950</v>
          </cell>
          <cell r="F856" t="str">
            <v>CRA 6 NO 8 35</v>
          </cell>
          <cell r="G856">
            <v>3113306227</v>
          </cell>
        </row>
        <row r="857">
          <cell r="E857">
            <v>23596984</v>
          </cell>
          <cell r="F857" t="str">
            <v>CALLE 4 NO 3-25</v>
          </cell>
          <cell r="G857">
            <v>3107913575</v>
          </cell>
        </row>
        <row r="858">
          <cell r="E858">
            <v>1052409637</v>
          </cell>
          <cell r="F858" t="str">
            <v>CENTRO DE SALUD PAYA</v>
          </cell>
          <cell r="G858">
            <v>3212507339</v>
          </cell>
        </row>
        <row r="859">
          <cell r="E859">
            <v>23964926</v>
          </cell>
          <cell r="F859" t="str">
            <v>CALLE 5 NO 5-123</v>
          </cell>
          <cell r="G859">
            <v>3212511895</v>
          </cell>
        </row>
        <row r="860">
          <cell r="E860">
            <v>1053587283</v>
          </cell>
          <cell r="F860" t="str">
            <v>ESE DE TASCO</v>
          </cell>
          <cell r="G860">
            <v>3157794220</v>
          </cell>
        </row>
        <row r="861">
          <cell r="E861">
            <v>1004640</v>
          </cell>
          <cell r="F861" t="str">
            <v>VEREDA SOIQUIA BETEITIVA</v>
          </cell>
          <cell r="G861">
            <v>3134502051</v>
          </cell>
        </row>
        <row r="862">
          <cell r="E862">
            <v>1052388901</v>
          </cell>
          <cell r="F862" t="str">
            <v>AV CIRCUNVALAR NO 18-221 LOCAL 14</v>
          </cell>
          <cell r="G862">
            <v>3203726336</v>
          </cell>
        </row>
        <row r="863">
          <cell r="E863">
            <v>1049643930</v>
          </cell>
          <cell r="F863" t="str">
            <v>CALLE 11 BIS NO 19-65</v>
          </cell>
          <cell r="G863">
            <v>3208459294</v>
          </cell>
        </row>
        <row r="864">
          <cell r="E864">
            <v>1054253551</v>
          </cell>
          <cell r="F864" t="str">
            <v>VEREDA NAUSA SOCOTA</v>
          </cell>
          <cell r="G864">
            <v>3008440390</v>
          </cell>
        </row>
        <row r="865">
          <cell r="E865">
            <v>24091495</v>
          </cell>
          <cell r="F865" t="str">
            <v>VEREDA GUARCA</v>
          </cell>
          <cell r="G865">
            <v>3133015609</v>
          </cell>
        </row>
        <row r="866">
          <cell r="E866">
            <v>1054253390</v>
          </cell>
          <cell r="F866" t="str">
            <v>VEREDA FRAYLUIS</v>
          </cell>
          <cell r="G866">
            <v>3204641396</v>
          </cell>
        </row>
        <row r="867">
          <cell r="E867">
            <v>24091439</v>
          </cell>
          <cell r="F867" t="str">
            <v>CRA 2 NO 2-28</v>
          </cell>
          <cell r="G867">
            <v>3143983288</v>
          </cell>
        </row>
        <row r="868">
          <cell r="E868">
            <v>23914343</v>
          </cell>
          <cell r="F868" t="str">
            <v>VEREDA EL PEDREGAL</v>
          </cell>
          <cell r="G868">
            <v>3125966166</v>
          </cell>
        </row>
        <row r="869">
          <cell r="E869">
            <v>1053664461</v>
          </cell>
          <cell r="F869" t="str">
            <v>CALLE DEL COMERCIO TASCO</v>
          </cell>
          <cell r="G869">
            <v>3112905302</v>
          </cell>
        </row>
        <row r="870">
          <cell r="E870">
            <v>23359787</v>
          </cell>
          <cell r="F870" t="str">
            <v>CARRERA 162 NO 36-15</v>
          </cell>
          <cell r="G870">
            <v>3173922866</v>
          </cell>
        </row>
        <row r="871">
          <cell r="E871">
            <v>1049625264</v>
          </cell>
          <cell r="F871" t="str">
            <v>TR 17A NO 21-24</v>
          </cell>
          <cell r="G871">
            <v>3208080919</v>
          </cell>
        </row>
        <row r="872">
          <cell r="E872">
            <v>830009783</v>
          </cell>
          <cell r="F872" t="str">
            <v>CRA 16 NO 84A-19</v>
          </cell>
          <cell r="G872">
            <v>6008703</v>
          </cell>
        </row>
        <row r="873">
          <cell r="E873">
            <v>46362139</v>
          </cell>
          <cell r="F873" t="str">
            <v>CRA 9 NO 19-39</v>
          </cell>
          <cell r="G873">
            <v>3125343393</v>
          </cell>
        </row>
        <row r="874">
          <cell r="E874">
            <v>1057463710</v>
          </cell>
          <cell r="F874" t="str">
            <v>BARRIO PRIMAVERA RAMIRIQUI</v>
          </cell>
          <cell r="G874">
            <v>3115705269</v>
          </cell>
        </row>
        <row r="875">
          <cell r="E875">
            <v>72325680</v>
          </cell>
          <cell r="F875" t="str">
            <v>CALLE 9 NO 7-19</v>
          </cell>
          <cell r="G875">
            <v>7327546</v>
          </cell>
        </row>
        <row r="876">
          <cell r="E876">
            <v>52449782</v>
          </cell>
          <cell r="F876" t="str">
            <v>CRA 3 NO 3 03 SOCOTA</v>
          </cell>
          <cell r="G876">
            <v>3107975848</v>
          </cell>
        </row>
        <row r="877">
          <cell r="E877">
            <v>24050480</v>
          </cell>
          <cell r="F877" t="str">
            <v>CARRERA 3 NO 3 03</v>
          </cell>
          <cell r="G877">
            <v>3114510947</v>
          </cell>
        </row>
        <row r="878">
          <cell r="E878">
            <v>41751395</v>
          </cell>
          <cell r="F878" t="str">
            <v>CARRERA 10 NO 10-16 AQUITANIA</v>
          </cell>
          <cell r="G878">
            <v>3105762025</v>
          </cell>
        </row>
        <row r="879">
          <cell r="E879">
            <v>72325225</v>
          </cell>
          <cell r="F879" t="str">
            <v>CARRERA 7 NO 7-21</v>
          </cell>
          <cell r="G879">
            <v>7327546</v>
          </cell>
        </row>
        <row r="880">
          <cell r="E880">
            <v>1057466213</v>
          </cell>
          <cell r="F880" t="str">
            <v>CALLE 10 NO 8A-27</v>
          </cell>
          <cell r="G880">
            <v>3138052109</v>
          </cell>
        </row>
        <row r="881">
          <cell r="E881">
            <v>891801940</v>
          </cell>
          <cell r="F881" t="str">
            <v>CALLE 17 NO 9-56</v>
          </cell>
          <cell r="G881">
            <v>7423198</v>
          </cell>
        </row>
        <row r="882">
          <cell r="E882">
            <v>4146791</v>
          </cell>
          <cell r="F882" t="str">
            <v>CENTRO</v>
          </cell>
          <cell r="G882">
            <v>3108842073</v>
          </cell>
        </row>
        <row r="883">
          <cell r="E883">
            <v>1002722759</v>
          </cell>
          <cell r="F883" t="str">
            <v>CRA 9 NO 10-38</v>
          </cell>
          <cell r="G883">
            <v>3212583227</v>
          </cell>
        </row>
        <row r="884">
          <cell r="E884">
            <v>222222222</v>
          </cell>
          <cell r="F884" t="str">
            <v>CLL 26 22 25</v>
          </cell>
          <cell r="G884">
            <v>0</v>
          </cell>
        </row>
        <row r="885">
          <cell r="E885">
            <v>52197409</v>
          </cell>
          <cell r="F885" t="str">
            <v>CALLE 1 H 37B 38</v>
          </cell>
          <cell r="G885">
            <v>7037440</v>
          </cell>
        </row>
        <row r="886">
          <cell r="E886">
            <v>1098735917</v>
          </cell>
          <cell r="F886" t="str">
            <v>CENTRO SAN PABLO D EBORBUR</v>
          </cell>
          <cell r="G886">
            <v>3123821892</v>
          </cell>
        </row>
        <row r="887">
          <cell r="E887">
            <v>79108594</v>
          </cell>
          <cell r="F887" t="str">
            <v>CARRERA 14 NO 15-80 APTO 302</v>
          </cell>
          <cell r="G887">
            <v>3107583822</v>
          </cell>
        </row>
        <row r="888">
          <cell r="E888">
            <v>40021043</v>
          </cell>
          <cell r="F888" t="str">
            <v>VRDA. LA CAPILLA</v>
          </cell>
          <cell r="G888">
            <v>3142590068</v>
          </cell>
        </row>
        <row r="889">
          <cell r="E889">
            <v>1020797000</v>
          </cell>
          <cell r="F889" t="str">
            <v>VEREDA CENTRO ARRIBA</v>
          </cell>
          <cell r="G889">
            <v>3205771632</v>
          </cell>
        </row>
        <row r="890">
          <cell r="E890">
            <v>23423780</v>
          </cell>
          <cell r="F890" t="str">
            <v>CARRERA 5 NO 2-11</v>
          </cell>
          <cell r="G890">
            <v>3124390609</v>
          </cell>
        </row>
        <row r="891">
          <cell r="E891">
            <v>1054091677</v>
          </cell>
          <cell r="F891" t="str">
            <v>CALLE 7 NO 13A-08</v>
          </cell>
          <cell r="G891">
            <v>3202941051</v>
          </cell>
        </row>
        <row r="892">
          <cell r="E892">
            <v>14258012</v>
          </cell>
          <cell r="F892" t="str">
            <v>CRA 11A NO 10-95</v>
          </cell>
          <cell r="G892">
            <v>3102170384</v>
          </cell>
        </row>
        <row r="893">
          <cell r="E893">
            <v>1056957658</v>
          </cell>
          <cell r="F893" t="str">
            <v>CALLE 11 NO 5-55</v>
          </cell>
          <cell r="G893">
            <v>3222292168</v>
          </cell>
        </row>
        <row r="894">
          <cell r="E894">
            <v>1057185471</v>
          </cell>
          <cell r="F894" t="str">
            <v>CALLE 4 NO 9-51</v>
          </cell>
          <cell r="G894">
            <v>3144122884</v>
          </cell>
        </row>
        <row r="895">
          <cell r="E895">
            <v>800191700</v>
          </cell>
          <cell r="F895" t="str">
            <v>CALLE 29 NO 52-115</v>
          </cell>
          <cell r="G895">
            <v>7734957</v>
          </cell>
        </row>
        <row r="896">
          <cell r="E896">
            <v>891855092</v>
          </cell>
          <cell r="F896" t="str">
            <v>CARRERA 14 NO 8-21</v>
          </cell>
          <cell r="G896">
            <v>7717373</v>
          </cell>
        </row>
        <row r="897">
          <cell r="E897">
            <v>23966622</v>
          </cell>
          <cell r="F897" t="str">
            <v>BARRIO PRIMAVERA II</v>
          </cell>
          <cell r="G897">
            <v>3208204973</v>
          </cell>
        </row>
        <row r="898">
          <cell r="E898">
            <v>23966178</v>
          </cell>
          <cell r="F898" t="str">
            <v>MZ12 CASA 8 PII</v>
          </cell>
          <cell r="G898">
            <v>3138209603</v>
          </cell>
        </row>
        <row r="899">
          <cell r="E899">
            <v>9535885</v>
          </cell>
          <cell r="F899" t="str">
            <v>VEREDA JURPA</v>
          </cell>
          <cell r="G899">
            <v>3208229318</v>
          </cell>
        </row>
        <row r="900">
          <cell r="E900">
            <v>1050693079</v>
          </cell>
          <cell r="F900" t="str">
            <v>CALLE 4 NO 8-60</v>
          </cell>
          <cell r="G900">
            <v>3202071072</v>
          </cell>
        </row>
        <row r="901">
          <cell r="E901">
            <v>1049628529</v>
          </cell>
          <cell r="F901" t="str">
            <v>CARRERA 4 NO 4-86</v>
          </cell>
          <cell r="G901">
            <v>3214243554</v>
          </cell>
        </row>
        <row r="902">
          <cell r="E902">
            <v>1075876243</v>
          </cell>
          <cell r="F902" t="str">
            <v>CENTRO JERICO</v>
          </cell>
          <cell r="G902">
            <v>3222240956</v>
          </cell>
        </row>
        <row r="903">
          <cell r="E903">
            <v>1002367334</v>
          </cell>
          <cell r="F903" t="str">
            <v>CALLE 6 NO 4-57 PAYA</v>
          </cell>
          <cell r="G903">
            <v>0</v>
          </cell>
        </row>
        <row r="904">
          <cell r="E904">
            <v>23827030</v>
          </cell>
          <cell r="F904" t="str">
            <v>BARRIO EL LIBERTADOR</v>
          </cell>
          <cell r="G904">
            <v>3118047877</v>
          </cell>
        </row>
        <row r="905">
          <cell r="E905">
            <v>1054253462</v>
          </cell>
          <cell r="F905" t="str">
            <v>VEREDA SAN JOSE DE PARPA SOCOTA</v>
          </cell>
          <cell r="G905">
            <v>3232107793</v>
          </cell>
        </row>
        <row r="906">
          <cell r="E906">
            <v>1054064737</v>
          </cell>
          <cell r="F906" t="str">
            <v>CENTRO JERICO</v>
          </cell>
          <cell r="G906">
            <v>3224671109</v>
          </cell>
        </row>
        <row r="907">
          <cell r="E907">
            <v>4207637</v>
          </cell>
          <cell r="F907" t="str">
            <v>CARRERA 5 NO 5-24</v>
          </cell>
          <cell r="G907">
            <v>3232305363</v>
          </cell>
        </row>
        <row r="908">
          <cell r="E908">
            <v>1058038685</v>
          </cell>
          <cell r="F908" t="str">
            <v>VEREDA LA ESPERANZA</v>
          </cell>
          <cell r="G908">
            <v>3186024533</v>
          </cell>
        </row>
        <row r="909">
          <cell r="E909">
            <v>46383640</v>
          </cell>
          <cell r="F909" t="str">
            <v>CARRERA 4 NO 3-23</v>
          </cell>
          <cell r="G909">
            <v>3214298021</v>
          </cell>
        </row>
        <row r="910">
          <cell r="E910">
            <v>23810967</v>
          </cell>
          <cell r="F910" t="str">
            <v>CALLE 55A NO 11E 65 SOGAMOSO</v>
          </cell>
          <cell r="G910">
            <v>3202271876</v>
          </cell>
        </row>
        <row r="911">
          <cell r="E911">
            <v>1053513406</v>
          </cell>
          <cell r="F911" t="str">
            <v>CALLE 4 NO 4A-22</v>
          </cell>
          <cell r="G911">
            <v>3113868670</v>
          </cell>
        </row>
        <row r="912">
          <cell r="E912">
            <v>74372412</v>
          </cell>
          <cell r="F912" t="str">
            <v>CALLE 15 NO 17-36</v>
          </cell>
          <cell r="G912">
            <v>3144060156</v>
          </cell>
        </row>
        <row r="913">
          <cell r="E913">
            <v>1049795548</v>
          </cell>
          <cell r="F913" t="str">
            <v>CARRERA 11 NO 14-55</v>
          </cell>
          <cell r="G913">
            <v>7790505</v>
          </cell>
        </row>
        <row r="914">
          <cell r="E914">
            <v>1057590849</v>
          </cell>
          <cell r="F914" t="str">
            <v>CENTRO AQUITANIA</v>
          </cell>
          <cell r="G914">
            <v>3125023782</v>
          </cell>
        </row>
        <row r="915">
          <cell r="E915">
            <v>900803721</v>
          </cell>
          <cell r="F915" t="str">
            <v>CARRERA 8 NO 4-36</v>
          </cell>
          <cell r="G915">
            <v>3132516217</v>
          </cell>
        </row>
        <row r="916">
          <cell r="E916">
            <v>1002339223</v>
          </cell>
          <cell r="F916" t="str">
            <v>ESE SAN PABLO DE BORBUR</v>
          </cell>
          <cell r="G916">
            <v>3208391093</v>
          </cell>
        </row>
        <row r="917">
          <cell r="E917">
            <v>1122136535</v>
          </cell>
          <cell r="F917" t="str">
            <v>CARRERA 20 NO 24-38</v>
          </cell>
          <cell r="G917">
            <v>7852435</v>
          </cell>
        </row>
        <row r="918">
          <cell r="E918">
            <v>1075870454</v>
          </cell>
          <cell r="F918" t="str">
            <v>CALLE 24 NO 22-63</v>
          </cell>
          <cell r="G918">
            <v>3232836784</v>
          </cell>
        </row>
        <row r="919">
          <cell r="E919">
            <v>1052406800</v>
          </cell>
          <cell r="F919" t="str">
            <v>CARRERA 7 NO 11-25</v>
          </cell>
          <cell r="G919">
            <v>3217099467</v>
          </cell>
        </row>
        <row r="920">
          <cell r="E920">
            <v>1118569763</v>
          </cell>
          <cell r="F920" t="str">
            <v>VEREDA HATOLAGUNA</v>
          </cell>
          <cell r="G920">
            <v>3204632751</v>
          </cell>
        </row>
        <row r="921">
          <cell r="E921">
            <v>1057611546</v>
          </cell>
          <cell r="F921" t="str">
            <v>CARRERA 11 NO 13-25</v>
          </cell>
          <cell r="G921">
            <v>3115899429</v>
          </cell>
        </row>
        <row r="922">
          <cell r="E922">
            <v>51576547</v>
          </cell>
          <cell r="F922" t="str">
            <v>BARRIO PRIMAVERA II</v>
          </cell>
          <cell r="G922">
            <v>3212001813</v>
          </cell>
        </row>
        <row r="923">
          <cell r="E923">
            <v>24213497</v>
          </cell>
          <cell r="F923" t="str">
            <v>VEREDA CHUSCAL</v>
          </cell>
          <cell r="G923">
            <v>3138105252</v>
          </cell>
        </row>
        <row r="924">
          <cell r="E924">
            <v>1056504300</v>
          </cell>
          <cell r="F924" t="str">
            <v>ESE SAN PABLO D EBORBUR</v>
          </cell>
          <cell r="G924">
            <v>3213930546</v>
          </cell>
        </row>
        <row r="925">
          <cell r="E925">
            <v>35418066</v>
          </cell>
          <cell r="F925" t="str">
            <v>CALLE 5 NO 5-55</v>
          </cell>
          <cell r="G925">
            <v>3133683925</v>
          </cell>
        </row>
        <row r="926">
          <cell r="E926">
            <v>1057600723</v>
          </cell>
          <cell r="F926" t="str">
            <v>CALLE 1 NO 8-64</v>
          </cell>
          <cell r="G926">
            <v>3202775044</v>
          </cell>
        </row>
        <row r="927">
          <cell r="E927">
            <v>52273420</v>
          </cell>
          <cell r="F927" t="str">
            <v>ESE DE SACHICA</v>
          </cell>
          <cell r="G927">
            <v>0</v>
          </cell>
        </row>
        <row r="928">
          <cell r="E928">
            <v>1057919399</v>
          </cell>
          <cell r="F928" t="str">
            <v>CARRERA 4 NO 1-51</v>
          </cell>
          <cell r="G928">
            <v>3174651527</v>
          </cell>
        </row>
        <row r="929">
          <cell r="E929">
            <v>23543137</v>
          </cell>
          <cell r="G929">
            <v>0</v>
          </cell>
        </row>
        <row r="930">
          <cell r="E930">
            <v>800005423</v>
          </cell>
          <cell r="F930" t="str">
            <v>CARRERA 11 NO 13-81</v>
          </cell>
          <cell r="G930">
            <v>7750400</v>
          </cell>
        </row>
        <row r="931">
          <cell r="E931">
            <v>46453789</v>
          </cell>
          <cell r="F931" t="str">
            <v>CARRERA 18 NO 15-36</v>
          </cell>
          <cell r="G931">
            <v>0</v>
          </cell>
        </row>
        <row r="932">
          <cell r="E932">
            <v>1051474435</v>
          </cell>
          <cell r="F932" t="str">
            <v>CALLE 8 NO 7-60</v>
          </cell>
          <cell r="G932">
            <v>7794681</v>
          </cell>
        </row>
        <row r="933">
          <cell r="E933">
            <v>1044426969</v>
          </cell>
          <cell r="F933" t="str">
            <v>TRANSV 2 NO 64-74</v>
          </cell>
          <cell r="G933">
            <v>3106740596</v>
          </cell>
        </row>
        <row r="934">
          <cell r="E934">
            <v>23882153</v>
          </cell>
          <cell r="F934" t="str">
            <v>SAN PABLO DE BORBUR</v>
          </cell>
          <cell r="G934">
            <v>3118535619</v>
          </cell>
        </row>
        <row r="935">
          <cell r="E935">
            <v>4250784</v>
          </cell>
          <cell r="F935" t="str">
            <v>CENTRO</v>
          </cell>
          <cell r="G935">
            <v>7874016</v>
          </cell>
        </row>
        <row r="936">
          <cell r="E936">
            <v>52123843</v>
          </cell>
          <cell r="F936" t="str">
            <v>CALLE 12 NO 11-32 SOGAMOSO</v>
          </cell>
          <cell r="G936">
            <v>7701011</v>
          </cell>
        </row>
        <row r="937">
          <cell r="E937">
            <v>1085333732</v>
          </cell>
          <cell r="F937" t="str">
            <v>CARRERA 8 NO 5-26</v>
          </cell>
          <cell r="G937">
            <v>3125564248</v>
          </cell>
        </row>
        <row r="938">
          <cell r="E938">
            <v>17281015</v>
          </cell>
          <cell r="F938" t="str">
            <v>CALLE 3 NO 4-27</v>
          </cell>
          <cell r="G938">
            <v>3144134408</v>
          </cell>
        </row>
        <row r="939">
          <cell r="E939">
            <v>24100592</v>
          </cell>
          <cell r="F939" t="str">
            <v>CALLE 3 NO 8-47</v>
          </cell>
          <cell r="G939">
            <v>0</v>
          </cell>
        </row>
        <row r="940">
          <cell r="E940">
            <v>1049605804</v>
          </cell>
          <cell r="F940" t="str">
            <v>AV UNIVERSITARIA NO 75-00</v>
          </cell>
          <cell r="G940">
            <v>7459684</v>
          </cell>
        </row>
        <row r="941">
          <cell r="E941">
            <v>860514592</v>
          </cell>
          <cell r="F941" t="str">
            <v>DROGAS LA ECONOMIA SOGAMOSO</v>
          </cell>
          <cell r="G941">
            <v>0</v>
          </cell>
        </row>
        <row r="942">
          <cell r="E942">
            <v>33377501</v>
          </cell>
          <cell r="F942" t="str">
            <v>KM 93 VIA TUNJA BOGOTA</v>
          </cell>
          <cell r="G942">
            <v>3143006944</v>
          </cell>
        </row>
        <row r="943">
          <cell r="E943">
            <v>1065617553</v>
          </cell>
          <cell r="F943" t="str">
            <v>BOGOTA</v>
          </cell>
          <cell r="G943">
            <v>0</v>
          </cell>
        </row>
        <row r="944">
          <cell r="E944">
            <v>19267512</v>
          </cell>
          <cell r="F944" t="str">
            <v>CALLE 24 No. 18-33</v>
          </cell>
          <cell r="G944">
            <v>3158162135</v>
          </cell>
        </row>
        <row r="945">
          <cell r="E945">
            <v>1076665820</v>
          </cell>
          <cell r="F945" t="str">
            <v>ESE DE TOPAGA</v>
          </cell>
          <cell r="G945">
            <v>0</v>
          </cell>
        </row>
        <row r="946">
          <cell r="E946">
            <v>1022982599</v>
          </cell>
          <cell r="F946" t="str">
            <v>CALLE 4 SUR NO 13-56</v>
          </cell>
          <cell r="G946">
            <v>3134763810</v>
          </cell>
        </row>
        <row r="947">
          <cell r="E947">
            <v>74439264</v>
          </cell>
          <cell r="F947" t="str">
            <v>CALLE 6 NO 2 61</v>
          </cell>
          <cell r="G947">
            <v>3043620752</v>
          </cell>
        </row>
        <row r="948">
          <cell r="E948">
            <v>1002455481</v>
          </cell>
          <cell r="F948" t="str">
            <v>VEREDA CARACOLES</v>
          </cell>
          <cell r="G948">
            <v>3208687165</v>
          </cell>
        </row>
        <row r="949">
          <cell r="E949">
            <v>46374625</v>
          </cell>
          <cell r="F949" t="str">
            <v>CARRERA 3 NO 4 53</v>
          </cell>
          <cell r="G949">
            <v>3102922043</v>
          </cell>
        </row>
        <row r="950">
          <cell r="E950">
            <v>1052313173</v>
          </cell>
          <cell r="F950" t="str">
            <v>CRA 5 NO 9-65</v>
          </cell>
          <cell r="G950">
            <v>3124055840</v>
          </cell>
        </row>
        <row r="951">
          <cell r="E951">
            <v>1052312198</v>
          </cell>
          <cell r="F951" t="str">
            <v>CARRERA 4A NO 10-12 BELEN</v>
          </cell>
          <cell r="G951">
            <v>3212833720</v>
          </cell>
        </row>
        <row r="952">
          <cell r="E952">
            <v>1056614318</v>
          </cell>
          <cell r="F952" t="str">
            <v>CENTRO UMBITA</v>
          </cell>
          <cell r="G952">
            <v>3202557668</v>
          </cell>
        </row>
        <row r="953">
          <cell r="E953">
            <v>1056613880</v>
          </cell>
          <cell r="F953" t="str">
            <v>CALLE 4 NO 3 35 UMBITA</v>
          </cell>
          <cell r="G953">
            <v>3183460874</v>
          </cell>
        </row>
        <row r="954">
          <cell r="E954">
            <v>1056612116</v>
          </cell>
          <cell r="F954" t="str">
            <v>VEREDA TAMBOR CHIQUITO</v>
          </cell>
          <cell r="G954">
            <v>3208562628</v>
          </cell>
        </row>
        <row r="955">
          <cell r="E955">
            <v>1056613996</v>
          </cell>
          <cell r="F955" t="str">
            <v>CENTRO UMBITA</v>
          </cell>
          <cell r="G955">
            <v>3219543785</v>
          </cell>
        </row>
        <row r="956">
          <cell r="E956">
            <v>1057581515</v>
          </cell>
          <cell r="F956" t="str">
            <v>CALLE 13 NO 14-105</v>
          </cell>
          <cell r="G956">
            <v>3182969741</v>
          </cell>
        </row>
        <row r="957">
          <cell r="E957">
            <v>1020779767</v>
          </cell>
          <cell r="F957" t="str">
            <v>ESE DE PAYA</v>
          </cell>
          <cell r="G957">
            <v>3011703494</v>
          </cell>
        </row>
        <row r="958">
          <cell r="E958">
            <v>1095828736</v>
          </cell>
          <cell r="F958" t="str">
            <v>VEREDA MIRABAL</v>
          </cell>
          <cell r="G958">
            <v>3222188650</v>
          </cell>
        </row>
        <row r="959">
          <cell r="E959">
            <v>52822464</v>
          </cell>
          <cell r="F959" t="str">
            <v>CARRERA 5 NO 6-14</v>
          </cell>
          <cell r="G959">
            <v>3213195267</v>
          </cell>
        </row>
        <row r="960">
          <cell r="E960">
            <v>74327441</v>
          </cell>
          <cell r="F960" t="str">
            <v>CARRERRA 5 NO 9-56</v>
          </cell>
          <cell r="G960">
            <v>3123534315</v>
          </cell>
        </row>
        <row r="961">
          <cell r="E961">
            <v>23423066</v>
          </cell>
          <cell r="F961" t="str">
            <v>CARRERA 6 NO 3-28</v>
          </cell>
          <cell r="G961">
            <v>3123352843</v>
          </cell>
        </row>
        <row r="962">
          <cell r="E962">
            <v>1002538052</v>
          </cell>
          <cell r="F962" t="str">
            <v>CARRERA 20 NO. 24-53</v>
          </cell>
          <cell r="G962">
            <v>3217601358</v>
          </cell>
        </row>
        <row r="963">
          <cell r="E963">
            <v>1002682749</v>
          </cell>
          <cell r="F963" t="str">
            <v>CARRERA 7 NO 6-03</v>
          </cell>
          <cell r="G963">
            <v>3166373898</v>
          </cell>
        </row>
        <row r="964">
          <cell r="E964">
            <v>1053585871</v>
          </cell>
          <cell r="F964" t="str">
            <v>CALLE 7 NO 1-57</v>
          </cell>
          <cell r="G964">
            <v>3142713663</v>
          </cell>
        </row>
        <row r="965">
          <cell r="E965">
            <v>1052413409</v>
          </cell>
          <cell r="F965" t="str">
            <v>CENTRO DE SALUD PISBA</v>
          </cell>
          <cell r="G965">
            <v>3232354349</v>
          </cell>
        </row>
        <row r="966">
          <cell r="E966">
            <v>1051212373</v>
          </cell>
          <cell r="F966" t="str">
            <v>CALLE 2 NO 4-61 NOBSA</v>
          </cell>
          <cell r="G966">
            <v>3023021522</v>
          </cell>
        </row>
        <row r="967">
          <cell r="E967">
            <v>1002413705</v>
          </cell>
          <cell r="F967" t="str">
            <v>CARRERA 8 NO 3-55</v>
          </cell>
          <cell r="G967">
            <v>3214497488</v>
          </cell>
        </row>
        <row r="968">
          <cell r="E968">
            <v>1052396657</v>
          </cell>
          <cell r="F968" t="str">
            <v>ESE SAN PABLO DE BORBUR</v>
          </cell>
          <cell r="G968">
            <v>3108831069</v>
          </cell>
        </row>
        <row r="969">
          <cell r="E969">
            <v>1002740516</v>
          </cell>
          <cell r="F969" t="str">
            <v>CARRERA 21 NO 1-58 SOGAMOSO</v>
          </cell>
          <cell r="G969">
            <v>3132654906</v>
          </cell>
        </row>
        <row r="970">
          <cell r="E970">
            <v>1118125271</v>
          </cell>
          <cell r="F970" t="str">
            <v>CARRERA 14 CALLE 1</v>
          </cell>
          <cell r="G970">
            <v>3024108502</v>
          </cell>
        </row>
        <row r="971">
          <cell r="E971">
            <v>1051477522</v>
          </cell>
          <cell r="F971" t="str">
            <v>VEREDA HATO VIEJO</v>
          </cell>
          <cell r="G971">
            <v>3118486428</v>
          </cell>
        </row>
        <row r="972">
          <cell r="E972">
            <v>4218243</v>
          </cell>
          <cell r="F972" t="str">
            <v>VEREDA DE VARGAS</v>
          </cell>
          <cell r="G972">
            <v>3143719950</v>
          </cell>
        </row>
        <row r="973">
          <cell r="E973">
            <v>79729435</v>
          </cell>
          <cell r="F973" t="str">
            <v>CARRERA 6 NO 7-18</v>
          </cell>
          <cell r="G973">
            <v>3046610323</v>
          </cell>
        </row>
        <row r="974">
          <cell r="E974">
            <v>1049606066</v>
          </cell>
          <cell r="F974" t="str">
            <v>CALLE 5C NO 11A-15</v>
          </cell>
          <cell r="G974">
            <v>3138134912</v>
          </cell>
        </row>
        <row r="975">
          <cell r="E975">
            <v>23926224</v>
          </cell>
          <cell r="F975" t="str">
            <v>CARRERA 12 NO 15-67</v>
          </cell>
          <cell r="G975">
            <v>7708960</v>
          </cell>
        </row>
        <row r="976">
          <cell r="E976">
            <v>63516017</v>
          </cell>
          <cell r="F976" t="str">
            <v>CALLE 19 NO 4-04</v>
          </cell>
          <cell r="G976">
            <v>0</v>
          </cell>
        </row>
        <row r="977">
          <cell r="E977">
            <v>800197268</v>
          </cell>
          <cell r="F977" t="str">
            <v>CRA 13 NO 10-81</v>
          </cell>
          <cell r="G977">
            <v>7726669</v>
          </cell>
        </row>
        <row r="978">
          <cell r="E978">
            <v>811009788</v>
          </cell>
          <cell r="G978">
            <v>0</v>
          </cell>
        </row>
        <row r="979">
          <cell r="E979">
            <v>901062604</v>
          </cell>
          <cell r="F979" t="str">
            <v>CALLE 24 NO 24-44</v>
          </cell>
          <cell r="G979">
            <v>3155979276</v>
          </cell>
        </row>
        <row r="980">
          <cell r="E980">
            <v>822007117</v>
          </cell>
          <cell r="F980" t="str">
            <v>CALLE 2 NO 2-84 CIUDADELA INDUSTRIAL</v>
          </cell>
          <cell r="G980">
            <v>3102352053</v>
          </cell>
        </row>
        <row r="981">
          <cell r="E981">
            <v>901395372</v>
          </cell>
          <cell r="F981" t="str">
            <v>CALLE 25 NO 19-75</v>
          </cell>
          <cell r="G981">
            <v>3204128873</v>
          </cell>
        </row>
        <row r="982">
          <cell r="E982">
            <v>800077198</v>
          </cell>
          <cell r="F982" t="str">
            <v>CALLE 4 NO 3-61 CIUDADELA IND.</v>
          </cell>
          <cell r="G982">
            <v>7638055</v>
          </cell>
        </row>
        <row r="983">
          <cell r="E983">
            <v>830075912</v>
          </cell>
          <cell r="F983" t="str">
            <v>CRA 30 N 17-32</v>
          </cell>
          <cell r="G983">
            <v>0</v>
          </cell>
        </row>
        <row r="984">
          <cell r="E984">
            <v>900943243</v>
          </cell>
          <cell r="F984" t="str">
            <v>CALLE 12 NO 10-10</v>
          </cell>
          <cell r="G984">
            <v>222181</v>
          </cell>
        </row>
        <row r="985">
          <cell r="E985">
            <v>860508791</v>
          </cell>
          <cell r="F985" t="str">
            <v>CALLE 63 CARRERA 28A-65</v>
          </cell>
          <cell r="G985">
            <v>6012100200</v>
          </cell>
        </row>
        <row r="986">
          <cell r="E986">
            <v>51563574</v>
          </cell>
          <cell r="F986" t="str">
            <v>CARRERA 14 NO 15A 07</v>
          </cell>
          <cell r="G986">
            <v>3123750127</v>
          </cell>
        </row>
        <row r="987">
          <cell r="E987">
            <v>830025839</v>
          </cell>
          <cell r="F987" t="str">
            <v>CALLE 103 NO 46-01</v>
          </cell>
          <cell r="G987">
            <v>2562550</v>
          </cell>
        </row>
        <row r="988">
          <cell r="E988">
            <v>40027163</v>
          </cell>
          <cell r="F988" t="str">
            <v>CRA 18 NO 18-41</v>
          </cell>
          <cell r="G988">
            <v>7627133</v>
          </cell>
        </row>
        <row r="989">
          <cell r="E989">
            <v>40031168</v>
          </cell>
          <cell r="F989" t="str">
            <v>CALLE 11 NO 17-10</v>
          </cell>
          <cell r="G989">
            <v>7612342</v>
          </cell>
        </row>
        <row r="990">
          <cell r="E990">
            <v>40043641</v>
          </cell>
          <cell r="F990" t="str">
            <v>CALLE 27 NO 10-19</v>
          </cell>
          <cell r="G990">
            <v>7443798</v>
          </cell>
        </row>
        <row r="991">
          <cell r="E991">
            <v>1065853944</v>
          </cell>
          <cell r="F991" t="str">
            <v>CARRERA 11 NO 22-23</v>
          </cell>
          <cell r="G991">
            <v>6087751135</v>
          </cell>
        </row>
        <row r="992">
          <cell r="E992">
            <v>800149695</v>
          </cell>
          <cell r="F992" t="str">
            <v>CALLE 97 NO 13-14</v>
          </cell>
          <cell r="G992">
            <v>4924860</v>
          </cell>
        </row>
        <row r="993">
          <cell r="E993">
            <v>1056955013</v>
          </cell>
          <cell r="F993" t="str">
            <v>VEREDA CHOQUIRA</v>
          </cell>
          <cell r="G993">
            <v>3125769432</v>
          </cell>
        </row>
        <row r="994">
          <cell r="E994">
            <v>80851946</v>
          </cell>
          <cell r="F994" t="str">
            <v>CALLE 2 NO 8-10</v>
          </cell>
          <cell r="G994">
            <v>3102045304</v>
          </cell>
        </row>
        <row r="995">
          <cell r="E995">
            <v>1054254362</v>
          </cell>
          <cell r="F995" t="str">
            <v>VEREDA EL MORRO</v>
          </cell>
          <cell r="G995">
            <v>3108009960</v>
          </cell>
        </row>
        <row r="996">
          <cell r="E996">
            <v>1071328496</v>
          </cell>
          <cell r="F996" t="str">
            <v>CALLE 5 NO 6-88</v>
          </cell>
          <cell r="G996">
            <v>3213631268</v>
          </cell>
        </row>
        <row r="997">
          <cell r="E997">
            <v>1057609270</v>
          </cell>
          <cell r="F997" t="str">
            <v>AVENIDA 20 20 25</v>
          </cell>
          <cell r="G997">
            <v>3028577618</v>
          </cell>
        </row>
        <row r="998">
          <cell r="E998">
            <v>24218702</v>
          </cell>
          <cell r="F998" t="str">
            <v>SECTOR EL HATO</v>
          </cell>
          <cell r="G998">
            <v>3125797571</v>
          </cell>
        </row>
        <row r="999">
          <cell r="E999">
            <v>1049621693</v>
          </cell>
          <cell r="F999" t="str">
            <v>CALLE 12 NO 5-51</v>
          </cell>
          <cell r="G999">
            <v>3112168075</v>
          </cell>
        </row>
        <row r="1000">
          <cell r="E1000">
            <v>1056954166</v>
          </cell>
          <cell r="F1000" t="str">
            <v>CALLE 22 NO 14-15 APTO 301</v>
          </cell>
          <cell r="G1000">
            <v>3007020663</v>
          </cell>
        </row>
        <row r="1001">
          <cell r="E1001">
            <v>7185752</v>
          </cell>
          <cell r="F1001" t="str">
            <v>CRA 5 NO 9-64</v>
          </cell>
          <cell r="G1001">
            <v>3112338669</v>
          </cell>
        </row>
        <row r="1002">
          <cell r="E1002">
            <v>1118535672</v>
          </cell>
          <cell r="F1002" t="str">
            <v>CARRERA 18 NO 14-11</v>
          </cell>
          <cell r="G1002">
            <v>3102572591</v>
          </cell>
        </row>
        <row r="1003">
          <cell r="E1003">
            <v>4120439</v>
          </cell>
          <cell r="F1003" t="str">
            <v>CALLE 11 NO 19-05 SOGAMOSO</v>
          </cell>
          <cell r="G1003">
            <v>3208580771</v>
          </cell>
        </row>
        <row r="1004">
          <cell r="E1004">
            <v>1054120393</v>
          </cell>
          <cell r="F1004" t="str">
            <v>CENTRO</v>
          </cell>
          <cell r="G1004">
            <v>3143093234</v>
          </cell>
        </row>
        <row r="1005">
          <cell r="E1005">
            <v>46664554</v>
          </cell>
          <cell r="F1005" t="str">
            <v>CENTRO</v>
          </cell>
          <cell r="G1005">
            <v>3203583011</v>
          </cell>
        </row>
        <row r="1006">
          <cell r="E1006">
            <v>1048851201</v>
          </cell>
          <cell r="F1006" t="str">
            <v>CENTRO SAN LUIS DE GACENO</v>
          </cell>
          <cell r="G1006">
            <v>3196354159</v>
          </cell>
        </row>
        <row r="1007">
          <cell r="E1007">
            <v>1056554378</v>
          </cell>
          <cell r="F1007" t="str">
            <v>CENTRO LABRANZAGRANDE</v>
          </cell>
          <cell r="G1007">
            <v>3147799862</v>
          </cell>
        </row>
        <row r="1008">
          <cell r="E1008">
            <v>55226465</v>
          </cell>
          <cell r="F1008" t="str">
            <v>CARRERA 25B NO 68B 113</v>
          </cell>
          <cell r="G1008">
            <v>3124558314</v>
          </cell>
        </row>
        <row r="1009">
          <cell r="E1009">
            <v>74389902</v>
          </cell>
          <cell r="F1009" t="str">
            <v>CALLE 5 NO 4-26</v>
          </cell>
          <cell r="G1009">
            <v>3212787483</v>
          </cell>
        </row>
        <row r="1010">
          <cell r="E1010">
            <v>24091000</v>
          </cell>
          <cell r="F1010" t="str">
            <v>CALLE 4 NO 18 13 SOCOTA</v>
          </cell>
          <cell r="G1010">
            <v>3133513855</v>
          </cell>
        </row>
        <row r="1011">
          <cell r="E1011">
            <v>24100333</v>
          </cell>
          <cell r="F1011" t="str">
            <v>VEREDA COMAITA SOCOTA</v>
          </cell>
          <cell r="G1011">
            <v>3132349255</v>
          </cell>
        </row>
        <row r="1012">
          <cell r="E1012">
            <v>1054252437</v>
          </cell>
          <cell r="F1012" t="str">
            <v>CENTRO SOCOTA</v>
          </cell>
          <cell r="G1012">
            <v>3123541290</v>
          </cell>
        </row>
        <row r="1013">
          <cell r="E1013">
            <v>1054090251</v>
          </cell>
          <cell r="F1013" t="str">
            <v>RESERVA CAMPESTRE</v>
          </cell>
          <cell r="G1013">
            <v>3003016642</v>
          </cell>
        </row>
        <row r="1014">
          <cell r="E1014">
            <v>1054252143</v>
          </cell>
          <cell r="F1014" t="str">
            <v>VEREDA SAN PEDRO</v>
          </cell>
          <cell r="G1014">
            <v>3222183066</v>
          </cell>
        </row>
        <row r="1015">
          <cell r="E1015">
            <v>1054252777</v>
          </cell>
          <cell r="F1015" t="str">
            <v>CENTRO</v>
          </cell>
          <cell r="G1015">
            <v>3123044620</v>
          </cell>
        </row>
        <row r="1016">
          <cell r="E1016">
            <v>24090973</v>
          </cell>
          <cell r="F1016" t="str">
            <v>ESE DE PISBA</v>
          </cell>
          <cell r="G1016">
            <v>0</v>
          </cell>
        </row>
        <row r="1017">
          <cell r="E1017">
            <v>4254776</v>
          </cell>
          <cell r="F1017" t="str">
            <v>CENTRO</v>
          </cell>
          <cell r="G1017">
            <v>3215523223</v>
          </cell>
        </row>
        <row r="1018">
          <cell r="E1018">
            <v>52663424</v>
          </cell>
          <cell r="F1018" t="str">
            <v>CALLE 2 NO 8-43</v>
          </cell>
          <cell r="G1018">
            <v>7874016</v>
          </cell>
        </row>
        <row r="1019">
          <cell r="E1019">
            <v>7183181</v>
          </cell>
          <cell r="F1019" t="str">
            <v>CRA 1 NO 3 16 SOCOTA</v>
          </cell>
          <cell r="G1019">
            <v>3112158780</v>
          </cell>
        </row>
        <row r="1020">
          <cell r="E1020">
            <v>1057585730</v>
          </cell>
          <cell r="F1020" t="str">
            <v>CARRERA 28 NO 11A 28 SOGAMOSO</v>
          </cell>
          <cell r="G1020">
            <v>3028463841</v>
          </cell>
        </row>
        <row r="1021">
          <cell r="E1021">
            <v>1119817191</v>
          </cell>
          <cell r="F1021" t="str">
            <v>VEREDA EL ESPINAL SACHICA</v>
          </cell>
          <cell r="G1021">
            <v>3146733061</v>
          </cell>
        </row>
        <row r="1022">
          <cell r="E1022">
            <v>19070503</v>
          </cell>
          <cell r="F1022" t="str">
            <v>CRA 4 NO 8A 24</v>
          </cell>
          <cell r="G1022">
            <v>3105545181</v>
          </cell>
        </row>
        <row r="1023">
          <cell r="E1023">
            <v>9526199</v>
          </cell>
          <cell r="F1023" t="str">
            <v>ESE D ELABRANZAGRANDE</v>
          </cell>
          <cell r="G1023">
            <v>0</v>
          </cell>
        </row>
        <row r="1024">
          <cell r="E1024">
            <v>1056482836</v>
          </cell>
          <cell r="F1024" t="str">
            <v>CARRERA 12 NO 9-78</v>
          </cell>
          <cell r="G1024">
            <v>3143798465</v>
          </cell>
        </row>
        <row r="1025">
          <cell r="E1025">
            <v>4258413</v>
          </cell>
          <cell r="F1025" t="str">
            <v>CENTRO</v>
          </cell>
          <cell r="G1025">
            <v>0</v>
          </cell>
        </row>
        <row r="1026">
          <cell r="E1026">
            <v>24100935</v>
          </cell>
          <cell r="F1026" t="str">
            <v>COMAITA SOCOTA</v>
          </cell>
          <cell r="G1026" t="str">
            <v>3108803317_x000D_
3108803317</v>
          </cell>
        </row>
        <row r="1027">
          <cell r="E1027">
            <v>24091559</v>
          </cell>
          <cell r="F1027" t="str">
            <v>VEREDA MOTAVITA SOCOTA</v>
          </cell>
          <cell r="G1027">
            <v>3133613303</v>
          </cell>
        </row>
        <row r="1028">
          <cell r="E1028">
            <v>1054253454</v>
          </cell>
          <cell r="F1028" t="str">
            <v>CENTRO SOCOTA</v>
          </cell>
          <cell r="G1028">
            <v>3114922351</v>
          </cell>
        </row>
        <row r="1029">
          <cell r="E1029">
            <v>24099890</v>
          </cell>
          <cell r="F1029" t="str">
            <v>CALLE 6A NO 11-18</v>
          </cell>
          <cell r="G1029">
            <v>3125525082</v>
          </cell>
        </row>
        <row r="1030">
          <cell r="E1030">
            <v>891855492</v>
          </cell>
          <cell r="F1030" t="str">
            <v>CALLE 8 NO 7-60</v>
          </cell>
          <cell r="G1030">
            <v>7794681</v>
          </cell>
        </row>
        <row r="1031">
          <cell r="E1031">
            <v>1091674859</v>
          </cell>
          <cell r="F1031" t="str">
            <v>CARRERA 3 NO 3-31</v>
          </cell>
          <cell r="G1031">
            <v>3176696257</v>
          </cell>
        </row>
        <row r="1032">
          <cell r="E1032">
            <v>23965630</v>
          </cell>
          <cell r="F1032" t="str">
            <v>CARRERA 7 NO 7-21</v>
          </cell>
          <cell r="G1032">
            <v>7327546</v>
          </cell>
        </row>
        <row r="1033">
          <cell r="E1033">
            <v>901093846</v>
          </cell>
          <cell r="F1033" t="str">
            <v>CARRERA 11A NO78 80</v>
          </cell>
          <cell r="G1033">
            <v>6015190088</v>
          </cell>
        </row>
        <row r="1034">
          <cell r="E1034">
            <v>4191368</v>
          </cell>
          <cell r="F1034" t="str">
            <v>CALLE25 NO 21-18</v>
          </cell>
          <cell r="G1034">
            <v>0</v>
          </cell>
        </row>
        <row r="1035">
          <cell r="E1035">
            <v>900582741</v>
          </cell>
          <cell r="F1035" t="str">
            <v>CARRERA 6 NO 8-68</v>
          </cell>
          <cell r="G1035">
            <v>7870026</v>
          </cell>
        </row>
        <row r="1036">
          <cell r="E1036">
            <v>900410314</v>
          </cell>
          <cell r="F1036" t="str">
            <v>CALLE 21 NO 41-10</v>
          </cell>
          <cell r="G1036">
            <v>0</v>
          </cell>
        </row>
        <row r="1037">
          <cell r="E1037">
            <v>6766703</v>
          </cell>
          <cell r="F1037" t="str">
            <v>VEREDA BOSIGAS</v>
          </cell>
          <cell r="G1037">
            <v>3124798646</v>
          </cell>
        </row>
        <row r="1038">
          <cell r="E1038">
            <v>900930434</v>
          </cell>
          <cell r="F1038" t="str">
            <v>CARRERA 42 NO 22A-78</v>
          </cell>
          <cell r="G1038">
            <v>3138549845</v>
          </cell>
        </row>
        <row r="1039">
          <cell r="E1039">
            <v>830503988</v>
          </cell>
          <cell r="F1039" t="str">
            <v>CARRERA 11 NO 29-45 SOGAMOSO</v>
          </cell>
          <cell r="G1039">
            <v>3143581117</v>
          </cell>
        </row>
        <row r="1040">
          <cell r="E1040">
            <v>891855600</v>
          </cell>
          <cell r="F1040" t="str">
            <v>CENTRO</v>
          </cell>
          <cell r="G1040">
            <v>7602371</v>
          </cell>
        </row>
        <row r="1041">
          <cell r="E1041">
            <v>901348293</v>
          </cell>
          <cell r="F1041" t="str">
            <v>KILOMETRO 3 VIA PAIPA</v>
          </cell>
          <cell r="G1041">
            <v>3187440933</v>
          </cell>
        </row>
        <row r="1042">
          <cell r="E1042">
            <v>46351485</v>
          </cell>
          <cell r="F1042" t="str">
            <v>CALLE 11 NO 32-30</v>
          </cell>
          <cell r="G1042">
            <v>3102957264</v>
          </cell>
        </row>
        <row r="1043">
          <cell r="E1043">
            <v>901138291</v>
          </cell>
          <cell r="F1043" t="str">
            <v>CARRERA 19 NO 26-45 B GAITAN</v>
          </cell>
          <cell r="G1043">
            <v>3124683415</v>
          </cell>
        </row>
        <row r="1044">
          <cell r="E1044">
            <v>901560303</v>
          </cell>
          <cell r="F1044" t="str">
            <v>CARRERA 11 NO 3-47 SUR</v>
          </cell>
          <cell r="G1044">
            <v>3176385421</v>
          </cell>
        </row>
        <row r="1045">
          <cell r="E1045">
            <v>900513538</v>
          </cell>
          <cell r="F1045" t="str">
            <v>KILOMETRO 4 VIA PAIPA TUNJA</v>
          </cell>
          <cell r="G1045">
            <v>3102970314</v>
          </cell>
        </row>
        <row r="1046">
          <cell r="E1046">
            <v>900832159</v>
          </cell>
          <cell r="F1046" t="str">
            <v>CARRERA 8 NO 31-79 TUNJA</v>
          </cell>
          <cell r="G1046">
            <v>3118600870</v>
          </cell>
        </row>
        <row r="1047">
          <cell r="E1047">
            <v>900841093</v>
          </cell>
          <cell r="F1047" t="str">
            <v>CARRERA 12 NO 12-08</v>
          </cell>
          <cell r="G1047">
            <v>3214224024</v>
          </cell>
        </row>
        <row r="1048">
          <cell r="E1048">
            <v>901123759</v>
          </cell>
          <cell r="F1048" t="str">
            <v>C COMERCIAL UNICENTRO L 269</v>
          </cell>
          <cell r="G1048">
            <v>6333104</v>
          </cell>
        </row>
        <row r="1049">
          <cell r="E1049">
            <v>40414215</v>
          </cell>
          <cell r="F1049" t="str">
            <v>CARRERA 19 NO 18-66</v>
          </cell>
          <cell r="G1049">
            <v>0</v>
          </cell>
        </row>
        <row r="1050">
          <cell r="E1050">
            <v>900337464</v>
          </cell>
          <cell r="F1050" t="str">
            <v>CALLE 11 NO 10-77</v>
          </cell>
          <cell r="G1050">
            <v>3127872726</v>
          </cell>
        </row>
        <row r="1051">
          <cell r="E1051">
            <v>900581542</v>
          </cell>
          <cell r="F1051" t="str">
            <v>CRA 11 NO 19A 07</v>
          </cell>
          <cell r="G1051">
            <v>7733999</v>
          </cell>
        </row>
        <row r="1052">
          <cell r="E1052">
            <v>700111999</v>
          </cell>
          <cell r="F1052" t="str">
            <v>CALLE 25 NO 19-24</v>
          </cell>
          <cell r="G1052">
            <v>7850335</v>
          </cell>
        </row>
        <row r="1053">
          <cell r="E1053">
            <v>1136888186</v>
          </cell>
          <cell r="F1053" t="str">
            <v>CALLE 16 NO 7A-55</v>
          </cell>
          <cell r="G1053">
            <v>3208646247</v>
          </cell>
        </row>
        <row r="1054">
          <cell r="E1054">
            <v>900509433</v>
          </cell>
          <cell r="F1054" t="str">
            <v>CALLE 15 NO 11 79</v>
          </cell>
          <cell r="G1054">
            <v>3202832491</v>
          </cell>
        </row>
        <row r="1055">
          <cell r="E1055">
            <v>1052410072</v>
          </cell>
          <cell r="F1055" t="str">
            <v>CRR 23 N 23-62</v>
          </cell>
          <cell r="G1055">
            <v>0</v>
          </cell>
        </row>
        <row r="1056">
          <cell r="E1056">
            <v>900743848</v>
          </cell>
          <cell r="F1056" t="str">
            <v>CARRERA 9 NO 13-57</v>
          </cell>
          <cell r="G1056">
            <v>3203396629</v>
          </cell>
        </row>
        <row r="1057">
          <cell r="E1057">
            <v>1033820778</v>
          </cell>
          <cell r="F1057" t="str">
            <v>CALLE 25 NO 19-51</v>
          </cell>
          <cell r="G1057">
            <v>3214830802</v>
          </cell>
        </row>
        <row r="1058">
          <cell r="E1058">
            <v>900243488</v>
          </cell>
          <cell r="F1058" t="str">
            <v>CALLE 3 SUR NO 10-18</v>
          </cell>
          <cell r="G1058">
            <v>16041750</v>
          </cell>
        </row>
        <row r="1059">
          <cell r="E1059">
            <v>1053608351</v>
          </cell>
          <cell r="F1059" t="str">
            <v>CALLE 23 NO 23A-19</v>
          </cell>
          <cell r="G1059">
            <v>3114658841</v>
          </cell>
        </row>
        <row r="1060">
          <cell r="E1060">
            <v>1057582672</v>
          </cell>
          <cell r="F1060" t="str">
            <v>CALLE 15 NO 11-53</v>
          </cell>
          <cell r="G1060">
            <v>3102900725</v>
          </cell>
        </row>
        <row r="1061">
          <cell r="E1061">
            <v>23274439</v>
          </cell>
          <cell r="F1061" t="str">
            <v>AV NORTE NO 59-64</v>
          </cell>
          <cell r="G1061">
            <v>0</v>
          </cell>
        </row>
        <row r="1062">
          <cell r="E1062">
            <v>811004055</v>
          </cell>
          <cell r="F1062" t="str">
            <v>CARRERA 7 NO 32-16 OF 2801</v>
          </cell>
          <cell r="G1062">
            <v>3500445</v>
          </cell>
        </row>
        <row r="1063">
          <cell r="E1063">
            <v>900210774</v>
          </cell>
          <cell r="F1063" t="str">
            <v>CALLE 52A NO 11-85</v>
          </cell>
          <cell r="G1063">
            <v>7733923</v>
          </cell>
        </row>
        <row r="1064">
          <cell r="E1064">
            <v>901850338</v>
          </cell>
          <cell r="F1064" t="str">
            <v>UNICENTRO LOCAL 1067</v>
          </cell>
          <cell r="G1064">
            <v>3132637155</v>
          </cell>
        </row>
        <row r="1065">
          <cell r="E1065">
            <v>891800219</v>
          </cell>
          <cell r="F1065" t="str">
            <v>CRA 10 NO 15-87</v>
          </cell>
          <cell r="G1065">
            <v>7405000</v>
          </cell>
        </row>
        <row r="1066">
          <cell r="E1066">
            <v>820004060</v>
          </cell>
          <cell r="F1066" t="str">
            <v>CARRERA 3 NO 6-05 SACHICA</v>
          </cell>
          <cell r="G1066">
            <v>3203059797</v>
          </cell>
        </row>
        <row r="1067">
          <cell r="E1067">
            <v>820003422</v>
          </cell>
          <cell r="F1067" t="str">
            <v>CALLE 2 NO 1-41</v>
          </cell>
          <cell r="G1067">
            <v>3144419520</v>
          </cell>
        </row>
        <row r="1068">
          <cell r="E1068">
            <v>1086330156</v>
          </cell>
          <cell r="F1068" t="str">
            <v>TR 17A NO 22-26</v>
          </cell>
          <cell r="G1068">
            <v>3104531203</v>
          </cell>
        </row>
        <row r="1069">
          <cell r="E1069">
            <v>800185306</v>
          </cell>
          <cell r="F1069" t="str">
            <v>CARRERA 88 NO 17B-10</v>
          </cell>
          <cell r="G1069">
            <v>0</v>
          </cell>
        </row>
        <row r="1070">
          <cell r="E1070">
            <v>830003564</v>
          </cell>
          <cell r="F1070" t="str">
            <v>TR 11 NO 23-62</v>
          </cell>
          <cell r="G1070">
            <v>7436168</v>
          </cell>
        </row>
        <row r="1071">
          <cell r="E1071">
            <v>809008362</v>
          </cell>
          <cell r="F1071" t="str">
            <v>CARRERA 8 NO 16-85</v>
          </cell>
          <cell r="G1071">
            <v>18000186754</v>
          </cell>
        </row>
        <row r="1072">
          <cell r="E1072">
            <v>7279042</v>
          </cell>
          <cell r="F1072" t="str">
            <v>DIAGONAL 38 NO 18-75</v>
          </cell>
          <cell r="G1072">
            <v>3178534268</v>
          </cell>
        </row>
        <row r="1073">
          <cell r="E1073">
            <v>1052380420</v>
          </cell>
          <cell r="F1073" t="str">
            <v>CALLE 19 NO 11-19 SOGAMOSO</v>
          </cell>
          <cell r="G1073">
            <v>3133871103</v>
          </cell>
        </row>
        <row r="1074">
          <cell r="E1074">
            <v>826002862</v>
          </cell>
          <cell r="F1074" t="str">
            <v>CENTRO BETEITIVA</v>
          </cell>
          <cell r="G1074">
            <v>3212063515</v>
          </cell>
        </row>
        <row r="1075">
          <cell r="E1075">
            <v>826002641</v>
          </cell>
          <cell r="F1075" t="str">
            <v>CALLE 7 NO 7-23</v>
          </cell>
          <cell r="G1075">
            <v>3202332713</v>
          </cell>
        </row>
        <row r="1076">
          <cell r="E1076">
            <v>826002687</v>
          </cell>
          <cell r="F1076" t="str">
            <v>CARRERA 8 NO 05 49</v>
          </cell>
          <cell r="G1076">
            <v>6349504</v>
          </cell>
        </row>
        <row r="1077">
          <cell r="E1077">
            <v>820002248</v>
          </cell>
          <cell r="F1077" t="str">
            <v>CARRERA 5 NO 2-35</v>
          </cell>
          <cell r="G1077">
            <v>7366002</v>
          </cell>
        </row>
        <row r="1078">
          <cell r="E1078">
            <v>826002226</v>
          </cell>
          <cell r="F1078" t="str">
            <v>CALLE 3 NO 3-59 CENTRO</v>
          </cell>
          <cell r="G1078">
            <v>3208468038</v>
          </cell>
        </row>
        <row r="1079">
          <cell r="E1079">
            <v>826002164</v>
          </cell>
          <cell r="F1079" t="str">
            <v>CALLE 4 NO. 5-37 FLORESTA</v>
          </cell>
          <cell r="G1079">
            <v>3125620933</v>
          </cell>
        </row>
        <row r="1080">
          <cell r="E1080">
            <v>826002720</v>
          </cell>
          <cell r="F1080" t="str">
            <v>CARRERA 3 NO. 3-124 IZA</v>
          </cell>
          <cell r="G1080">
            <v>3163321987</v>
          </cell>
        </row>
        <row r="1081">
          <cell r="E1081">
            <v>826002660</v>
          </cell>
          <cell r="F1081" t="str">
            <v>CRA 6 NO 4-19</v>
          </cell>
          <cell r="G1081">
            <v>7870030</v>
          </cell>
        </row>
        <row r="1082">
          <cell r="E1082">
            <v>826001918</v>
          </cell>
          <cell r="F1082" t="str">
            <v>CARRERA 4 NO 2-17</v>
          </cell>
          <cell r="G1082">
            <v>3144789686</v>
          </cell>
        </row>
        <row r="1083">
          <cell r="E1083">
            <v>820002854</v>
          </cell>
          <cell r="F1083" t="str">
            <v>CARRERA 9 NO 12-102 QUIPAMA</v>
          </cell>
          <cell r="G1083">
            <v>3108840517</v>
          </cell>
        </row>
        <row r="1084">
          <cell r="E1084">
            <v>826002694</v>
          </cell>
          <cell r="F1084" t="str">
            <v>CARRERA 5 NO 5 24</v>
          </cell>
          <cell r="G1084">
            <v>7879110</v>
          </cell>
        </row>
        <row r="1085">
          <cell r="E1085">
            <v>820000886</v>
          </cell>
          <cell r="F1085" t="str">
            <v>CALLE 1 NO 5 10</v>
          </cell>
          <cell r="G1085">
            <v>3118470134</v>
          </cell>
        </row>
        <row r="1086">
          <cell r="E1086">
            <v>826002060</v>
          </cell>
          <cell r="F1086" t="str">
            <v>CARRERA 3 NO 7 10_x000D_
CENTRO</v>
          </cell>
          <cell r="G1086" t="str">
            <v>7820100_x000D_
7820100</v>
          </cell>
        </row>
        <row r="1087">
          <cell r="E1087">
            <v>820003619</v>
          </cell>
          <cell r="F1087" t="str">
            <v>CALLE 5 No. 4 70</v>
          </cell>
          <cell r="G1087">
            <v>3185953501</v>
          </cell>
        </row>
        <row r="1088">
          <cell r="E1088">
            <v>826002929</v>
          </cell>
          <cell r="F1088" t="str">
            <v>CALLE 5 NO 5-84</v>
          </cell>
          <cell r="G1088">
            <v>3112199109</v>
          </cell>
        </row>
        <row r="1089">
          <cell r="E1089">
            <v>820003782</v>
          </cell>
          <cell r="F1089" t="str">
            <v>CARRERA 7 NO 4 123</v>
          </cell>
          <cell r="G1089">
            <v>3203025408</v>
          </cell>
        </row>
        <row r="1090">
          <cell r="E1090">
            <v>820003876</v>
          </cell>
          <cell r="F1090" t="str">
            <v>CALLE 2 NO 2-95</v>
          </cell>
          <cell r="G1090">
            <v>7251479</v>
          </cell>
        </row>
        <row r="1091">
          <cell r="E1091">
            <v>826001960</v>
          </cell>
          <cell r="F1091" t="str">
            <v>CALLE 3 NO 5 17</v>
          </cell>
          <cell r="G1091">
            <v>3112742098</v>
          </cell>
        </row>
        <row r="1092">
          <cell r="E1092">
            <v>826002777</v>
          </cell>
          <cell r="F1092" t="str">
            <v>CRA 5 NO 7-00</v>
          </cell>
          <cell r="G1092">
            <v>7782061</v>
          </cell>
        </row>
        <row r="1093">
          <cell r="E1093">
            <v>881862576</v>
          </cell>
          <cell r="F1093" t="str">
            <v>CRA 7 NO 6-68</v>
          </cell>
          <cell r="G1093">
            <v>7874016</v>
          </cell>
        </row>
        <row r="1094">
          <cell r="E1094">
            <v>899999158</v>
          </cell>
          <cell r="F1094" t="str">
            <v>CALLE 5 NO. 6-88</v>
          </cell>
          <cell r="G1094">
            <v>8568070</v>
          </cell>
        </row>
        <row r="1095">
          <cell r="E1095">
            <v>860060016</v>
          </cell>
          <cell r="F1095" t="str">
            <v>CALLE 3 NO 5-50</v>
          </cell>
          <cell r="G1095">
            <v>3103492337</v>
          </cell>
        </row>
        <row r="1096">
          <cell r="E1096">
            <v>891800644</v>
          </cell>
          <cell r="F1096" t="str">
            <v>CRA 7 NO 7 21</v>
          </cell>
          <cell r="G1096">
            <v>7327546</v>
          </cell>
        </row>
        <row r="1097">
          <cell r="E1097">
            <v>826002963</v>
          </cell>
          <cell r="F1097" t="str">
            <v>CENTRO PISBA</v>
          </cell>
          <cell r="G1097">
            <v>3213291082</v>
          </cell>
        </row>
        <row r="1098">
          <cell r="E1098">
            <v>820003641</v>
          </cell>
          <cell r="F1098" t="str">
            <v>CALLE 6 NO 7-07</v>
          </cell>
          <cell r="G1098">
            <v>3212013381</v>
          </cell>
        </row>
        <row r="1099">
          <cell r="E1099">
            <v>826002019</v>
          </cell>
          <cell r="F1099" t="str">
            <v>CALLE 3 NO 10-135</v>
          </cell>
          <cell r="G1099">
            <v>3112245798</v>
          </cell>
        </row>
        <row r="1100">
          <cell r="E1100">
            <v>826002718</v>
          </cell>
          <cell r="F1100" t="str">
            <v>CARRERA 4 NO 7-32</v>
          </cell>
          <cell r="G1100">
            <v>7865132</v>
          </cell>
        </row>
        <row r="1101">
          <cell r="E1101">
            <v>23429892</v>
          </cell>
          <cell r="F1101" t="str">
            <v>VIA BELEN CERINZA</v>
          </cell>
          <cell r="G1101">
            <v>3114768496</v>
          </cell>
        </row>
        <row r="1102">
          <cell r="E1102">
            <v>1055228565</v>
          </cell>
          <cell r="F1102" t="str">
            <v>BARRIO LAS CHAPITAL RAQUIRA</v>
          </cell>
          <cell r="G1102">
            <v>3207323254</v>
          </cell>
        </row>
        <row r="1103">
          <cell r="E1103">
            <v>7213708</v>
          </cell>
          <cell r="F1103" t="str">
            <v>CARRERA 20 NO 26-36</v>
          </cell>
          <cell r="G1103">
            <v>7600194</v>
          </cell>
        </row>
        <row r="1104">
          <cell r="E1104">
            <v>46377635</v>
          </cell>
          <cell r="F1104" t="str">
            <v>CALLE 13 NO 14-89 SOGAMOSO</v>
          </cell>
          <cell r="G1104">
            <v>3112125515</v>
          </cell>
        </row>
        <row r="1105">
          <cell r="E1105">
            <v>52393370</v>
          </cell>
          <cell r="F1105" t="str">
            <v>CRA 4 NO 9 72</v>
          </cell>
          <cell r="G1105">
            <v>3124492156</v>
          </cell>
        </row>
        <row r="1106">
          <cell r="E1106">
            <v>1006459864</v>
          </cell>
          <cell r="F1106" t="str">
            <v>SANTA MARIA</v>
          </cell>
          <cell r="G1106">
            <v>3186767344</v>
          </cell>
        </row>
        <row r="1107">
          <cell r="E1107">
            <v>1055315548</v>
          </cell>
          <cell r="F1107" t="str">
            <v>CARRERA 54 NO 174-35</v>
          </cell>
          <cell r="G1107">
            <v>3204977489</v>
          </cell>
        </row>
        <row r="1108">
          <cell r="E1108">
            <v>52370805</v>
          </cell>
          <cell r="F1108" t="str">
            <v>MZ 10 CASA 4 PII</v>
          </cell>
          <cell r="G1108">
            <v>3124733280</v>
          </cell>
        </row>
        <row r="1109">
          <cell r="E1109">
            <v>1011716036</v>
          </cell>
          <cell r="F1109" t="str">
            <v>MZ 3 CASA 10 B PRIMAVERA</v>
          </cell>
          <cell r="G1109">
            <v>320258896</v>
          </cell>
        </row>
        <row r="1110">
          <cell r="E1110">
            <v>24019115</v>
          </cell>
          <cell r="F1110" t="str">
            <v>CARRERA 7 NO 6-68</v>
          </cell>
          <cell r="G1110">
            <v>7874398</v>
          </cell>
        </row>
        <row r="1111">
          <cell r="E1111">
            <v>1057410734</v>
          </cell>
          <cell r="F1111" t="str">
            <v>VEREDA ARRAYAN ABAJO</v>
          </cell>
          <cell r="G1111">
            <v>3203350583</v>
          </cell>
        </row>
        <row r="1112">
          <cell r="E1112">
            <v>7163204</v>
          </cell>
          <cell r="F1112" t="str">
            <v>PUENTE DE BOYACA</v>
          </cell>
          <cell r="G1112">
            <v>3214294243</v>
          </cell>
        </row>
        <row r="1113">
          <cell r="E1113">
            <v>1121924379</v>
          </cell>
          <cell r="F1113" t="str">
            <v>CARRERA 2 NO 4-57</v>
          </cell>
          <cell r="G1113">
            <v>3206394831</v>
          </cell>
        </row>
        <row r="1114">
          <cell r="E1114">
            <v>1003583590</v>
          </cell>
          <cell r="F1114" t="str">
            <v>CARRERA 11 NO 8-118</v>
          </cell>
          <cell r="G1114">
            <v>3213009010</v>
          </cell>
        </row>
        <row r="1115">
          <cell r="E1115">
            <v>1002678365</v>
          </cell>
          <cell r="F1115" t="str">
            <v>CENTRO SAN PABLO DE BORBUR</v>
          </cell>
          <cell r="G1115">
            <v>3208910949</v>
          </cell>
        </row>
        <row r="1116">
          <cell r="E1116">
            <v>23690539</v>
          </cell>
          <cell r="F1116" t="str">
            <v>CALLE 12 NO 11A-03</v>
          </cell>
          <cell r="G1116">
            <v>3114815265</v>
          </cell>
        </row>
        <row r="1117">
          <cell r="E1117">
            <v>23690887</v>
          </cell>
          <cell r="F1117" t="str">
            <v>MZ A CASA 1 SENDEROS DE LA VILLA</v>
          </cell>
          <cell r="G1117">
            <v>3132305705</v>
          </cell>
        </row>
        <row r="1118">
          <cell r="E1118">
            <v>1057593915</v>
          </cell>
          <cell r="F1118" t="str">
            <v>CARRERA 12 NO 7-57 SOGAMOSO</v>
          </cell>
          <cell r="G1118">
            <v>7747727</v>
          </cell>
        </row>
        <row r="1119">
          <cell r="E1119">
            <v>1054090555</v>
          </cell>
          <cell r="F1119" t="str">
            <v>CALLE 9 NO 5-28</v>
          </cell>
          <cell r="G1119">
            <v>3138781692</v>
          </cell>
        </row>
        <row r="1120">
          <cell r="E1120">
            <v>1077149041</v>
          </cell>
          <cell r="F1120" t="str">
            <v>VEREDA SIATA</v>
          </cell>
          <cell r="G1120">
            <v>3115230936</v>
          </cell>
        </row>
        <row r="1121">
          <cell r="E1121">
            <v>1030555251</v>
          </cell>
          <cell r="F1121" t="str">
            <v>CARRERA 7 NO 7-21</v>
          </cell>
          <cell r="G1121">
            <v>7327546</v>
          </cell>
        </row>
        <row r="1122">
          <cell r="E1122">
            <v>1053348586</v>
          </cell>
          <cell r="F1122" t="str">
            <v>CALLE 36 NO 8-03 SACHICA</v>
          </cell>
          <cell r="G1122">
            <v>3203254495</v>
          </cell>
        </row>
        <row r="1123">
          <cell r="E1123">
            <v>1053340173</v>
          </cell>
          <cell r="F1123" t="str">
            <v>CARRERA 8 NO 3A-75</v>
          </cell>
          <cell r="G1123">
            <v>3102351869</v>
          </cell>
        </row>
        <row r="1124">
          <cell r="E1124">
            <v>74348006</v>
          </cell>
          <cell r="F1124" t="str">
            <v>CENTRO LABRANZAGRANDE</v>
          </cell>
          <cell r="G1124">
            <v>0</v>
          </cell>
        </row>
        <row r="1125">
          <cell r="E1125">
            <v>901350353</v>
          </cell>
          <cell r="F1125" t="str">
            <v>CARRERA 10A NO 27-28 INT 102</v>
          </cell>
          <cell r="G1125">
            <v>6087400746</v>
          </cell>
        </row>
        <row r="1126">
          <cell r="E1126">
            <v>800015990</v>
          </cell>
          <cell r="F1126" t="str">
            <v>KM 170 TUTA</v>
          </cell>
          <cell r="G1126">
            <v>3158388068</v>
          </cell>
        </row>
        <row r="1127">
          <cell r="E1127">
            <v>901192832</v>
          </cell>
          <cell r="F1127" t="str">
            <v>CRA 8 # 12-50</v>
          </cell>
          <cell r="G1127">
            <v>8562446</v>
          </cell>
        </row>
        <row r="1128">
          <cell r="E1128">
            <v>800136310</v>
          </cell>
          <cell r="F1128" t="str">
            <v>CARRERA 42 NO 4-25</v>
          </cell>
          <cell r="G1128">
            <v>3182406608</v>
          </cell>
        </row>
        <row r="1129">
          <cell r="E1129">
            <v>830054581</v>
          </cell>
          <cell r="F1129" t="str">
            <v>CALLE 24F NO 102A 23</v>
          </cell>
          <cell r="G1129">
            <v>4076769</v>
          </cell>
        </row>
        <row r="1130">
          <cell r="E1130">
            <v>33630542</v>
          </cell>
          <cell r="F1130" t="str">
            <v>CARRERA 5 NO 10-101 TASCO</v>
          </cell>
          <cell r="G1130">
            <v>3215436914</v>
          </cell>
        </row>
        <row r="1131">
          <cell r="E1131">
            <v>1113954</v>
          </cell>
          <cell r="F1131" t="str">
            <v>VEREDA SAGRA ARRIBA</v>
          </cell>
          <cell r="G1131">
            <v>3114526644</v>
          </cell>
        </row>
        <row r="1132">
          <cell r="E1132">
            <v>1002674830</v>
          </cell>
          <cell r="F1132" t="str">
            <v>VEREDS SAGRA ARRIBA</v>
          </cell>
          <cell r="G1132">
            <v>3133815023</v>
          </cell>
        </row>
        <row r="1133">
          <cell r="E1133">
            <v>24218833</v>
          </cell>
          <cell r="F1133" t="str">
            <v>VEREDA MONTOYA</v>
          </cell>
          <cell r="G1133">
            <v>3214024307</v>
          </cell>
        </row>
        <row r="1134">
          <cell r="E1134">
            <v>13106021</v>
          </cell>
          <cell r="F1134" t="str">
            <v>CARRERA 3 NO 7-21</v>
          </cell>
          <cell r="G1134">
            <v>7327546</v>
          </cell>
        </row>
        <row r="1135">
          <cell r="E1135">
            <v>1052406126</v>
          </cell>
          <cell r="F1135" t="str">
            <v>BARRIO L APRIMAVERA</v>
          </cell>
          <cell r="G1135">
            <v>3209287891</v>
          </cell>
        </row>
        <row r="1136">
          <cell r="E1136">
            <v>1053664651</v>
          </cell>
          <cell r="F1136" t="str">
            <v>CALLE 8 NO 3-10</v>
          </cell>
          <cell r="G1136">
            <v>3144638502</v>
          </cell>
        </row>
        <row r="1137">
          <cell r="E1137">
            <v>1056555023</v>
          </cell>
          <cell r="F1137" t="str">
            <v>TR 16D NO. 32-58 LA FUENTE</v>
          </cell>
          <cell r="G1137">
            <v>3125802065</v>
          </cell>
        </row>
        <row r="1138">
          <cell r="E1138">
            <v>23932458</v>
          </cell>
          <cell r="F1138" t="str">
            <v>CENTRO DE SALUD D EPISBA</v>
          </cell>
          <cell r="G1138">
            <v>0</v>
          </cell>
        </row>
        <row r="1139">
          <cell r="E1139">
            <v>24099677</v>
          </cell>
          <cell r="F1139" t="str">
            <v>CALLE 7 NO 10-50</v>
          </cell>
          <cell r="G1139">
            <v>3115740659</v>
          </cell>
        </row>
        <row r="1140">
          <cell r="E1140">
            <v>1058430754</v>
          </cell>
          <cell r="F1140" t="str">
            <v>ESE DE TASCO</v>
          </cell>
          <cell r="G1140">
            <v>0</v>
          </cell>
        </row>
        <row r="1141">
          <cell r="E1141">
            <v>24098657</v>
          </cell>
          <cell r="F1141" t="str">
            <v>CALLE 7 NO 10-50</v>
          </cell>
          <cell r="G1141">
            <v>3125641348</v>
          </cell>
        </row>
        <row r="1142">
          <cell r="E1142">
            <v>1053538041</v>
          </cell>
          <cell r="F1142" t="str">
            <v>ESE DE IZA</v>
          </cell>
          <cell r="G1142">
            <v>3144012792</v>
          </cell>
        </row>
        <row r="1143">
          <cell r="E1143">
            <v>79048618</v>
          </cell>
          <cell r="F1143" t="str">
            <v>ESE SALUD AQUITANIA</v>
          </cell>
          <cell r="G1143">
            <v>3001365665</v>
          </cell>
        </row>
        <row r="1144">
          <cell r="E1144">
            <v>23913413</v>
          </cell>
          <cell r="F1144" t="str">
            <v>CARRERA 3 NO 5-28</v>
          </cell>
          <cell r="G1144">
            <v>3202572097</v>
          </cell>
        </row>
        <row r="1145">
          <cell r="E1145">
            <v>900062992</v>
          </cell>
          <cell r="F1145" t="str">
            <v>CARRERA 23 NO 13-40</v>
          </cell>
          <cell r="G1145">
            <v>6959484</v>
          </cell>
        </row>
        <row r="1146">
          <cell r="E1146">
            <v>900419840</v>
          </cell>
          <cell r="F1146" t="str">
            <v>CRA 29 NO. 14-47C</v>
          </cell>
          <cell r="G1146">
            <v>18000517711</v>
          </cell>
        </row>
        <row r="1147">
          <cell r="E1147">
            <v>860062440</v>
          </cell>
          <cell r="F1147" t="str">
            <v>DIAGONAL 23 NO 69-60</v>
          </cell>
          <cell r="G1147">
            <v>6014108971</v>
          </cell>
        </row>
        <row r="1148">
          <cell r="E1148">
            <v>860025540</v>
          </cell>
          <cell r="F1148" t="str">
            <v>CRA 7 NO 26-20 P 12</v>
          </cell>
          <cell r="G1148">
            <v>2876611</v>
          </cell>
        </row>
        <row r="1149">
          <cell r="E1149">
            <v>1049641746</v>
          </cell>
          <cell r="F1149" t="str">
            <v>CARRERA 17 NO 16-51</v>
          </cell>
          <cell r="G1149">
            <v>3228370869</v>
          </cell>
        </row>
        <row r="1150">
          <cell r="E1150">
            <v>1053586968</v>
          </cell>
          <cell r="F1150" t="str">
            <v>VEREDA DICHO NOBSA</v>
          </cell>
          <cell r="G1150">
            <v>3208824746</v>
          </cell>
        </row>
        <row r="1151">
          <cell r="E1151">
            <v>1052385170</v>
          </cell>
          <cell r="F1151" t="str">
            <v>CALLE 14 NO 8-22</v>
          </cell>
          <cell r="G1151">
            <v>3202619644</v>
          </cell>
        </row>
        <row r="1152">
          <cell r="E1152">
            <v>23882734</v>
          </cell>
          <cell r="F1152" t="str">
            <v>CALLE 2 3-01 SPB</v>
          </cell>
          <cell r="G1152">
            <v>3202285244</v>
          </cell>
        </row>
        <row r="1153">
          <cell r="E1153">
            <v>891801951</v>
          </cell>
          <cell r="F1153" t="str">
            <v>CARRERA 12 NO 25-22</v>
          </cell>
          <cell r="G1153">
            <v>3134325618</v>
          </cell>
        </row>
        <row r="1154">
          <cell r="E1154">
            <v>1002736505</v>
          </cell>
          <cell r="F1154" t="str">
            <v>CALLE 3 NO 5-30</v>
          </cell>
          <cell r="G1154">
            <v>3103391553</v>
          </cell>
        </row>
        <row r="1155">
          <cell r="E1155">
            <v>40048192</v>
          </cell>
          <cell r="F1155" t="str">
            <v>CARRERA 7 NO 22-07</v>
          </cell>
          <cell r="G1155">
            <v>0</v>
          </cell>
        </row>
        <row r="1156">
          <cell r="E1156">
            <v>1052359070</v>
          </cell>
          <cell r="F1156" t="str">
            <v>CALLE 152B NO 58C-50</v>
          </cell>
          <cell r="G1156">
            <v>3183673272</v>
          </cell>
        </row>
        <row r="1157">
          <cell r="E1157">
            <v>1056955754</v>
          </cell>
          <cell r="F1157" t="str">
            <v>VEREDA BOQUERON</v>
          </cell>
          <cell r="G1157">
            <v>3124691825</v>
          </cell>
        </row>
        <row r="1158">
          <cell r="E1158">
            <v>1056957832</v>
          </cell>
          <cell r="F1158" t="str">
            <v>VEREDA MONTOYA</v>
          </cell>
          <cell r="G1158">
            <v>3136470619</v>
          </cell>
        </row>
        <row r="1159">
          <cell r="E1159">
            <v>1077148146</v>
          </cell>
          <cell r="F1159" t="str">
            <v>CARRERA 4 NO 123</v>
          </cell>
          <cell r="G1159">
            <v>3003815205</v>
          </cell>
        </row>
        <row r="1160">
          <cell r="E1160">
            <v>1055227254</v>
          </cell>
          <cell r="F1160" t="str">
            <v>CASA 22 B. VILA MARIA</v>
          </cell>
          <cell r="G1160">
            <v>3214478911</v>
          </cell>
        </row>
        <row r="1161">
          <cell r="E1161">
            <v>800082665</v>
          </cell>
          <cell r="F1161" t="str">
            <v>CARRERA 7 NO 74-56</v>
          </cell>
          <cell r="G1161">
            <v>5934020</v>
          </cell>
        </row>
        <row r="1162">
          <cell r="E1162">
            <v>1010160340</v>
          </cell>
          <cell r="F1162" t="str">
            <v>CALLE 25 NO 18-32 L 2</v>
          </cell>
          <cell r="G1162">
            <v>0</v>
          </cell>
        </row>
        <row r="1163">
          <cell r="E1163">
            <v>46384542</v>
          </cell>
          <cell r="F1163" t="str">
            <v>TRANSVERSAL 27 NO 25-31</v>
          </cell>
          <cell r="G1163">
            <v>3138149696</v>
          </cell>
        </row>
        <row r="1164">
          <cell r="E1164">
            <v>1057919263</v>
          </cell>
          <cell r="F1164" t="str">
            <v>CARRERA 4 NO 4-24 SAN LUIS</v>
          </cell>
          <cell r="G1164">
            <v>3228560952</v>
          </cell>
        </row>
        <row r="1165">
          <cell r="E1165">
            <v>74362162</v>
          </cell>
          <cell r="F1165" t="str">
            <v>BARRIO SANTA ANA</v>
          </cell>
          <cell r="G1165">
            <v>3147771399</v>
          </cell>
        </row>
        <row r="1166">
          <cell r="E1166">
            <v>74370842</v>
          </cell>
          <cell r="F1166" t="str">
            <v>VEREDA EÑ VALLAD</v>
          </cell>
          <cell r="G1166">
            <v>3202737704</v>
          </cell>
        </row>
        <row r="1167">
          <cell r="E1167">
            <v>1023037068</v>
          </cell>
          <cell r="F1167" t="str">
            <v>CARRERA 11 NO 81-68 BOGOTA</v>
          </cell>
          <cell r="G1167">
            <v>3185446622</v>
          </cell>
        </row>
        <row r="1168">
          <cell r="E1168">
            <v>72170252</v>
          </cell>
          <cell r="F1168" t="str">
            <v>MZ 16 -5 36C-33 URBANIZACION LA CALLEJA</v>
          </cell>
          <cell r="G1168">
            <v>3214014795</v>
          </cell>
        </row>
        <row r="1169">
          <cell r="E1169">
            <v>23324536</v>
          </cell>
          <cell r="F1169" t="str">
            <v>CALLE 5 NO 6-05</v>
          </cell>
          <cell r="G1169">
            <v>3114575088</v>
          </cell>
        </row>
        <row r="1170">
          <cell r="E1170">
            <v>23337042</v>
          </cell>
          <cell r="F1170" t="str">
            <v>CARRERA 4 NO 2-83</v>
          </cell>
          <cell r="G1170">
            <v>3138226822</v>
          </cell>
        </row>
        <row r="1171">
          <cell r="E1171">
            <v>47433477</v>
          </cell>
          <cell r="F1171" t="str">
            <v>CENTRO</v>
          </cell>
          <cell r="G1171">
            <v>3143926321</v>
          </cell>
        </row>
        <row r="1172">
          <cell r="E1172">
            <v>1118530812</v>
          </cell>
          <cell r="F1172" t="str">
            <v>BARRIOPARAISO CASA 37 SABANALRGA</v>
          </cell>
          <cell r="G1172">
            <v>3134543395</v>
          </cell>
        </row>
        <row r="1173">
          <cell r="E1173">
            <v>79467445</v>
          </cell>
          <cell r="F1173" t="str">
            <v>CARRERA 22 N 26-23</v>
          </cell>
          <cell r="G1173">
            <v>0</v>
          </cell>
        </row>
        <row r="1174">
          <cell r="E1174">
            <v>74130335</v>
          </cell>
          <cell r="F1174" t="str">
            <v>CALLE 27 NO 22-70</v>
          </cell>
          <cell r="G1174">
            <v>6087851248</v>
          </cell>
        </row>
        <row r="1175">
          <cell r="E1175">
            <v>891856147</v>
          </cell>
          <cell r="F1175" t="str">
            <v>CARRERA 13 NO 15 36</v>
          </cell>
          <cell r="G1175">
            <v>3152932006</v>
          </cell>
        </row>
        <row r="1176">
          <cell r="E1176">
            <v>900031780</v>
          </cell>
          <cell r="F1176" t="str">
            <v>AV LIBERTADORES NO. 22-71</v>
          </cell>
          <cell r="G1176">
            <v>7850541</v>
          </cell>
        </row>
        <row r="1177">
          <cell r="E1177">
            <v>23855363</v>
          </cell>
          <cell r="F1177" t="str">
            <v>AV LIBERTADORES NO 22-21</v>
          </cell>
          <cell r="G1177">
            <v>3158031907</v>
          </cell>
        </row>
        <row r="1178">
          <cell r="E1178">
            <v>1053604581</v>
          </cell>
          <cell r="F1178" t="str">
            <v>CALLE 27 N 17-27</v>
          </cell>
          <cell r="G1178">
            <v>7850454</v>
          </cell>
        </row>
        <row r="1179">
          <cell r="E1179">
            <v>23582510</v>
          </cell>
          <cell r="F1179" t="str">
            <v>CALLE 6 NO 1A-103 SOGAMOSO</v>
          </cell>
          <cell r="G1179">
            <v>3124774256</v>
          </cell>
        </row>
        <row r="1180">
          <cell r="E1180">
            <v>1002547970</v>
          </cell>
          <cell r="F1180" t="str">
            <v>CARRERA 5 NO 3-09</v>
          </cell>
          <cell r="G1180">
            <v>3143237469</v>
          </cell>
        </row>
        <row r="1181">
          <cell r="E1181">
            <v>9398685</v>
          </cell>
          <cell r="F1181" t="str">
            <v>CALLE 27 NO 20-42</v>
          </cell>
          <cell r="G1181">
            <v>3173739939</v>
          </cell>
        </row>
        <row r="1182">
          <cell r="E1182">
            <v>1053587928</v>
          </cell>
          <cell r="F1182" t="str">
            <v>CARRERA 9 NO 8-23 NOBSA</v>
          </cell>
          <cell r="G1182">
            <v>3017149698</v>
          </cell>
        </row>
        <row r="1183">
          <cell r="E1183">
            <v>46681264</v>
          </cell>
          <cell r="F1183" t="str">
            <v>CENTRO</v>
          </cell>
          <cell r="G1183">
            <v>0</v>
          </cell>
        </row>
        <row r="1184">
          <cell r="E1184">
            <v>9531397</v>
          </cell>
          <cell r="F1184" t="str">
            <v>CENTRO</v>
          </cell>
          <cell r="G1184">
            <v>0</v>
          </cell>
        </row>
        <row r="1185">
          <cell r="E1185">
            <v>1002621824</v>
          </cell>
          <cell r="F1185" t="str">
            <v>CALLE 11 NO 9 67</v>
          </cell>
          <cell r="G1185">
            <v>3115239611</v>
          </cell>
        </row>
        <row r="1186">
          <cell r="E1186">
            <v>40035450</v>
          </cell>
          <cell r="F1186" t="str">
            <v>CRA 22 NO 25-63</v>
          </cell>
          <cell r="G1186">
            <v>3204913099</v>
          </cell>
        </row>
        <row r="1187">
          <cell r="E1187">
            <v>1049620201</v>
          </cell>
          <cell r="F1187" t="str">
            <v>AV UNIVERSITARIA 65-02</v>
          </cell>
          <cell r="G1187">
            <v>3212087681</v>
          </cell>
        </row>
        <row r="1188">
          <cell r="E1188">
            <v>1007420408</v>
          </cell>
          <cell r="F1188" t="str">
            <v>CENTRO SOGAMOSO</v>
          </cell>
          <cell r="G1188">
            <v>3112913918</v>
          </cell>
        </row>
        <row r="1189">
          <cell r="E1189">
            <v>7276345</v>
          </cell>
          <cell r="F1189" t="str">
            <v>CALLE 7A NO 9-80</v>
          </cell>
          <cell r="G1189">
            <v>3123752168</v>
          </cell>
        </row>
        <row r="1190">
          <cell r="E1190">
            <v>4046991</v>
          </cell>
          <cell r="F1190" t="str">
            <v>CALLE 26 NO 22-11</v>
          </cell>
          <cell r="G1190">
            <v>3142441817</v>
          </cell>
        </row>
        <row r="1191">
          <cell r="E1191">
            <v>20531318</v>
          </cell>
          <cell r="F1191" t="str">
            <v>CRA 22 NO 25-51</v>
          </cell>
          <cell r="G1191">
            <v>3103093249</v>
          </cell>
        </row>
        <row r="1192">
          <cell r="E1192">
            <v>891800045</v>
          </cell>
          <cell r="F1192" t="str">
            <v>TERMINAL DE TRANSPORTE</v>
          </cell>
          <cell r="G1192">
            <v>7705815</v>
          </cell>
        </row>
        <row r="1193">
          <cell r="E1193">
            <v>891800075</v>
          </cell>
          <cell r="F1193" t="str">
            <v>CRRERA 12 NO 47-85</v>
          </cell>
          <cell r="G1193">
            <v>7702440</v>
          </cell>
        </row>
        <row r="1194">
          <cell r="E1194">
            <v>901495326</v>
          </cell>
          <cell r="F1194" t="str">
            <v>CARRERA 18 NO 31-23 SUR</v>
          </cell>
          <cell r="G1194">
            <v>3133772985</v>
          </cell>
        </row>
        <row r="1195">
          <cell r="E1195">
            <v>800148959</v>
          </cell>
          <cell r="F1195" t="str">
            <v>CRA 14 NO 15-16</v>
          </cell>
          <cell r="G1195">
            <v>7621790</v>
          </cell>
        </row>
        <row r="1196">
          <cell r="E1196">
            <v>74334836</v>
          </cell>
          <cell r="F1196" t="str">
            <v>VEREDA CENTRO ARRIBA</v>
          </cell>
          <cell r="G1196">
            <v>3112467206</v>
          </cell>
        </row>
        <row r="1197">
          <cell r="E1197">
            <v>4204625</v>
          </cell>
          <cell r="F1197" t="str">
            <v>VEREDA BOCA DE MONTE PAYA</v>
          </cell>
          <cell r="G1197">
            <v>3209100104</v>
          </cell>
        </row>
        <row r="1198">
          <cell r="E1198">
            <v>1053302127</v>
          </cell>
          <cell r="F1198" t="str">
            <v>CARRERA 4 NO 3-32</v>
          </cell>
          <cell r="G1198">
            <v>3223787523</v>
          </cell>
        </row>
        <row r="1199">
          <cell r="E1199">
            <v>1002528518</v>
          </cell>
          <cell r="F1199" t="str">
            <v>VEREDA SALITRE ALTO</v>
          </cell>
          <cell r="G1199">
            <v>3006065248</v>
          </cell>
        </row>
        <row r="1200">
          <cell r="E1200">
            <v>1143377049</v>
          </cell>
          <cell r="F1200" t="str">
            <v>ESE SALUD AQUITANIA</v>
          </cell>
          <cell r="G1200">
            <v>0</v>
          </cell>
        </row>
        <row r="1201">
          <cell r="E1201">
            <v>1118530734</v>
          </cell>
          <cell r="F1201" t="str">
            <v>CARRERA 11 SUR NO 23A-107</v>
          </cell>
          <cell r="G1201">
            <v>3106184138</v>
          </cell>
        </row>
        <row r="1202">
          <cell r="E1202">
            <v>1052412594</v>
          </cell>
          <cell r="F1202" t="str">
            <v>CENTRO DE SALUD DE TASCO</v>
          </cell>
          <cell r="G1202">
            <v>0</v>
          </cell>
        </row>
        <row r="1203">
          <cell r="E1203">
            <v>1053665228</v>
          </cell>
          <cell r="F1203" t="str">
            <v>CARRERA 7 NO 6-68</v>
          </cell>
          <cell r="G1203">
            <v>3133582445</v>
          </cell>
        </row>
        <row r="1204">
          <cell r="E1204">
            <v>1052314442</v>
          </cell>
          <cell r="F1204" t="str">
            <v>VEREDA EL RINCON</v>
          </cell>
          <cell r="G1204">
            <v>3148008023</v>
          </cell>
        </row>
        <row r="1205">
          <cell r="E1205">
            <v>1049615545</v>
          </cell>
          <cell r="F1205" t="str">
            <v>KILOMETRO 12 VIA TUNJA PAIPA</v>
          </cell>
          <cell r="G1205">
            <v>3112871254</v>
          </cell>
        </row>
        <row r="1206">
          <cell r="E1206">
            <v>1057872525</v>
          </cell>
          <cell r="F1206" t="str">
            <v>CENTRO PAYA</v>
          </cell>
          <cell r="G1206">
            <v>3217081721</v>
          </cell>
        </row>
        <row r="1207">
          <cell r="E1207">
            <v>1049632105</v>
          </cell>
          <cell r="F1207" t="str">
            <v>CALLE 18 NO 10-61</v>
          </cell>
          <cell r="G1207">
            <v>3112647166</v>
          </cell>
        </row>
        <row r="1208">
          <cell r="E1208">
            <v>1057584129</v>
          </cell>
          <cell r="F1208" t="str">
            <v>ESE DE LABRANZAGRANDE</v>
          </cell>
          <cell r="G1208">
            <v>3203909819</v>
          </cell>
        </row>
        <row r="1209">
          <cell r="E1209">
            <v>1051477572</v>
          </cell>
          <cell r="F1209" t="str">
            <v>CARRERA 10 NO 9-41</v>
          </cell>
          <cell r="G1209">
            <v>3242703581</v>
          </cell>
        </row>
        <row r="1210">
          <cell r="E1210">
            <v>1193115481</v>
          </cell>
          <cell r="F1210" t="str">
            <v>VEREDA HATOVIEJO CUARTO TINTAL</v>
          </cell>
          <cell r="G1210">
            <v>3215938910</v>
          </cell>
        </row>
        <row r="1211">
          <cell r="E1211">
            <v>1057464654</v>
          </cell>
          <cell r="F1211" t="str">
            <v>CENTRO RAMIRIQUI</v>
          </cell>
          <cell r="G1211">
            <v>3106996036</v>
          </cell>
        </row>
        <row r="1212">
          <cell r="E1212">
            <v>1051476332</v>
          </cell>
          <cell r="F1212" t="str">
            <v>CARRERA 8 NO 56-39</v>
          </cell>
          <cell r="G1212">
            <v>3223358744</v>
          </cell>
        </row>
        <row r="1213">
          <cell r="E1213">
            <v>4083819</v>
          </cell>
          <cell r="F1213" t="str">
            <v>TR 8 NO 3-36 CORRALES</v>
          </cell>
          <cell r="G1213">
            <v>3142945603</v>
          </cell>
        </row>
        <row r="1214">
          <cell r="E1214">
            <v>1118548188</v>
          </cell>
          <cell r="F1214" t="str">
            <v>CALLE 8 NO 25-23 SOGAMOSO</v>
          </cell>
          <cell r="G1214">
            <v>3208524661</v>
          </cell>
        </row>
        <row r="1215">
          <cell r="E1215">
            <v>46382121</v>
          </cell>
          <cell r="F1215" t="str">
            <v>CALLE 4 NO 3-39</v>
          </cell>
          <cell r="G1215">
            <v>3228669354</v>
          </cell>
        </row>
        <row r="1216">
          <cell r="E1216">
            <v>1057578033</v>
          </cell>
          <cell r="F1216" t="str">
            <v>CRA 4 NO 9-51</v>
          </cell>
          <cell r="G1216">
            <v>3143757544</v>
          </cell>
        </row>
        <row r="1217">
          <cell r="E1217">
            <v>1057577034</v>
          </cell>
          <cell r="F1217" t="str">
            <v>CRA 19A NO 22B-04</v>
          </cell>
          <cell r="G1217">
            <v>3214572428</v>
          </cell>
        </row>
        <row r="1218">
          <cell r="E1218">
            <v>901388960</v>
          </cell>
          <cell r="F1218" t="str">
            <v>AVENIDA LIBERTADORES NO 26-22</v>
          </cell>
          <cell r="G1218">
            <v>3009125377</v>
          </cell>
        </row>
        <row r="1219">
          <cell r="E1219">
            <v>1002394860</v>
          </cell>
          <cell r="F1219" t="str">
            <v>CALLE 3 NO 3-07 SOCOTA</v>
          </cell>
          <cell r="G1219">
            <v>3104869408</v>
          </cell>
        </row>
        <row r="1220">
          <cell r="E1220">
            <v>24219049</v>
          </cell>
          <cell r="F1220" t="str">
            <v>VEREDA MONTOYA</v>
          </cell>
          <cell r="G1220">
            <v>3138410079</v>
          </cell>
        </row>
        <row r="1221">
          <cell r="E1221">
            <v>1053341544</v>
          </cell>
          <cell r="F1221" t="str">
            <v>CENTRO URBANO MARIPI</v>
          </cell>
          <cell r="G1221">
            <v>3177434929</v>
          </cell>
        </row>
        <row r="1222">
          <cell r="E1222">
            <v>24218838</v>
          </cell>
          <cell r="F1222" t="str">
            <v>CALLE 11 NO 5A-06</v>
          </cell>
          <cell r="G1222">
            <v>3205201414</v>
          </cell>
        </row>
        <row r="1223">
          <cell r="E1223">
            <v>1057588569</v>
          </cell>
          <cell r="F1223" t="str">
            <v>CALLE 43 NO 10A-224</v>
          </cell>
          <cell r="G1223">
            <v>3224661969</v>
          </cell>
        </row>
        <row r="1224">
          <cell r="E1224">
            <v>1002735561</v>
          </cell>
          <cell r="F1224" t="str">
            <v>VEREDA TORRES RAQUIRA</v>
          </cell>
          <cell r="G1224">
            <v>3112351271</v>
          </cell>
        </row>
        <row r="1225">
          <cell r="E1225">
            <v>1057893333</v>
          </cell>
          <cell r="F1225" t="str">
            <v>AUTOSERVICIO DANY</v>
          </cell>
          <cell r="G1225">
            <v>3115759728</v>
          </cell>
        </row>
        <row r="1226">
          <cell r="E1226">
            <v>23781439</v>
          </cell>
          <cell r="F1226" t="str">
            <v>CALLE 20 NO 3-48</v>
          </cell>
          <cell r="G1226">
            <v>3108653870</v>
          </cell>
        </row>
        <row r="1227">
          <cell r="E1227">
            <v>39687171</v>
          </cell>
          <cell r="F1227" t="str">
            <v>CARRERA 18 NO 137-58</v>
          </cell>
          <cell r="G1227">
            <v>3103223235</v>
          </cell>
        </row>
        <row r="1228">
          <cell r="E1228">
            <v>1057596274</v>
          </cell>
          <cell r="F1228" t="str">
            <v>VEREDA HATOLAGUNA</v>
          </cell>
          <cell r="G1228">
            <v>3174501883</v>
          </cell>
        </row>
        <row r="1229">
          <cell r="E1229">
            <v>1055670541</v>
          </cell>
          <cell r="F1229" t="str">
            <v>BARRIO PRIMAVERA</v>
          </cell>
          <cell r="G1229">
            <v>3112647849</v>
          </cell>
        </row>
        <row r="1230">
          <cell r="E1230">
            <v>46677768</v>
          </cell>
          <cell r="F1230" t="str">
            <v>CENTRO SAN PABLO DE BORBUR</v>
          </cell>
          <cell r="G1230">
            <v>0</v>
          </cell>
        </row>
        <row r="1231">
          <cell r="E1231">
            <v>1051477971</v>
          </cell>
          <cell r="F1231" t="str">
            <v>CALLE 4 NO 10-49 C 210</v>
          </cell>
          <cell r="G1231">
            <v>3219306530</v>
          </cell>
        </row>
        <row r="1232">
          <cell r="E1232">
            <v>24197056</v>
          </cell>
          <cell r="F1232" t="str">
            <v>CRA 6 NO 5 17</v>
          </cell>
          <cell r="G1232">
            <v>3102322035</v>
          </cell>
        </row>
        <row r="1233">
          <cell r="E1233">
            <v>1056956902</v>
          </cell>
          <cell r="F1233" t="str">
            <v>CALLE 2 NO 2-95</v>
          </cell>
          <cell r="G1233">
            <v>7251479</v>
          </cell>
        </row>
        <row r="1234">
          <cell r="E1234">
            <v>79685047</v>
          </cell>
          <cell r="F1234" t="str">
            <v>CALLE 18 N 9-89</v>
          </cell>
          <cell r="G1234">
            <v>0</v>
          </cell>
        </row>
        <row r="1235">
          <cell r="E1235">
            <v>1053512782</v>
          </cell>
          <cell r="F1235" t="str">
            <v>CARRERA 3 NO 1-114 GAMEZA</v>
          </cell>
          <cell r="G1235">
            <v>3202313810</v>
          </cell>
        </row>
        <row r="1236">
          <cell r="E1236">
            <v>74183054</v>
          </cell>
          <cell r="F1236" t="str">
            <v>CRR 12 N 12-45</v>
          </cell>
          <cell r="G1236">
            <v>0</v>
          </cell>
        </row>
        <row r="1237">
          <cell r="E1237">
            <v>901697051</v>
          </cell>
          <cell r="F1237" t="str">
            <v>CALLE 16 NO 16-31</v>
          </cell>
          <cell r="G1237">
            <v>3107838647</v>
          </cell>
        </row>
        <row r="1238">
          <cell r="E1238">
            <v>901143311</v>
          </cell>
          <cell r="F1238" t="str">
            <v>CARRERA 43 NO 15 SUR 15 ED XEROX OF 802</v>
          </cell>
          <cell r="G1238">
            <v>5189624</v>
          </cell>
        </row>
        <row r="1239">
          <cell r="E1239">
            <v>1057570271</v>
          </cell>
          <cell r="F1239" t="str">
            <v>CARRERA 4 NO 10-60B P DE RIO</v>
          </cell>
          <cell r="G1239">
            <v>3203818501</v>
          </cell>
        </row>
        <row r="1240">
          <cell r="E1240">
            <v>1002548090</v>
          </cell>
          <cell r="F1240" t="str">
            <v>BARRIO SAN JOSE CASA 23</v>
          </cell>
          <cell r="G1240">
            <v>3138460357</v>
          </cell>
        </row>
        <row r="1241">
          <cell r="E1241">
            <v>24149593</v>
          </cell>
          <cell r="F1241" t="str">
            <v>CRA 7 NO 2-75</v>
          </cell>
          <cell r="G1241" t="str">
            <v>3124613025_x000D_
3124613025</v>
          </cell>
        </row>
        <row r="1242">
          <cell r="E1242">
            <v>79614809</v>
          </cell>
          <cell r="F1242" t="str">
            <v>CENTRO TASCO</v>
          </cell>
          <cell r="G1242">
            <v>3138744626</v>
          </cell>
        </row>
        <row r="1243">
          <cell r="E1243">
            <v>23324227</v>
          </cell>
          <cell r="F1243" t="str">
            <v>CRA 8 NO 6-38</v>
          </cell>
          <cell r="G1243">
            <v>3132664186</v>
          </cell>
        </row>
        <row r="1244">
          <cell r="E1244">
            <v>46457752</v>
          </cell>
          <cell r="F1244" t="str">
            <v>CALLE 3 NO 5-21</v>
          </cell>
          <cell r="G1244">
            <v>3124076466</v>
          </cell>
        </row>
        <row r="1245">
          <cell r="E1245">
            <v>901232690</v>
          </cell>
          <cell r="F1245" t="str">
            <v>ESE D EPAYA</v>
          </cell>
          <cell r="G1245">
            <v>0</v>
          </cell>
        </row>
        <row r="1246">
          <cell r="E1246">
            <v>901329864</v>
          </cell>
          <cell r="F1246" t="str">
            <v>CALLE 20 NO 17-108</v>
          </cell>
          <cell r="G1246">
            <v>3144494259</v>
          </cell>
        </row>
        <row r="1247">
          <cell r="E1247">
            <v>901544869</v>
          </cell>
          <cell r="F1247" t="str">
            <v>CARRERA 4 NO 39-85</v>
          </cell>
          <cell r="G1247">
            <v>3204400345</v>
          </cell>
        </row>
        <row r="1248">
          <cell r="E1248">
            <v>830080930</v>
          </cell>
          <cell r="F1248" t="str">
            <v>CRA 27A NO 24B 38</v>
          </cell>
          <cell r="G1248">
            <v>2696248</v>
          </cell>
        </row>
        <row r="1249">
          <cell r="E1249">
            <v>23422934</v>
          </cell>
          <cell r="F1249" t="str">
            <v>CARRERA 5 NO 2-13</v>
          </cell>
          <cell r="G1249">
            <v>3107571632</v>
          </cell>
        </row>
        <row r="1250">
          <cell r="E1250">
            <v>891857881</v>
          </cell>
          <cell r="F1250" t="str">
            <v>CARRERA 12 NO 11-65 LOCAL 24</v>
          </cell>
          <cell r="G1250">
            <v>3108066673</v>
          </cell>
        </row>
        <row r="1251">
          <cell r="E1251">
            <v>3155777</v>
          </cell>
          <cell r="F1251" t="str">
            <v>CENTRO LABRANZAGRANDE</v>
          </cell>
          <cell r="G1251">
            <v>3214471107</v>
          </cell>
        </row>
        <row r="1252">
          <cell r="E1252">
            <v>1058324351</v>
          </cell>
          <cell r="F1252" t="str">
            <v>CALLE 4 NO 4-38</v>
          </cell>
          <cell r="G1252">
            <v>3224117433</v>
          </cell>
        </row>
        <row r="1253">
          <cell r="E1253">
            <v>1049621350</v>
          </cell>
          <cell r="F1253" t="str">
            <v>CRA 17 NO 10-09</v>
          </cell>
          <cell r="G1253">
            <v>3208487831</v>
          </cell>
        </row>
        <row r="1254">
          <cell r="E1254">
            <v>33369065</v>
          </cell>
          <cell r="F1254" t="str">
            <v>LOQUE L8 FLORIDA</v>
          </cell>
          <cell r="G1254">
            <v>3103183409</v>
          </cell>
        </row>
        <row r="1255">
          <cell r="E1255">
            <v>1000696762</v>
          </cell>
          <cell r="F1255" t="str">
            <v>CALLE 131 NO 46-61 BOOGTA</v>
          </cell>
          <cell r="G1255">
            <v>3213702695</v>
          </cell>
        </row>
        <row r="1256">
          <cell r="E1256">
            <v>91296457</v>
          </cell>
          <cell r="F1256" t="str">
            <v>CARRERA 19 NO 15-27</v>
          </cell>
          <cell r="G1256">
            <v>3103102927</v>
          </cell>
        </row>
        <row r="1257">
          <cell r="E1257">
            <v>1002328820</v>
          </cell>
          <cell r="F1257" t="str">
            <v>CARRERA 19 NO 15-27 DUITAMA</v>
          </cell>
          <cell r="G1257">
            <v>3206644227</v>
          </cell>
        </row>
        <row r="1258">
          <cell r="E1258">
            <v>1054092420</v>
          </cell>
          <cell r="F1258" t="str">
            <v>BARRIO GALAN CASA 15</v>
          </cell>
          <cell r="G1258">
            <v>3102710246</v>
          </cell>
        </row>
        <row r="1259">
          <cell r="E1259">
            <v>1030558222</v>
          </cell>
          <cell r="F1259" t="str">
            <v>ESE SAN PABLO DE BORBUR</v>
          </cell>
          <cell r="G1259">
            <v>0</v>
          </cell>
        </row>
        <row r="1260">
          <cell r="E1260">
            <v>1057464276</v>
          </cell>
          <cell r="F1260" t="str">
            <v>CALLE 3 NO 4-37</v>
          </cell>
          <cell r="G1260">
            <v>3006684657</v>
          </cell>
        </row>
        <row r="1261">
          <cell r="E1261">
            <v>92546796</v>
          </cell>
          <cell r="F1261" t="str">
            <v>TUNJA</v>
          </cell>
          <cell r="G1261">
            <v>3215108977</v>
          </cell>
        </row>
        <row r="1262">
          <cell r="E1262">
            <v>1049604817</v>
          </cell>
          <cell r="F1262" t="str">
            <v>CALLE 43 NO 7A-14</v>
          </cell>
          <cell r="G1262">
            <v>3108622482</v>
          </cell>
        </row>
        <row r="1263">
          <cell r="E1263">
            <v>23449523</v>
          </cell>
          <cell r="F1263" t="str">
            <v>CRA 4 NO 10-30</v>
          </cell>
          <cell r="G1263">
            <v>3115326287</v>
          </cell>
        </row>
        <row r="1264">
          <cell r="E1264">
            <v>1052313388</v>
          </cell>
          <cell r="F1264" t="str">
            <v>CRA 5 NO 4-19</v>
          </cell>
          <cell r="G1264">
            <v>3214028072</v>
          </cell>
        </row>
        <row r="1265">
          <cell r="E1265">
            <v>1095808296</v>
          </cell>
          <cell r="F1265" t="str">
            <v>CARRERA 18 NO 17-23</v>
          </cell>
          <cell r="G1265">
            <v>7628766</v>
          </cell>
        </row>
        <row r="1266">
          <cell r="E1266">
            <v>46374147</v>
          </cell>
          <cell r="F1266" t="str">
            <v>CALLE 4 NO 1-53</v>
          </cell>
          <cell r="G1266">
            <v>3213164651</v>
          </cell>
        </row>
        <row r="1267">
          <cell r="E1267">
            <v>1030571799</v>
          </cell>
          <cell r="F1267" t="str">
            <v>AV PRADILLA NO 2-00 BOGOTA</v>
          </cell>
          <cell r="G1267">
            <v>3197125484</v>
          </cell>
        </row>
        <row r="1268">
          <cell r="E1268">
            <v>46674575</v>
          </cell>
          <cell r="F1268" t="str">
            <v>CALLE 25 NO 15-50</v>
          </cell>
          <cell r="G1268">
            <v>0</v>
          </cell>
        </row>
        <row r="1269">
          <cell r="E1269">
            <v>1082881886</v>
          </cell>
          <cell r="F1269" t="str">
            <v>CALLE 3 NO 5-50 SAN LUIS DE GACENO</v>
          </cell>
          <cell r="G1269">
            <v>3147304941</v>
          </cell>
        </row>
        <row r="1270">
          <cell r="E1270">
            <v>1026284518</v>
          </cell>
          <cell r="F1270" t="str">
            <v>CARRERA 3 NO 7-21</v>
          </cell>
          <cell r="G1270">
            <v>7327546</v>
          </cell>
        </row>
        <row r="1271">
          <cell r="E1271">
            <v>7320328</v>
          </cell>
          <cell r="F1271" t="str">
            <v>ESE DE SAN PABLO DE B</v>
          </cell>
          <cell r="G1271">
            <v>0</v>
          </cell>
        </row>
        <row r="1272">
          <cell r="E1272">
            <v>27983703</v>
          </cell>
          <cell r="F1272" t="str">
            <v>FRENTE PARQUE JORGE ELIECER GAITAN</v>
          </cell>
          <cell r="G1272">
            <v>3124369062</v>
          </cell>
        </row>
        <row r="1273">
          <cell r="E1273">
            <v>23582830</v>
          </cell>
          <cell r="F1273" t="str">
            <v>CARRERA 3 NO 2-2</v>
          </cell>
          <cell r="G1273">
            <v>3123676798</v>
          </cell>
        </row>
        <row r="1274">
          <cell r="E1274">
            <v>72326995</v>
          </cell>
          <cell r="F1274" t="str">
            <v>CARRERA 6 NO 4A-07</v>
          </cell>
          <cell r="G1274">
            <v>3204348849</v>
          </cell>
        </row>
        <row r="1275">
          <cell r="E1275">
            <v>1042968327</v>
          </cell>
          <cell r="F1275" t="str">
            <v>CARRERA 13B1 51-39</v>
          </cell>
          <cell r="G1275">
            <v>3227355792</v>
          </cell>
        </row>
        <row r="1276">
          <cell r="E1276">
            <v>1057465886</v>
          </cell>
          <cell r="F1276" t="str">
            <v>CARRERA 7 NO 7-21</v>
          </cell>
          <cell r="G1276">
            <v>7327546</v>
          </cell>
        </row>
        <row r="1277">
          <cell r="E1277">
            <v>23966105</v>
          </cell>
          <cell r="F1277" t="str">
            <v>VRA RESGUARDO ALTO</v>
          </cell>
          <cell r="G1277">
            <v>3142752240</v>
          </cell>
        </row>
        <row r="1278">
          <cell r="E1278">
            <v>47430625</v>
          </cell>
          <cell r="F1278" t="str">
            <v>DIAGONAL4A NO 15-03</v>
          </cell>
          <cell r="G1278">
            <v>3144358083</v>
          </cell>
        </row>
        <row r="1279">
          <cell r="E1279">
            <v>9396801</v>
          </cell>
          <cell r="F1279" t="str">
            <v>CALLE 2B NO 28-37</v>
          </cell>
          <cell r="G1279">
            <v>3118407352</v>
          </cell>
        </row>
        <row r="1280">
          <cell r="E1280">
            <v>1002524465</v>
          </cell>
          <cell r="F1280" t="str">
            <v>CALLE 19 NO 17-18</v>
          </cell>
          <cell r="G1280">
            <v>3002306814</v>
          </cell>
        </row>
        <row r="1281">
          <cell r="E1281">
            <v>1056955305</v>
          </cell>
          <cell r="F1281" t="str">
            <v>VEREDA MONTOYA</v>
          </cell>
          <cell r="G1281">
            <v>3134879281</v>
          </cell>
        </row>
        <row r="1282">
          <cell r="E1282">
            <v>52929828</v>
          </cell>
          <cell r="F1282" t="str">
            <v>CALLE 128 NO 53B-26</v>
          </cell>
          <cell r="G1282">
            <v>3102161692</v>
          </cell>
        </row>
        <row r="1283">
          <cell r="E1283">
            <v>33366833</v>
          </cell>
          <cell r="G1283">
            <v>0</v>
          </cell>
        </row>
        <row r="1284">
          <cell r="E1284">
            <v>1002528233</v>
          </cell>
          <cell r="F1284" t="str">
            <v>CENTRO SOCOTA</v>
          </cell>
          <cell r="G1284">
            <v>3217071219</v>
          </cell>
        </row>
        <row r="1285">
          <cell r="E1285">
            <v>40045371</v>
          </cell>
          <cell r="F1285" t="str">
            <v>TUNJA</v>
          </cell>
          <cell r="G1285">
            <v>3115251168</v>
          </cell>
        </row>
        <row r="1286">
          <cell r="E1286">
            <v>35426637</v>
          </cell>
          <cell r="F1286" t="str">
            <v>VEREDA PEÑA ABAJO TINJACA</v>
          </cell>
          <cell r="G1286">
            <v>3208341885</v>
          </cell>
        </row>
        <row r="1287">
          <cell r="E1287">
            <v>1056555227</v>
          </cell>
          <cell r="F1287" t="str">
            <v>CALLE 7 NO 7-24</v>
          </cell>
          <cell r="G1287">
            <v>3224160644</v>
          </cell>
        </row>
        <row r="1288">
          <cell r="E1288">
            <v>3337794</v>
          </cell>
          <cell r="G1288">
            <v>0</v>
          </cell>
        </row>
        <row r="1289">
          <cell r="E1289">
            <v>33377944</v>
          </cell>
          <cell r="F1289" t="str">
            <v>CALLE 21 NO 11-08</v>
          </cell>
          <cell r="G1289">
            <v>3114966303</v>
          </cell>
        </row>
        <row r="1290">
          <cell r="E1290">
            <v>23689267</v>
          </cell>
          <cell r="F1290" t="str">
            <v>CENTRO</v>
          </cell>
          <cell r="G1290">
            <v>7320545</v>
          </cell>
        </row>
        <row r="1291">
          <cell r="E1291">
            <v>46356992</v>
          </cell>
          <cell r="F1291" t="str">
            <v>CRA 17 NO 1-27</v>
          </cell>
          <cell r="G1291">
            <v>3138085365</v>
          </cell>
        </row>
        <row r="1292">
          <cell r="E1292">
            <v>23912622</v>
          </cell>
          <cell r="F1292" t="str">
            <v>CARRERA 5 NO 8-17</v>
          </cell>
          <cell r="G1292">
            <v>3204186672</v>
          </cell>
        </row>
        <row r="1293">
          <cell r="E1293">
            <v>1077145920</v>
          </cell>
          <cell r="F1293" t="str">
            <v>VEREDA NUEVE PILAS UMBITA</v>
          </cell>
          <cell r="G1293">
            <v>3118690254</v>
          </cell>
        </row>
        <row r="1294">
          <cell r="E1294">
            <v>1118557355</v>
          </cell>
          <cell r="F1294" t="str">
            <v>CENTRO PISBA</v>
          </cell>
          <cell r="G1294">
            <v>3203368451</v>
          </cell>
        </row>
        <row r="1295">
          <cell r="E1295">
            <v>46386570</v>
          </cell>
          <cell r="F1295" t="str">
            <v>VEREDA PLATANALES PISBA</v>
          </cell>
          <cell r="G1295">
            <v>3203189093</v>
          </cell>
        </row>
        <row r="1296">
          <cell r="E1296">
            <v>1002727402</v>
          </cell>
          <cell r="F1296" t="str">
            <v>CENTRO TOPAGA</v>
          </cell>
          <cell r="G1296">
            <v>3105015064</v>
          </cell>
        </row>
        <row r="1297">
          <cell r="E1297">
            <v>46666550</v>
          </cell>
          <cell r="F1297" t="str">
            <v>CALLE 15 NO 13-08</v>
          </cell>
          <cell r="G1297">
            <v>3115363138</v>
          </cell>
        </row>
        <row r="1298">
          <cell r="E1298">
            <v>1056931170</v>
          </cell>
          <cell r="F1298" t="str">
            <v>VILLA ZELANDIA SANTA MARIA</v>
          </cell>
          <cell r="G1298">
            <v>3102493273</v>
          </cell>
        </row>
        <row r="1299">
          <cell r="E1299">
            <v>1053800223</v>
          </cell>
          <cell r="F1299" t="str">
            <v>CALLE 8 NO 8-73</v>
          </cell>
          <cell r="G1299">
            <v>3133984722</v>
          </cell>
        </row>
        <row r="1300">
          <cell r="E1300">
            <v>52103592</v>
          </cell>
          <cell r="F1300" t="str">
            <v>CALLE 2A NO 4-47</v>
          </cell>
          <cell r="G1300">
            <v>3142051720</v>
          </cell>
        </row>
        <row r="1301">
          <cell r="E1301">
            <v>1054091545</v>
          </cell>
          <cell r="F1301" t="str">
            <v>CALLE 8 NO 10-19</v>
          </cell>
          <cell r="G1301">
            <v>3138419356</v>
          </cell>
        </row>
        <row r="1302">
          <cell r="E1302">
            <v>24219681</v>
          </cell>
          <cell r="F1302" t="str">
            <v>VEREDA SIATA</v>
          </cell>
          <cell r="G1302">
            <v>3123061278</v>
          </cell>
        </row>
        <row r="1303">
          <cell r="E1303">
            <v>23973523</v>
          </cell>
          <cell r="F1303" t="str">
            <v>VEREDA FUNZA TINJACA</v>
          </cell>
          <cell r="G1303">
            <v>3132276673</v>
          </cell>
        </row>
        <row r="1304">
          <cell r="E1304">
            <v>1020736285</v>
          </cell>
          <cell r="F1304" t="str">
            <v>CENTRO SOCOTA</v>
          </cell>
          <cell r="G1304">
            <v>3202263245</v>
          </cell>
        </row>
        <row r="1305">
          <cell r="E1305">
            <v>1118537184</v>
          </cell>
          <cell r="F1305" t="str">
            <v>MORCOTE CENTRO</v>
          </cell>
          <cell r="G1305">
            <v>3232327614</v>
          </cell>
        </row>
        <row r="1306">
          <cell r="E1306">
            <v>1057872096</v>
          </cell>
          <cell r="F1306" t="str">
            <v>CALLE 4 NO 4-5 PAYA</v>
          </cell>
          <cell r="G1306">
            <v>3134003137</v>
          </cell>
        </row>
        <row r="1307">
          <cell r="E1307">
            <v>1057872022</v>
          </cell>
          <cell r="F1307" t="str">
            <v>CENTRO PAYA</v>
          </cell>
          <cell r="G1307">
            <v>3123143902</v>
          </cell>
        </row>
        <row r="1308">
          <cell r="E1308">
            <v>1055504820</v>
          </cell>
          <cell r="F1308" t="str">
            <v>CALLE 4 NO 4-50 PAYA</v>
          </cell>
          <cell r="G1308">
            <v>3209120138</v>
          </cell>
        </row>
        <row r="1309">
          <cell r="E1309">
            <v>1057872442</v>
          </cell>
          <cell r="F1309" t="str">
            <v>B ALTOS DE SAN DIEGO PAYA</v>
          </cell>
          <cell r="G1309">
            <v>3219233376</v>
          </cell>
        </row>
        <row r="1310">
          <cell r="E1310">
            <v>1016063710</v>
          </cell>
          <cell r="F1310" t="str">
            <v>CALLE 7 NO 10-50</v>
          </cell>
          <cell r="G1310">
            <v>3105644151</v>
          </cell>
        </row>
        <row r="1311">
          <cell r="E1311">
            <v>1051210778</v>
          </cell>
          <cell r="F1311" t="str">
            <v>VEREDA SAN ISIDRO</v>
          </cell>
          <cell r="G1311">
            <v>3214275260</v>
          </cell>
        </row>
        <row r="1312">
          <cell r="E1312">
            <v>79754990</v>
          </cell>
          <cell r="F1312" t="str">
            <v>CARRERA 1 ESTE NO 58A-17</v>
          </cell>
          <cell r="G1312">
            <v>3114474289</v>
          </cell>
        </row>
        <row r="1313">
          <cell r="E1313">
            <v>1007671073</v>
          </cell>
          <cell r="F1313" t="str">
            <v>BARRIO CHCO ALTO QUIPAMA</v>
          </cell>
          <cell r="G1313">
            <v>3234168608</v>
          </cell>
        </row>
        <row r="1314">
          <cell r="E1314">
            <v>1071330444</v>
          </cell>
          <cell r="F1314" t="str">
            <v>CRA 9 NO 7-21</v>
          </cell>
          <cell r="G1314">
            <v>3213785262</v>
          </cell>
        </row>
        <row r="1315">
          <cell r="E1315">
            <v>74857602</v>
          </cell>
          <cell r="F1315" t="str">
            <v>CALLE 42 NO 6-53</v>
          </cell>
          <cell r="G1315">
            <v>3203019465</v>
          </cell>
        </row>
        <row r="1316">
          <cell r="E1316">
            <v>46683312</v>
          </cell>
          <cell r="F1316" t="str">
            <v>CALLE 25 NO 19-86 PAIPA</v>
          </cell>
          <cell r="G1316">
            <v>3043510244</v>
          </cell>
        </row>
        <row r="1317">
          <cell r="E1317">
            <v>20759226</v>
          </cell>
          <cell r="F1317" t="str">
            <v>CALLE 5 NO 6-88</v>
          </cell>
          <cell r="G1317">
            <v>3142576248</v>
          </cell>
        </row>
        <row r="1318">
          <cell r="E1318">
            <v>53113645</v>
          </cell>
          <cell r="F1318" t="str">
            <v>CARRERA 17 NO 8-51 CHIQUINQUIRA</v>
          </cell>
          <cell r="G1318">
            <v>0</v>
          </cell>
        </row>
        <row r="1319">
          <cell r="E1319">
            <v>890200463</v>
          </cell>
          <cell r="F1319" t="str">
            <v>CARRERA 21 NO 26-19</v>
          </cell>
          <cell r="G1319">
            <v>3112157818</v>
          </cell>
        </row>
        <row r="1320">
          <cell r="E1320">
            <v>1070021504</v>
          </cell>
          <cell r="F1320" t="str">
            <v>CENTRO SAN PABLO D EBORBUR</v>
          </cell>
          <cell r="G1320">
            <v>3209004410</v>
          </cell>
        </row>
        <row r="1321">
          <cell r="E1321">
            <v>1057604001</v>
          </cell>
          <cell r="F1321" t="str">
            <v>CALLE 1A SUR 11-33 POR EL CALLEJON</v>
          </cell>
          <cell r="G1321">
            <v>3138974935</v>
          </cell>
        </row>
        <row r="1322">
          <cell r="E1322">
            <v>47438012</v>
          </cell>
          <cell r="F1322" t="str">
            <v>ESE DE LABRANZAGRANDE</v>
          </cell>
          <cell r="G1322">
            <v>3115931789</v>
          </cell>
        </row>
        <row r="1323">
          <cell r="E1323">
            <v>1007493901</v>
          </cell>
          <cell r="F1323" t="str">
            <v>CALL2 NO 4 55</v>
          </cell>
          <cell r="G1323">
            <v>3142943181</v>
          </cell>
        </row>
        <row r="1324">
          <cell r="E1324">
            <v>1057918417</v>
          </cell>
          <cell r="F1324" t="str">
            <v>VEREDA E CAIRO SANTA MARIA</v>
          </cell>
          <cell r="G1324">
            <v>3134035752</v>
          </cell>
        </row>
        <row r="1325">
          <cell r="E1325">
            <v>1002693419</v>
          </cell>
          <cell r="F1325" t="str">
            <v>ESE SAN PABLO DE BORBUR</v>
          </cell>
          <cell r="G1325">
            <v>3108831069</v>
          </cell>
        </row>
        <row r="1326">
          <cell r="E1326">
            <v>1032498770</v>
          </cell>
          <cell r="F1326" t="str">
            <v>CARRERA 81B NO 22-42</v>
          </cell>
          <cell r="G1326">
            <v>3142350289</v>
          </cell>
        </row>
        <row r="1327">
          <cell r="E1327">
            <v>1056802804</v>
          </cell>
          <cell r="F1327" t="str">
            <v>CARRERA 3 NO 3-49</v>
          </cell>
          <cell r="G1327">
            <v>3142550937</v>
          </cell>
        </row>
        <row r="1328">
          <cell r="E1328">
            <v>1058038391</v>
          </cell>
          <cell r="F1328" t="str">
            <v>CALLE 6 NO 6-11</v>
          </cell>
          <cell r="G1328">
            <v>3218874984</v>
          </cell>
        </row>
        <row r="1329">
          <cell r="E1329">
            <v>1122626867</v>
          </cell>
          <cell r="F1329" t="str">
            <v>CARRERA 4 NO 4-52</v>
          </cell>
          <cell r="G1329">
            <v>3142421831</v>
          </cell>
        </row>
        <row r="1330">
          <cell r="E1330">
            <v>47420112</v>
          </cell>
          <cell r="F1330" t="str">
            <v>CALLE 13 NO 5-54</v>
          </cell>
          <cell r="G1330">
            <v>3132376563</v>
          </cell>
        </row>
        <row r="1331">
          <cell r="E1331">
            <v>70694706</v>
          </cell>
          <cell r="F1331" t="str">
            <v>CARRERA 11 NO 14-91</v>
          </cell>
          <cell r="G1331">
            <v>3172909499</v>
          </cell>
        </row>
        <row r="1332">
          <cell r="E1332">
            <v>900171211</v>
          </cell>
          <cell r="F1332" t="str">
            <v>CALLE 163 NO 16C-62</v>
          </cell>
          <cell r="G1332">
            <v>6722844</v>
          </cell>
        </row>
        <row r="1333">
          <cell r="E1333">
            <v>23552349</v>
          </cell>
          <cell r="F1333" t="str">
            <v>CARRERA 23 # 24-17</v>
          </cell>
          <cell r="G1333">
            <v>7853041</v>
          </cell>
        </row>
        <row r="1334">
          <cell r="E1334">
            <v>891800498</v>
          </cell>
          <cell r="F1334" t="str">
            <v>PALACIO DE LA TORRE</v>
          </cell>
          <cell r="G1334">
            <v>7424334</v>
          </cell>
        </row>
        <row r="1335">
          <cell r="E1335">
            <v>7170798</v>
          </cell>
          <cell r="F1335" t="str">
            <v>CALLE 139 NO 19-16 BOGOTA</v>
          </cell>
          <cell r="G1335">
            <v>17022466</v>
          </cell>
        </row>
        <row r="1336">
          <cell r="E1336">
            <v>901459714</v>
          </cell>
          <cell r="F1336" t="str">
            <v>CARRERA 6 NO 6-68</v>
          </cell>
          <cell r="G1336">
            <v>3112029564</v>
          </cell>
        </row>
        <row r="1337">
          <cell r="E1337">
            <v>7224593</v>
          </cell>
          <cell r="F1337" t="str">
            <v>CRA 19 NO 25-52</v>
          </cell>
          <cell r="G1337">
            <v>7850030</v>
          </cell>
        </row>
        <row r="1338">
          <cell r="E1338">
            <v>74348240</v>
          </cell>
          <cell r="F1338" t="str">
            <v>CALLE 46 NO 4-28</v>
          </cell>
          <cell r="G1338">
            <v>3107977780</v>
          </cell>
        </row>
        <row r="1339">
          <cell r="E1339">
            <v>24090507</v>
          </cell>
          <cell r="F1339" t="str">
            <v>CALLE 2 NO 2 -10 SOCOTA</v>
          </cell>
          <cell r="G1339">
            <v>3134779598</v>
          </cell>
        </row>
        <row r="1340">
          <cell r="E1340">
            <v>1056612851</v>
          </cell>
          <cell r="F1340" t="str">
            <v>CARRERA 5 NO 6-96</v>
          </cell>
          <cell r="G1340">
            <v>3204109288</v>
          </cell>
        </row>
        <row r="1341">
          <cell r="E1341">
            <v>52801956</v>
          </cell>
          <cell r="F1341" t="str">
            <v>CALLE 137 NO 129-27</v>
          </cell>
          <cell r="G1341">
            <v>3178466995</v>
          </cell>
        </row>
        <row r="1342">
          <cell r="E1342">
            <v>1019091550</v>
          </cell>
          <cell r="F1342" t="str">
            <v>CARRERA 8 NO 9-15</v>
          </cell>
          <cell r="G1342">
            <v>3134957400</v>
          </cell>
        </row>
        <row r="1343">
          <cell r="E1343">
            <v>1033774126</v>
          </cell>
          <cell r="F1343" t="str">
            <v>VEREDA CHIRCAL</v>
          </cell>
          <cell r="G1343">
            <v>3118123906</v>
          </cell>
        </row>
        <row r="1344">
          <cell r="E1344">
            <v>1049618295</v>
          </cell>
          <cell r="F1344" t="str">
            <v>CENTRO JERICO</v>
          </cell>
          <cell r="G1344">
            <v>3143274131</v>
          </cell>
        </row>
        <row r="1345">
          <cell r="E1345">
            <v>1053790028</v>
          </cell>
          <cell r="F1345" t="str">
            <v>CENTRO</v>
          </cell>
          <cell r="G1345">
            <v>3118265378</v>
          </cell>
        </row>
        <row r="1346">
          <cell r="E1346">
            <v>1002414924</v>
          </cell>
          <cell r="F1346" t="str">
            <v>CALLE 3 NO 10-135</v>
          </cell>
          <cell r="G1346">
            <v>3112634207</v>
          </cell>
        </row>
        <row r="1347">
          <cell r="E1347">
            <v>1058430651</v>
          </cell>
          <cell r="F1347" t="str">
            <v>VEREDA SAN ISIDRO TASCO</v>
          </cell>
          <cell r="G1347">
            <v>7879000</v>
          </cell>
        </row>
        <row r="1348">
          <cell r="E1348">
            <v>53154380</v>
          </cell>
          <cell r="F1348" t="str">
            <v>CARRERA 12 No. C. BIS 46D 27</v>
          </cell>
          <cell r="G1348">
            <v>3154471973</v>
          </cell>
        </row>
        <row r="1349">
          <cell r="E1349">
            <v>1002548053</v>
          </cell>
          <cell r="F1349" t="str">
            <v>CENTRO JERICO</v>
          </cell>
          <cell r="G1349">
            <v>3229121942</v>
          </cell>
        </row>
        <row r="1350">
          <cell r="E1350">
            <v>1002548052</v>
          </cell>
          <cell r="F1350" t="str">
            <v>CENTRO JERICO</v>
          </cell>
          <cell r="G1350">
            <v>3213071942</v>
          </cell>
        </row>
        <row r="1351">
          <cell r="E1351">
            <v>84043126</v>
          </cell>
          <cell r="F1351" t="str">
            <v>CARRERA 20 NO 10-41 LC 113</v>
          </cell>
          <cell r="G1351">
            <v>4941649</v>
          </cell>
        </row>
        <row r="1352">
          <cell r="E1352">
            <v>23963606</v>
          </cell>
          <cell r="F1352" t="str">
            <v>CRA 3 NO 7 21</v>
          </cell>
          <cell r="G1352">
            <v>3103297501</v>
          </cell>
        </row>
        <row r="1353">
          <cell r="E1353">
            <v>1054064542</v>
          </cell>
          <cell r="F1353" t="str">
            <v>CALLE 3 NO 2-47</v>
          </cell>
          <cell r="G1353">
            <v>3116061804</v>
          </cell>
        </row>
        <row r="1354">
          <cell r="E1354">
            <v>1054065222</v>
          </cell>
          <cell r="F1354" t="str">
            <v>CALLE 3 NO 2 47</v>
          </cell>
          <cell r="G1354">
            <v>3124392935</v>
          </cell>
        </row>
        <row r="1355">
          <cell r="E1355">
            <v>23932529</v>
          </cell>
          <cell r="F1355" t="str">
            <v>CENTRO PISBA</v>
          </cell>
          <cell r="G1355">
            <v>3223043422</v>
          </cell>
        </row>
        <row r="1356">
          <cell r="E1356">
            <v>52853687</v>
          </cell>
          <cell r="F1356" t="str">
            <v>CALLE 5 NO 4-01</v>
          </cell>
          <cell r="G1356">
            <v>3208246075</v>
          </cell>
        </row>
        <row r="1357">
          <cell r="E1357">
            <v>1056613711</v>
          </cell>
          <cell r="F1357" t="str">
            <v>VEREDA LLANO VERDE</v>
          </cell>
          <cell r="G1357">
            <v>3203887290</v>
          </cell>
        </row>
        <row r="1358">
          <cell r="E1358">
            <v>46372451</v>
          </cell>
          <cell r="F1358" t="str">
            <v>CALLE 7 NO 5-77</v>
          </cell>
          <cell r="G1358">
            <v>3132543324</v>
          </cell>
        </row>
        <row r="1359">
          <cell r="E1359">
            <v>46387039</v>
          </cell>
          <cell r="F1359" t="str">
            <v>CARRERA 9 NO 1 05</v>
          </cell>
          <cell r="G1359">
            <v>3204284055</v>
          </cell>
        </row>
        <row r="1360">
          <cell r="E1360">
            <v>1118541803</v>
          </cell>
          <cell r="F1360" t="str">
            <v>CALLE 5 NO 1A-40</v>
          </cell>
          <cell r="G1360">
            <v>3114763820</v>
          </cell>
        </row>
        <row r="1361">
          <cell r="E1361">
            <v>1071330203</v>
          </cell>
          <cell r="F1361" t="str">
            <v>CALLE 5 NO 6-88</v>
          </cell>
          <cell r="G1361">
            <v>3143592627</v>
          </cell>
        </row>
        <row r="1362">
          <cell r="E1362">
            <v>1052408259</v>
          </cell>
          <cell r="F1362" t="str">
            <v>CARRERA 7 NO 3A 44</v>
          </cell>
          <cell r="G1362">
            <v>3228738497</v>
          </cell>
        </row>
        <row r="1363">
          <cell r="E1363">
            <v>1057600190</v>
          </cell>
          <cell r="F1363" t="str">
            <v>CALLE 6 NO 8-72</v>
          </cell>
          <cell r="G1363">
            <v>3224700878</v>
          </cell>
        </row>
        <row r="1364">
          <cell r="E1364">
            <v>1006456390</v>
          </cell>
          <cell r="F1364" t="str">
            <v>CENTRO JERICO</v>
          </cell>
          <cell r="G1364">
            <v>3118607838</v>
          </cell>
        </row>
        <row r="1365">
          <cell r="E1365">
            <v>46383488</v>
          </cell>
          <cell r="F1365" t="str">
            <v>CARRERA 18A NO 8-14 SOGAMOSO</v>
          </cell>
          <cell r="G1365">
            <v>3146358504</v>
          </cell>
        </row>
        <row r="1366">
          <cell r="E1366">
            <v>4169534</v>
          </cell>
          <cell r="F1366" t="str">
            <v>CALLE 24 NO 22-08</v>
          </cell>
          <cell r="G1366">
            <v>7853358</v>
          </cell>
        </row>
        <row r="1367">
          <cell r="E1367">
            <v>1057463721</v>
          </cell>
          <cell r="F1367" t="str">
            <v>TRANSVERSAL 6 NO 14-20</v>
          </cell>
          <cell r="G1367">
            <v>3118663432</v>
          </cell>
        </row>
        <row r="1368">
          <cell r="E1368">
            <v>1075871457</v>
          </cell>
          <cell r="F1368" t="str">
            <v>MZ 9 CASA 17 PRIMAERA</v>
          </cell>
          <cell r="G1368">
            <v>3105886104</v>
          </cell>
        </row>
        <row r="1369">
          <cell r="E1369">
            <v>33378806</v>
          </cell>
          <cell r="F1369" t="str">
            <v>CENTRO PISBA</v>
          </cell>
          <cell r="G1369">
            <v>3205716138</v>
          </cell>
        </row>
        <row r="1370">
          <cell r="E1370">
            <v>40028220</v>
          </cell>
          <cell r="F1370" t="str">
            <v>CALLE 6 NO 7 46</v>
          </cell>
          <cell r="G1370">
            <v>3203150464</v>
          </cell>
        </row>
        <row r="1371">
          <cell r="E1371">
            <v>1049623134</v>
          </cell>
          <cell r="F1371" t="str">
            <v>DIAG 26 NO 8-120</v>
          </cell>
          <cell r="G1371">
            <v>3214130778</v>
          </cell>
        </row>
        <row r="1372">
          <cell r="E1372">
            <v>1022930100</v>
          </cell>
          <cell r="F1372" t="str">
            <v>CARRERA 19 NO 16-20</v>
          </cell>
          <cell r="G1372">
            <v>3217648952</v>
          </cell>
        </row>
        <row r="1373">
          <cell r="E1373">
            <v>1057466257</v>
          </cell>
          <cell r="F1373" t="str">
            <v>MANZANA C NO 10 B PARAISO</v>
          </cell>
          <cell r="G1373">
            <v>3138830840</v>
          </cell>
        </row>
        <row r="1374">
          <cell r="E1374">
            <v>1049639899</v>
          </cell>
          <cell r="F1374" t="str">
            <v>CALLE 45 NO 4-79</v>
          </cell>
          <cell r="G1374">
            <v>3202217055</v>
          </cell>
        </row>
        <row r="1375">
          <cell r="E1375">
            <v>1053538412</v>
          </cell>
          <cell r="F1375" t="str">
            <v>CALLE 5 NO 2-71</v>
          </cell>
          <cell r="G1375">
            <v>3108529383</v>
          </cell>
        </row>
        <row r="1376">
          <cell r="E1376">
            <v>40015808</v>
          </cell>
          <cell r="F1376" t="str">
            <v>CARRERA 5 NO 16-111</v>
          </cell>
          <cell r="G1376">
            <v>3212013496</v>
          </cell>
        </row>
        <row r="1377">
          <cell r="E1377">
            <v>1018436903</v>
          </cell>
          <cell r="F1377" t="str">
            <v>CALLE 5 NO 6-88</v>
          </cell>
          <cell r="G1377">
            <v>3144269214</v>
          </cell>
        </row>
        <row r="1378">
          <cell r="E1378">
            <v>7174859</v>
          </cell>
          <cell r="F1378" t="str">
            <v>TUNJA</v>
          </cell>
          <cell r="G1378">
            <v>3175168338</v>
          </cell>
        </row>
        <row r="1379">
          <cell r="E1379">
            <v>1054227249</v>
          </cell>
          <cell r="F1379" t="str">
            <v>CENTRO JERICO BOYACA</v>
          </cell>
          <cell r="G1379">
            <v>3103598782</v>
          </cell>
        </row>
        <row r="1380">
          <cell r="E1380">
            <v>46365667</v>
          </cell>
          <cell r="F1380" t="str">
            <v>CRA 11 NO 23A-120</v>
          </cell>
          <cell r="G1380">
            <v>3132085936</v>
          </cell>
        </row>
        <row r="1381">
          <cell r="E1381">
            <v>23691549</v>
          </cell>
          <cell r="F1381" t="str">
            <v>VDA MONQUIRA</v>
          </cell>
          <cell r="G1381">
            <v>7320545</v>
          </cell>
        </row>
        <row r="1382">
          <cell r="E1382">
            <v>40046141</v>
          </cell>
          <cell r="F1382" t="str">
            <v>BLOQUE 9 APTO 402</v>
          </cell>
          <cell r="G1382">
            <v>3118235312</v>
          </cell>
        </row>
        <row r="1383">
          <cell r="E1383">
            <v>9540305</v>
          </cell>
          <cell r="F1383" t="str">
            <v>CALLE 36 NO 161 50</v>
          </cell>
          <cell r="G1383">
            <v>3123021542</v>
          </cell>
        </row>
        <row r="1384">
          <cell r="E1384">
            <v>1053611014</v>
          </cell>
          <cell r="F1384" t="str">
            <v>CARRERA 21 NO 18-06</v>
          </cell>
          <cell r="G1384">
            <v>3104855386</v>
          </cell>
        </row>
        <row r="1385">
          <cell r="E1385">
            <v>4119245</v>
          </cell>
          <cell r="F1385" t="str">
            <v>CALLE 7 NO 2-87</v>
          </cell>
          <cell r="G1385">
            <v>3202355265</v>
          </cell>
        </row>
        <row r="1386">
          <cell r="E1386">
            <v>46356787</v>
          </cell>
          <cell r="F1386" t="str">
            <v>CALLE 4 NO 1-53</v>
          </cell>
          <cell r="G1386">
            <v>3213164651</v>
          </cell>
        </row>
        <row r="1387">
          <cell r="E1387">
            <v>1055332693</v>
          </cell>
          <cell r="F1387" t="str">
            <v>CARRERA 88 C NO 39 43 SUR</v>
          </cell>
          <cell r="G1387">
            <v>3107584326</v>
          </cell>
        </row>
        <row r="1388">
          <cell r="E1388">
            <v>1057588027</v>
          </cell>
          <cell r="F1388" t="str">
            <v>CRA 28 NO 10-67</v>
          </cell>
          <cell r="G1388">
            <v>3132166989</v>
          </cell>
        </row>
        <row r="1389">
          <cell r="E1389">
            <v>46369718</v>
          </cell>
          <cell r="F1389" t="str">
            <v>AV SAN MARTIN NO 20-106</v>
          </cell>
          <cell r="G1389">
            <v>3105859873</v>
          </cell>
        </row>
        <row r="1390">
          <cell r="E1390">
            <v>9536197</v>
          </cell>
          <cell r="F1390" t="str">
            <v>VEREDA PARROQUIA VIEJA</v>
          </cell>
          <cell r="G1390">
            <v>3041325260</v>
          </cell>
        </row>
        <row r="1391">
          <cell r="E1391">
            <v>23914454</v>
          </cell>
          <cell r="F1391" t="str">
            <v>CARRERA 3 NO 10-41</v>
          </cell>
          <cell r="G1391">
            <v>3126864279</v>
          </cell>
        </row>
        <row r="1392">
          <cell r="E1392">
            <v>1052390473</v>
          </cell>
          <cell r="F1392" t="str">
            <v>CALLE 7 NO 5-39</v>
          </cell>
          <cell r="G1392">
            <v>3143370663</v>
          </cell>
        </row>
        <row r="1393">
          <cell r="E1393">
            <v>1057589080</v>
          </cell>
          <cell r="F1393" t="str">
            <v>CARRERA 11 NO 4-39</v>
          </cell>
          <cell r="G1393">
            <v>3158277488</v>
          </cell>
        </row>
        <row r="1394">
          <cell r="E1394">
            <v>46385375</v>
          </cell>
          <cell r="F1394" t="str">
            <v>CENTRO MONGUI</v>
          </cell>
          <cell r="G1394">
            <v>3118481921</v>
          </cell>
        </row>
        <row r="1395">
          <cell r="E1395">
            <v>1058431129</v>
          </cell>
          <cell r="F1395" t="str">
            <v>CARRERA 4 NO 4-17</v>
          </cell>
          <cell r="G1395">
            <v>3142455805</v>
          </cell>
        </row>
        <row r="1396">
          <cell r="E1396">
            <v>23324998</v>
          </cell>
          <cell r="F1396" t="str">
            <v>CRA 5 NO 9-14</v>
          </cell>
          <cell r="G1396">
            <v>3102238109</v>
          </cell>
        </row>
        <row r="1397">
          <cell r="E1397">
            <v>23701801</v>
          </cell>
          <cell r="F1397" t="str">
            <v>CALLE 8 NO 4-44</v>
          </cell>
          <cell r="G1397">
            <v>3108789723</v>
          </cell>
        </row>
        <row r="1398">
          <cell r="E1398">
            <v>1052396365</v>
          </cell>
          <cell r="F1398" t="str">
            <v>ESE DE TASCO</v>
          </cell>
          <cell r="G1398">
            <v>3134168229</v>
          </cell>
        </row>
        <row r="1399">
          <cell r="E1399">
            <v>17143461</v>
          </cell>
          <cell r="F1399" t="str">
            <v>KILOMETRO 6 VIA TUNJA PAIPA</v>
          </cell>
          <cell r="G1399">
            <v>3153181525</v>
          </cell>
        </row>
        <row r="1400">
          <cell r="E1400">
            <v>1052313105</v>
          </cell>
          <cell r="F1400" t="str">
            <v>CALLE 3 NO 6-35</v>
          </cell>
          <cell r="G1400">
            <v>3134818418</v>
          </cell>
        </row>
        <row r="1401">
          <cell r="E1401">
            <v>1057602088</v>
          </cell>
          <cell r="F1401" t="str">
            <v>CALLE 3 NO 10-135</v>
          </cell>
          <cell r="G1401">
            <v>3112245798</v>
          </cell>
        </row>
        <row r="1402">
          <cell r="E1402">
            <v>55250445</v>
          </cell>
          <cell r="F1402" t="str">
            <v>CALLE 9A NO 5A-20</v>
          </cell>
          <cell r="G1402">
            <v>3163225939</v>
          </cell>
        </row>
        <row r="1403">
          <cell r="E1403">
            <v>1018500713</v>
          </cell>
          <cell r="F1403" t="str">
            <v>CARRERA 7 NO 4-123</v>
          </cell>
          <cell r="G1403">
            <v>7305054</v>
          </cell>
        </row>
        <row r="1404">
          <cell r="E1404">
            <v>19498852</v>
          </cell>
          <cell r="F1404" t="str">
            <v>TUNJA</v>
          </cell>
          <cell r="G1404">
            <v>0</v>
          </cell>
        </row>
        <row r="1405">
          <cell r="E1405">
            <v>23689754</v>
          </cell>
          <cell r="F1405" t="str">
            <v>CALLE 7 NO 7-68</v>
          </cell>
          <cell r="G1405">
            <v>3125235997</v>
          </cell>
        </row>
        <row r="1406">
          <cell r="E1406">
            <v>23605898</v>
          </cell>
          <cell r="F1406" t="str">
            <v>FINCA SAN LUIS</v>
          </cell>
          <cell r="G1406">
            <v>3204866877</v>
          </cell>
        </row>
        <row r="1407">
          <cell r="E1407">
            <v>79757539</v>
          </cell>
          <cell r="F1407" t="str">
            <v>CALLE 25 NO 15-165</v>
          </cell>
          <cell r="G1407">
            <v>3002545241</v>
          </cell>
        </row>
        <row r="1408">
          <cell r="E1408">
            <v>1057214530</v>
          </cell>
          <cell r="F1408" t="str">
            <v>MANZANA F CASA 8 SUTAMARCHAN</v>
          </cell>
          <cell r="G1408">
            <v>3223057894</v>
          </cell>
        </row>
        <row r="1409">
          <cell r="E1409">
            <v>1053322527</v>
          </cell>
          <cell r="F1409" t="str">
            <v>CALLE 5 NO 9-60 SPB</v>
          </cell>
          <cell r="G1409">
            <v>3232466794</v>
          </cell>
        </row>
        <row r="1410">
          <cell r="E1410">
            <v>1057215551</v>
          </cell>
          <cell r="F1410" t="str">
            <v>CALLE 4 NO 4-79</v>
          </cell>
          <cell r="G1410">
            <v>3106094050</v>
          </cell>
        </row>
        <row r="1411">
          <cell r="E1411">
            <v>46370445</v>
          </cell>
          <cell r="F1411" t="str">
            <v>CALLE 35 NO 10C 58</v>
          </cell>
          <cell r="G1411">
            <v>3203452965</v>
          </cell>
        </row>
        <row r="1412">
          <cell r="E1412">
            <v>1056614112</v>
          </cell>
          <cell r="F1412" t="str">
            <v>CENTRO UMBITA</v>
          </cell>
          <cell r="G1412">
            <v>3197521204</v>
          </cell>
        </row>
        <row r="1413">
          <cell r="E1413">
            <v>23854469</v>
          </cell>
          <cell r="F1413" t="str">
            <v>AVENIDA LIBERTADORES NO 20A-3</v>
          </cell>
          <cell r="G1413">
            <v>3132047533</v>
          </cell>
        </row>
        <row r="1414">
          <cell r="E1414">
            <v>46387683</v>
          </cell>
          <cell r="F1414" t="str">
            <v>CALLE 12 NO 12-36</v>
          </cell>
          <cell r="G1414">
            <v>0</v>
          </cell>
        </row>
        <row r="1415">
          <cell r="E1415">
            <v>79655156</v>
          </cell>
          <cell r="F1415" t="str">
            <v>AC 26 NO 62-47</v>
          </cell>
          <cell r="G1415">
            <v>5723182</v>
          </cell>
        </row>
        <row r="1416">
          <cell r="E1416">
            <v>80849933</v>
          </cell>
          <cell r="F1416" t="str">
            <v>CALLE 31 NO 6A-10</v>
          </cell>
          <cell r="G1416">
            <v>3104483743</v>
          </cell>
        </row>
        <row r="1417">
          <cell r="E1417">
            <v>901294241</v>
          </cell>
          <cell r="F1417" t="str">
            <v>CARRERA 20 NO 88-20</v>
          </cell>
          <cell r="G1417">
            <v>6014864436</v>
          </cell>
        </row>
        <row r="1418">
          <cell r="E1418">
            <v>1058324989</v>
          </cell>
          <cell r="F1418" t="str">
            <v>CARRERA 3 NO 2-08</v>
          </cell>
          <cell r="G1418">
            <v>3134676009</v>
          </cell>
        </row>
        <row r="1419">
          <cell r="E1419">
            <v>74187450</v>
          </cell>
          <cell r="F1419" t="str">
            <v>CALLE 39 NO 10A-43</v>
          </cell>
          <cell r="G1419">
            <v>3125638742</v>
          </cell>
        </row>
        <row r="1420">
          <cell r="E1420">
            <v>1007333110</v>
          </cell>
          <cell r="F1420" t="str">
            <v>CARRERA 6 NO 10-110 QUIPAMA</v>
          </cell>
          <cell r="G1420">
            <v>3125120767</v>
          </cell>
        </row>
        <row r="1421">
          <cell r="E1421">
            <v>4145426</v>
          </cell>
          <cell r="F1421" t="str">
            <v>CALLE 5 NO 5-73 A LUIS D EGACENO</v>
          </cell>
          <cell r="G1421">
            <v>3123673087</v>
          </cell>
        </row>
        <row r="1422">
          <cell r="E1422">
            <v>23596069</v>
          </cell>
          <cell r="F1422" t="str">
            <v>CARRERA 17 NO 3A 54</v>
          </cell>
          <cell r="G1422">
            <v>3125639207</v>
          </cell>
        </row>
        <row r="1423">
          <cell r="E1423">
            <v>24100642</v>
          </cell>
          <cell r="F1423" t="str">
            <v>CRA 12 NO 4-53</v>
          </cell>
          <cell r="G1423">
            <v>3007974512</v>
          </cell>
        </row>
        <row r="1424">
          <cell r="E1424">
            <v>1019054394</v>
          </cell>
          <cell r="F1424" t="str">
            <v>CENTRO SOCOTA</v>
          </cell>
          <cell r="G1424">
            <v>3133702131</v>
          </cell>
        </row>
        <row r="1425">
          <cell r="E1425">
            <v>46356617</v>
          </cell>
          <cell r="F1425" t="str">
            <v>CARRERA 17 NO 13A-109</v>
          </cell>
          <cell r="G1425">
            <v>6087717949</v>
          </cell>
        </row>
        <row r="1426">
          <cell r="E1426">
            <v>66963720</v>
          </cell>
          <cell r="F1426" t="str">
            <v>CALLE 26 NO 27-11</v>
          </cell>
          <cell r="G1426">
            <v>3114486891</v>
          </cell>
        </row>
        <row r="1427">
          <cell r="E1427">
            <v>7316833</v>
          </cell>
          <cell r="F1427" t="str">
            <v>CALLE 139 98C 34</v>
          </cell>
          <cell r="G1427">
            <v>3195322657</v>
          </cell>
        </row>
        <row r="1428">
          <cell r="E1428">
            <v>24166681</v>
          </cell>
          <cell r="F1428" t="str">
            <v>CRA 5 NO 3-47</v>
          </cell>
          <cell r="G1428">
            <v>3112402098</v>
          </cell>
        </row>
        <row r="1429">
          <cell r="E1429">
            <v>1051980020</v>
          </cell>
          <cell r="F1429" t="str">
            <v>VEREDA LA PUERTA FLORESTA</v>
          </cell>
          <cell r="G1429">
            <v>3104333514</v>
          </cell>
        </row>
        <row r="1430">
          <cell r="E1430">
            <v>46377498</v>
          </cell>
          <cell r="F1430" t="str">
            <v>CALLE 23 NO 9-19 SOGAMOSO</v>
          </cell>
          <cell r="G1430">
            <v>3112793589</v>
          </cell>
        </row>
        <row r="1431">
          <cell r="E1431">
            <v>1052405141</v>
          </cell>
          <cell r="F1431" t="str">
            <v>VILLAS DEL MUNDIAL BLC APTO 201</v>
          </cell>
          <cell r="G1431">
            <v>3226388718</v>
          </cell>
        </row>
        <row r="1432">
          <cell r="E1432">
            <v>830025638</v>
          </cell>
          <cell r="F1432" t="str">
            <v>CALLE 20A NO 12-70</v>
          </cell>
          <cell r="G1432">
            <v>7626280</v>
          </cell>
        </row>
        <row r="1433">
          <cell r="E1433">
            <v>5716856</v>
          </cell>
          <cell r="F1433" t="str">
            <v>CRA 27B NO 71-12</v>
          </cell>
          <cell r="G1433">
            <v>3133289597</v>
          </cell>
        </row>
        <row r="1434">
          <cell r="E1434">
            <v>800192105</v>
          </cell>
          <cell r="F1434" t="str">
            <v>CALLE 19 NO 7 99</v>
          </cell>
          <cell r="G1434">
            <v>7430300</v>
          </cell>
        </row>
        <row r="1435">
          <cell r="E1435">
            <v>1056614161</v>
          </cell>
          <cell r="F1435" t="str">
            <v>VEREDA EL BOSQUE</v>
          </cell>
          <cell r="G1435">
            <v>3106807036</v>
          </cell>
        </row>
        <row r="1436">
          <cell r="E1436">
            <v>1098824495</v>
          </cell>
          <cell r="F1436" t="str">
            <v>CALLE 5 NO 11-48</v>
          </cell>
          <cell r="G1436">
            <v>3185348601</v>
          </cell>
        </row>
        <row r="1437">
          <cell r="E1437">
            <v>1121962428</v>
          </cell>
          <cell r="F1437" t="str">
            <v>CALLE 1 NO 5-10</v>
          </cell>
          <cell r="G1437">
            <v>7357216</v>
          </cell>
        </row>
        <row r="1438">
          <cell r="E1438">
            <v>1056506593</v>
          </cell>
          <cell r="F1438" t="str">
            <v>CARRERA 4 NO 1-40 SP DE BORBUR</v>
          </cell>
          <cell r="G1438">
            <v>3202047136</v>
          </cell>
        </row>
        <row r="1439">
          <cell r="E1439">
            <v>46384155</v>
          </cell>
          <cell r="F1439" t="str">
            <v>BARRIO LA HUMILDAD PAZ DE RIO</v>
          </cell>
          <cell r="G1439">
            <v>3138503299</v>
          </cell>
        </row>
        <row r="1440">
          <cell r="E1440">
            <v>46380272</v>
          </cell>
          <cell r="F1440" t="str">
            <v>CARRERA 6 NO 5-44 TASCO</v>
          </cell>
          <cell r="G1440">
            <v>3123570374</v>
          </cell>
        </row>
        <row r="1441">
          <cell r="E1441">
            <v>1115691329</v>
          </cell>
          <cell r="F1441" t="str">
            <v>ESE DE PAYA</v>
          </cell>
          <cell r="G1441">
            <v>0</v>
          </cell>
        </row>
        <row r="1442">
          <cell r="E1442">
            <v>1051476089</v>
          </cell>
          <cell r="F1442" t="str">
            <v>CENTRO AQUITANIA</v>
          </cell>
          <cell r="G1442">
            <v>3136037279</v>
          </cell>
        </row>
        <row r="1443">
          <cell r="E1443">
            <v>1057590738</v>
          </cell>
          <cell r="F1443" t="str">
            <v>CALLE 21A NO 89-08</v>
          </cell>
          <cell r="G1443">
            <v>3107824833</v>
          </cell>
        </row>
        <row r="1444">
          <cell r="E1444">
            <v>7173271</v>
          </cell>
          <cell r="F1444" t="str">
            <v>CALLE 5 NO 7-63</v>
          </cell>
          <cell r="G1444">
            <v>3204078305</v>
          </cell>
        </row>
        <row r="1445">
          <cell r="E1445">
            <v>46452113</v>
          </cell>
          <cell r="F1445" t="str">
            <v>VEREDA PUNTA LARGA</v>
          </cell>
          <cell r="G1445">
            <v>3213956952</v>
          </cell>
        </row>
        <row r="1446">
          <cell r="E1446">
            <v>1032503047</v>
          </cell>
          <cell r="F1446" t="str">
            <v>CARRERA 7 NO 4-123</v>
          </cell>
          <cell r="G1446">
            <v>3203025398</v>
          </cell>
        </row>
        <row r="1447">
          <cell r="E1447">
            <v>7215168</v>
          </cell>
          <cell r="F1447" t="str">
            <v>CARRERA 10 NO 13-02 SOGAMOSO</v>
          </cell>
          <cell r="G1447">
            <v>7738991</v>
          </cell>
        </row>
        <row r="1448">
          <cell r="E1448">
            <v>6776152</v>
          </cell>
          <cell r="F1448" t="str">
            <v>CARRERA 11 NO 13-82</v>
          </cell>
          <cell r="G1448">
            <v>7720671</v>
          </cell>
        </row>
        <row r="1449">
          <cell r="E1449">
            <v>1053587889</v>
          </cell>
          <cell r="F1449" t="str">
            <v>CARRERA 8A NO 7-53</v>
          </cell>
          <cell r="G1449">
            <v>3146647030</v>
          </cell>
        </row>
        <row r="1450">
          <cell r="E1450">
            <v>1053611804</v>
          </cell>
          <cell r="F1450" t="str">
            <v>AV LIBERTADORES 25-13</v>
          </cell>
          <cell r="G1450">
            <v>3222140362</v>
          </cell>
        </row>
        <row r="1451">
          <cell r="E1451">
            <v>72324957</v>
          </cell>
          <cell r="F1451" t="str">
            <v>CALLE 9 NO 7 56</v>
          </cell>
          <cell r="G1451">
            <v>3107530097</v>
          </cell>
        </row>
        <row r="1452">
          <cell r="E1452">
            <v>23783817</v>
          </cell>
          <cell r="F1452" t="str">
            <v>CENTRO</v>
          </cell>
          <cell r="G1452">
            <v>3214127474</v>
          </cell>
        </row>
        <row r="1453">
          <cell r="E1453">
            <v>23652637</v>
          </cell>
          <cell r="F1453" t="str">
            <v>CRA 5 NO 5 03</v>
          </cell>
          <cell r="G1453">
            <v>3125383632</v>
          </cell>
        </row>
        <row r="1454">
          <cell r="E1454">
            <v>1002736662</v>
          </cell>
          <cell r="F1454" t="str">
            <v>CALLE 3 NO 5-48</v>
          </cell>
          <cell r="G1454">
            <v>3196065937</v>
          </cell>
        </row>
        <row r="1455">
          <cell r="E1455">
            <v>37397884</v>
          </cell>
          <cell r="F1455" t="str">
            <v>CALLE 4 NO 5 39 SOCHA</v>
          </cell>
          <cell r="G1455">
            <v>3223106814</v>
          </cell>
        </row>
        <row r="1456">
          <cell r="E1456">
            <v>46682684</v>
          </cell>
          <cell r="F1456" t="str">
            <v>CALLE 33 NO 14-75</v>
          </cell>
          <cell r="G1456">
            <v>3213537286</v>
          </cell>
        </row>
        <row r="1457">
          <cell r="E1457">
            <v>23324421</v>
          </cell>
          <cell r="F1457" t="str">
            <v>CALLE 8 NO 8-44</v>
          </cell>
          <cell r="G1457">
            <v>3112138924</v>
          </cell>
        </row>
        <row r="1458">
          <cell r="E1458">
            <v>9590295</v>
          </cell>
          <cell r="F1458" t="str">
            <v>CRA 5 NO 7-35</v>
          </cell>
          <cell r="G1458">
            <v>3115462049</v>
          </cell>
        </row>
        <row r="1459">
          <cell r="E1459">
            <v>79732747</v>
          </cell>
          <cell r="F1459" t="str">
            <v>CARRERA 4 NO 6-72</v>
          </cell>
          <cell r="G1459">
            <v>3125821141</v>
          </cell>
        </row>
        <row r="1460">
          <cell r="E1460">
            <v>52337065</v>
          </cell>
          <cell r="F1460" t="str">
            <v>BARRIO LA FLORIDA</v>
          </cell>
          <cell r="G1460">
            <v>3142920383</v>
          </cell>
        </row>
        <row r="1461">
          <cell r="E1461">
            <v>4027172</v>
          </cell>
          <cell r="F1461" t="str">
            <v>CRA 14 NO 17-54</v>
          </cell>
          <cell r="G1461">
            <v>3115805878</v>
          </cell>
        </row>
        <row r="1462">
          <cell r="E1462">
            <v>1057606719</v>
          </cell>
          <cell r="F1462" t="str">
            <v>CALLE 55 NO 11C-58</v>
          </cell>
          <cell r="G1462">
            <v>3228967446</v>
          </cell>
        </row>
        <row r="1463">
          <cell r="E1463">
            <v>74180761</v>
          </cell>
          <cell r="F1463" t="str">
            <v>AV CALLE 80 NO 62-84 SOGAMOSO</v>
          </cell>
          <cell r="G1463">
            <v>3115142598</v>
          </cell>
        </row>
        <row r="1464">
          <cell r="E1464">
            <v>66771497</v>
          </cell>
          <cell r="F1464" t="str">
            <v>CARRERA 8 NO 30-22</v>
          </cell>
          <cell r="G1464">
            <v>3014358103</v>
          </cell>
        </row>
        <row r="1465">
          <cell r="E1465">
            <v>46682164</v>
          </cell>
          <cell r="F1465" t="str">
            <v>VDA. CRUZ DE BONZA</v>
          </cell>
          <cell r="G1465">
            <v>3115954929</v>
          </cell>
        </row>
        <row r="1466">
          <cell r="E1466">
            <v>46365226</v>
          </cell>
          <cell r="F1466" t="str">
            <v>CARRERA 11 NO 52-23</v>
          </cell>
          <cell r="G1466">
            <v>0</v>
          </cell>
        </row>
        <row r="1467">
          <cell r="E1467">
            <v>39900829</v>
          </cell>
          <cell r="F1467" t="str">
            <v>CRA 12A NO 14-83</v>
          </cell>
          <cell r="G1467">
            <v>3133253944</v>
          </cell>
        </row>
        <row r="1468">
          <cell r="E1468">
            <v>40032770</v>
          </cell>
          <cell r="F1468" t="str">
            <v>CALLE 4 NO 6-03</v>
          </cell>
          <cell r="G1468">
            <v>3213920911</v>
          </cell>
        </row>
        <row r="1469">
          <cell r="E1469">
            <v>46377392</v>
          </cell>
          <cell r="F1469" t="str">
            <v>ESE SALUD AQUITANA</v>
          </cell>
          <cell r="G1469">
            <v>3105845002</v>
          </cell>
        </row>
        <row r="1470">
          <cell r="E1470">
            <v>49793696</v>
          </cell>
          <cell r="F1470" t="str">
            <v>CENTRO DE SALUD  PISBA</v>
          </cell>
          <cell r="G1470">
            <v>0</v>
          </cell>
        </row>
        <row r="1471">
          <cell r="E1471">
            <v>1049618132</v>
          </cell>
          <cell r="F1471" t="str">
            <v>CENTRO</v>
          </cell>
          <cell r="G1471">
            <v>3118350334</v>
          </cell>
        </row>
        <row r="1472">
          <cell r="E1472">
            <v>1002550488</v>
          </cell>
          <cell r="F1472" t="str">
            <v>CENTR</v>
          </cell>
          <cell r="G1472">
            <v>3105801802</v>
          </cell>
        </row>
        <row r="1473">
          <cell r="E1473">
            <v>47435350</v>
          </cell>
          <cell r="F1473" t="str">
            <v>CALLE 7 NO 10-64</v>
          </cell>
          <cell r="G1473">
            <v>3143344733</v>
          </cell>
        </row>
        <row r="1474">
          <cell r="E1474">
            <v>1049623335</v>
          </cell>
          <cell r="F1474" t="str">
            <v>CRA 6A NO 5-19</v>
          </cell>
          <cell r="G1474">
            <v>3115261693</v>
          </cell>
        </row>
        <row r="1475">
          <cell r="E1475">
            <v>46385490</v>
          </cell>
          <cell r="F1475" t="str">
            <v>DG 13 NO 26-09</v>
          </cell>
          <cell r="G1475">
            <v>3208738148</v>
          </cell>
        </row>
        <row r="1476">
          <cell r="E1476">
            <v>1051474546</v>
          </cell>
          <cell r="F1476" t="str">
            <v>CARRERA 10 NO 7-46</v>
          </cell>
          <cell r="G1476">
            <v>3123177966</v>
          </cell>
        </row>
        <row r="1477">
          <cell r="E1477">
            <v>1022363899</v>
          </cell>
          <cell r="F1477" t="str">
            <v>CENTRO LABRANZAGRANDE</v>
          </cell>
          <cell r="G1477">
            <v>3214754232</v>
          </cell>
        </row>
        <row r="1478">
          <cell r="E1478">
            <v>1057592621</v>
          </cell>
          <cell r="F1478" t="str">
            <v>BARRIO OASIS</v>
          </cell>
          <cell r="G1478">
            <v>3204067273</v>
          </cell>
        </row>
        <row r="1479">
          <cell r="E1479">
            <v>1002726402</v>
          </cell>
          <cell r="F1479" t="str">
            <v>CALLE 8 NO 7-77</v>
          </cell>
          <cell r="G1479">
            <v>3214058161</v>
          </cell>
        </row>
        <row r="1480">
          <cell r="E1480">
            <v>1053828684</v>
          </cell>
          <cell r="F1480" t="str">
            <v>CARRERA 8 NO 30-22</v>
          </cell>
          <cell r="G1480">
            <v>3104675960</v>
          </cell>
        </row>
        <row r="1481">
          <cell r="E1481">
            <v>23596645</v>
          </cell>
          <cell r="F1481" t="str">
            <v>CARRERA 5 NO 3-77</v>
          </cell>
          <cell r="G1481">
            <v>3213248953</v>
          </cell>
        </row>
        <row r="1482">
          <cell r="E1482">
            <v>80147389</v>
          </cell>
          <cell r="F1482" t="str">
            <v>CARRERA 3 NO 4-55</v>
          </cell>
          <cell r="G1482">
            <v>3105849782</v>
          </cell>
        </row>
        <row r="1483">
          <cell r="E1483">
            <v>1053342983</v>
          </cell>
          <cell r="F1483" t="str">
            <v>VEREDA PROVIDENCIA</v>
          </cell>
          <cell r="G1483">
            <v>3222134095</v>
          </cell>
        </row>
        <row r="1484">
          <cell r="E1484">
            <v>74083415</v>
          </cell>
          <cell r="F1484" t="str">
            <v>VEREDA EL PROGRESO</v>
          </cell>
          <cell r="G1484">
            <v>3143930146</v>
          </cell>
        </row>
        <row r="1485">
          <cell r="E1485">
            <v>1056506748</v>
          </cell>
          <cell r="F1485" t="str">
            <v>VEREDA LA MESA</v>
          </cell>
          <cell r="G1485">
            <v>3212741903</v>
          </cell>
        </row>
        <row r="1486">
          <cell r="E1486">
            <v>1055504730</v>
          </cell>
          <cell r="F1486" t="str">
            <v>CENTRO</v>
          </cell>
          <cell r="G1486">
            <v>3123455487</v>
          </cell>
        </row>
        <row r="1487">
          <cell r="E1487">
            <v>33369824</v>
          </cell>
          <cell r="F1487" t="str">
            <v>CARRERA 8 NO 14A-07</v>
          </cell>
          <cell r="G1487">
            <v>3203677664</v>
          </cell>
        </row>
        <row r="1488">
          <cell r="E1488">
            <v>1033730610</v>
          </cell>
          <cell r="F1488" t="str">
            <v>CALLE 140 NO 104-19 TUNJA</v>
          </cell>
          <cell r="G1488">
            <v>3123504848</v>
          </cell>
        </row>
        <row r="1489">
          <cell r="E1489">
            <v>1116642138</v>
          </cell>
          <cell r="F1489" t="str">
            <v>CALLE 8 NO 7-60</v>
          </cell>
          <cell r="G1489">
            <v>7794136</v>
          </cell>
        </row>
        <row r="1490">
          <cell r="E1490">
            <v>901731686</v>
          </cell>
          <cell r="F1490" t="str">
            <v>CARRERA 6 NO 51-50 TUNJA</v>
          </cell>
          <cell r="G1490">
            <v>0</v>
          </cell>
        </row>
        <row r="1491">
          <cell r="E1491">
            <v>28411082</v>
          </cell>
          <cell r="F1491" t="str">
            <v>CRA 20 NO 25-47</v>
          </cell>
          <cell r="G1491">
            <v>3144904482</v>
          </cell>
        </row>
        <row r="1492">
          <cell r="E1492">
            <v>901046216</v>
          </cell>
          <cell r="F1492" t="str">
            <v>CALLE 22 NO 40-30</v>
          </cell>
          <cell r="G1492">
            <v>3123866778</v>
          </cell>
        </row>
        <row r="1493">
          <cell r="E1493">
            <v>901169226</v>
          </cell>
          <cell r="F1493" t="str">
            <v>CARRERA 11 NO 21-90 CS 306 SOGAMOSO</v>
          </cell>
          <cell r="G1493">
            <v>6087714936</v>
          </cell>
        </row>
        <row r="1494">
          <cell r="E1494">
            <v>5888679</v>
          </cell>
          <cell r="F1494" t="str">
            <v>CARRERA 10 NO 15-04</v>
          </cell>
          <cell r="G1494">
            <v>7729500</v>
          </cell>
        </row>
        <row r="1495">
          <cell r="E1495">
            <v>1053347274</v>
          </cell>
          <cell r="F1495" t="str">
            <v>CARRERA 9 NO 23-20</v>
          </cell>
          <cell r="G1495">
            <v>3123550696</v>
          </cell>
        </row>
        <row r="1496">
          <cell r="E1496">
            <v>79132118</v>
          </cell>
          <cell r="F1496" t="str">
            <v>AVENIDA LIBERTADORES NO 22-23</v>
          </cell>
          <cell r="G1496">
            <v>3125061916</v>
          </cell>
        </row>
        <row r="1497">
          <cell r="E1497">
            <v>1049613885</v>
          </cell>
          <cell r="F1497" t="str">
            <v>CENTRO</v>
          </cell>
          <cell r="G1497">
            <v>0</v>
          </cell>
        </row>
        <row r="1498">
          <cell r="E1498">
            <v>4217194</v>
          </cell>
          <cell r="F1498" t="str">
            <v>CARRERA 7 NO 7-28</v>
          </cell>
          <cell r="G1498">
            <v>3132556345</v>
          </cell>
        </row>
        <row r="1499">
          <cell r="E1499">
            <v>1049618361</v>
          </cell>
          <cell r="F1499" t="str">
            <v>CALLE 64 NO 11-26</v>
          </cell>
          <cell r="G1499">
            <v>3214981434</v>
          </cell>
        </row>
        <row r="1500">
          <cell r="E1500">
            <v>46369778</v>
          </cell>
          <cell r="F1500" t="str">
            <v>CARRERA 11 NO 14-55</v>
          </cell>
          <cell r="G1500">
            <v>3108029999</v>
          </cell>
        </row>
        <row r="1501">
          <cell r="E1501">
            <v>52620852</v>
          </cell>
          <cell r="F1501" t="str">
            <v>CALLE 8 NO 11A 43</v>
          </cell>
          <cell r="G1501">
            <v>3104881196</v>
          </cell>
        </row>
        <row r="1502">
          <cell r="E1502">
            <v>74326751</v>
          </cell>
          <cell r="F1502" t="str">
            <v>CRA 4 NO 8-45</v>
          </cell>
          <cell r="G1502">
            <v>3133375534</v>
          </cell>
        </row>
        <row r="1503">
          <cell r="E1503">
            <v>1049659695</v>
          </cell>
          <cell r="F1503" t="str">
            <v>CALLE 7B NO 18-18</v>
          </cell>
          <cell r="G1503">
            <v>3219909430</v>
          </cell>
        </row>
        <row r="1504">
          <cell r="E1504">
            <v>16115374</v>
          </cell>
          <cell r="F1504" t="str">
            <v>CENTRO DE SALUD RAQUIRA</v>
          </cell>
          <cell r="G1504">
            <v>3228892693</v>
          </cell>
        </row>
        <row r="1505">
          <cell r="E1505">
            <v>1052384669</v>
          </cell>
          <cell r="F1505" t="str">
            <v>CARRERA 43 NO 25-5 JUAN GRANDE</v>
          </cell>
          <cell r="G1505">
            <v>3118287504</v>
          </cell>
        </row>
        <row r="1506">
          <cell r="E1506">
            <v>1014301623</v>
          </cell>
          <cell r="F1506" t="str">
            <v>ESE CENTRO DE SALUD DE SACHICA</v>
          </cell>
          <cell r="G1506">
            <v>3115136515</v>
          </cell>
        </row>
        <row r="1507">
          <cell r="E1507">
            <v>46359265</v>
          </cell>
          <cell r="F1507" t="str">
            <v>CALLE 5 NO 18-82</v>
          </cell>
          <cell r="G1507">
            <v>3124291301</v>
          </cell>
        </row>
        <row r="1508">
          <cell r="E1508">
            <v>1002548067</v>
          </cell>
          <cell r="F1508" t="str">
            <v>CENTRO JERICO</v>
          </cell>
          <cell r="G1508">
            <v>3116061804</v>
          </cell>
        </row>
        <row r="1509">
          <cell r="E1509">
            <v>6761024</v>
          </cell>
          <cell r="F1509" t="str">
            <v>CALLE 17 NO 10-42</v>
          </cell>
          <cell r="G1509">
            <v>7425590</v>
          </cell>
        </row>
        <row r="1510">
          <cell r="E1510">
            <v>1018489152</v>
          </cell>
          <cell r="F1510" t="str">
            <v>ESE DE TASCO</v>
          </cell>
          <cell r="G1510">
            <v>0</v>
          </cell>
        </row>
        <row r="1511">
          <cell r="E1511">
            <v>1057893809</v>
          </cell>
          <cell r="F1511" t="str">
            <v>CENTRO DE SALUD DE RAQUIRA</v>
          </cell>
          <cell r="G1511">
            <v>3143404822</v>
          </cell>
        </row>
        <row r="1512">
          <cell r="E1512">
            <v>1053585028</v>
          </cell>
          <cell r="F1512" t="str">
            <v>CALLE 7 NO 12-28 NOBSA</v>
          </cell>
          <cell r="G1512">
            <v>3114890862</v>
          </cell>
        </row>
        <row r="1513">
          <cell r="E1513">
            <v>1053442250</v>
          </cell>
          <cell r="F1513" t="str">
            <v>CARRERA 20 NO 24-58</v>
          </cell>
          <cell r="G1513">
            <v>3133390429</v>
          </cell>
        </row>
        <row r="1514">
          <cell r="E1514">
            <v>74187084</v>
          </cell>
          <cell r="F1514" t="str">
            <v>CALLE 26 NO 11-66</v>
          </cell>
          <cell r="G1514">
            <v>3203418835</v>
          </cell>
        </row>
        <row r="1515">
          <cell r="E1515">
            <v>1054801997</v>
          </cell>
          <cell r="F1515" t="str">
            <v>CARRERA 7 NO 7-21</v>
          </cell>
          <cell r="G1515">
            <v>7327546</v>
          </cell>
        </row>
        <row r="1516">
          <cell r="E1516">
            <v>28936739</v>
          </cell>
          <cell r="F1516" t="str">
            <v>CALLE 7 NO 9-54 LOCAL 102</v>
          </cell>
          <cell r="G1516">
            <v>3143483369</v>
          </cell>
        </row>
        <row r="1517">
          <cell r="E1517">
            <v>46370565</v>
          </cell>
          <cell r="F1517" t="str">
            <v>CALLE 7 NO 3-49</v>
          </cell>
          <cell r="G1517">
            <v>3118016927</v>
          </cell>
        </row>
        <row r="1518">
          <cell r="E1518">
            <v>1002547943</v>
          </cell>
          <cell r="F1518" t="str">
            <v>BARRIO VILLA ROSITA</v>
          </cell>
          <cell r="G1518">
            <v>3132778789</v>
          </cell>
        </row>
        <row r="1519">
          <cell r="E1519">
            <v>79490154</v>
          </cell>
          <cell r="F1519" t="str">
            <v>CALLE 10 NO 9-31</v>
          </cell>
          <cell r="G1519">
            <v>3132842968</v>
          </cell>
        </row>
        <row r="1520">
          <cell r="E1520">
            <v>1002679324</v>
          </cell>
          <cell r="F1520" t="str">
            <v>ESE SAN PABLO DE BORBUR</v>
          </cell>
          <cell r="G1520">
            <v>0</v>
          </cell>
        </row>
        <row r="1521">
          <cell r="E1521">
            <v>23810190</v>
          </cell>
          <cell r="F1521" t="str">
            <v>CARRERA 11 NO 75 25</v>
          </cell>
          <cell r="G1521">
            <v>3156294820</v>
          </cell>
        </row>
        <row r="1522">
          <cell r="E1522">
            <v>1058274614</v>
          </cell>
          <cell r="F1522" t="str">
            <v>CARRERA 4 NO 3-22</v>
          </cell>
          <cell r="G1522">
            <v>3118262133</v>
          </cell>
        </row>
        <row r="1523">
          <cell r="E1523">
            <v>79456245</v>
          </cell>
          <cell r="F1523" t="str">
            <v>CARRERA 9 NO 20-35</v>
          </cell>
          <cell r="G1523">
            <v>7707304</v>
          </cell>
        </row>
        <row r="1524">
          <cell r="E1524">
            <v>46457271</v>
          </cell>
          <cell r="F1524" t="str">
            <v>CALLE 6 NO 21-10 B SAN MARTIN</v>
          </cell>
          <cell r="G1524">
            <v>3204320569</v>
          </cell>
        </row>
        <row r="1525">
          <cell r="E1525">
            <v>16185333</v>
          </cell>
          <cell r="F1525" t="str">
            <v>ESE SALUD AQUITANIA</v>
          </cell>
          <cell r="G1525">
            <v>3177723023</v>
          </cell>
        </row>
        <row r="1526">
          <cell r="E1526">
            <v>1098822397</v>
          </cell>
          <cell r="F1526" t="str">
            <v>CENTRO SOCOTA</v>
          </cell>
          <cell r="G1526">
            <v>3166269698</v>
          </cell>
        </row>
        <row r="1527">
          <cell r="E1527">
            <v>24182928</v>
          </cell>
          <cell r="F1527" t="str">
            <v>CAFETERIA CASA REAL</v>
          </cell>
          <cell r="G1527">
            <v>3212196216</v>
          </cell>
        </row>
        <row r="1528">
          <cell r="E1528">
            <v>74362885</v>
          </cell>
          <cell r="F1528" t="str">
            <v>CALLE 10 NO 9-40</v>
          </cell>
          <cell r="G1528">
            <v>3108030151</v>
          </cell>
        </row>
        <row r="1529">
          <cell r="E1529">
            <v>1049604542</v>
          </cell>
          <cell r="F1529" t="str">
            <v>CALLE 27 NO 18-54</v>
          </cell>
          <cell r="G1529">
            <v>3132499434</v>
          </cell>
        </row>
        <row r="1530">
          <cell r="E1530">
            <v>86050606</v>
          </cell>
          <cell r="F1530" t="str">
            <v>SOGAMOSO</v>
          </cell>
          <cell r="G1530">
            <v>0</v>
          </cell>
        </row>
        <row r="1531">
          <cell r="E1531">
            <v>79613587</v>
          </cell>
          <cell r="F1531" t="str">
            <v>TRANSV 7 NO 11-04</v>
          </cell>
          <cell r="G1531">
            <v>3102500702</v>
          </cell>
        </row>
        <row r="1532">
          <cell r="E1532">
            <v>1054679787</v>
          </cell>
          <cell r="F1532" t="str">
            <v>CALLE 7A NO 12-67</v>
          </cell>
          <cell r="G1532">
            <v>3125904471</v>
          </cell>
        </row>
        <row r="1533">
          <cell r="E1533">
            <v>46372071</v>
          </cell>
          <cell r="F1533" t="str">
            <v>CARRERA 26 NO 7A-49</v>
          </cell>
          <cell r="G1533">
            <v>3142155034</v>
          </cell>
        </row>
        <row r="1534">
          <cell r="E1534">
            <v>1052404579</v>
          </cell>
          <cell r="F1534" t="str">
            <v>CALLE 3 NO 1-135</v>
          </cell>
          <cell r="G1534">
            <v>3112634207</v>
          </cell>
        </row>
        <row r="1535">
          <cell r="E1535">
            <v>1002408266</v>
          </cell>
          <cell r="F1535" t="str">
            <v>CENTRO LABRANZAGRANDE</v>
          </cell>
          <cell r="G1535">
            <v>3176811631</v>
          </cell>
        </row>
        <row r="1536">
          <cell r="E1536">
            <v>80064934</v>
          </cell>
          <cell r="F1536" t="str">
            <v>CALLE 4 SUR NO 8B 02</v>
          </cell>
          <cell r="G1536">
            <v>6013339501</v>
          </cell>
        </row>
        <row r="1537">
          <cell r="E1537">
            <v>80808053</v>
          </cell>
          <cell r="F1537" t="str">
            <v>CALLE 4 SUR NO 8B-02</v>
          </cell>
          <cell r="G1537">
            <v>6013339501</v>
          </cell>
        </row>
        <row r="1538">
          <cell r="E1538">
            <v>1055504439</v>
          </cell>
          <cell r="F1538" t="str">
            <v>CALLE 7 NO 8-48 LABRANZAGRANDE</v>
          </cell>
          <cell r="G1538">
            <v>3229474003</v>
          </cell>
        </row>
        <row r="1539">
          <cell r="E1539">
            <v>1057582575</v>
          </cell>
          <cell r="F1539" t="str">
            <v>CARRERA 8 NO 5-49</v>
          </cell>
          <cell r="G1539">
            <v>3143933357</v>
          </cell>
        </row>
        <row r="1540">
          <cell r="E1540">
            <v>1057575223</v>
          </cell>
          <cell r="F1540" t="str">
            <v>CARRERA 4 NO 3-42</v>
          </cell>
          <cell r="G1540">
            <v>3228962967</v>
          </cell>
        </row>
        <row r="1541">
          <cell r="E1541">
            <v>1054121684</v>
          </cell>
          <cell r="F1541" t="str">
            <v>XARRERA 5 NO 6-02</v>
          </cell>
          <cell r="G1541">
            <v>3144230506</v>
          </cell>
        </row>
        <row r="1542">
          <cell r="E1542">
            <v>1057919224</v>
          </cell>
          <cell r="F1542" t="str">
            <v>CARRERA 5 CALLE 4 SAN LUIS DE GACENO</v>
          </cell>
          <cell r="G1542">
            <v>3153731041</v>
          </cell>
        </row>
        <row r="1543">
          <cell r="E1543">
            <v>1049624557</v>
          </cell>
          <cell r="F1543" t="str">
            <v>CENTRO</v>
          </cell>
          <cell r="G1543">
            <v>3208881036</v>
          </cell>
        </row>
        <row r="1544">
          <cell r="E1544">
            <v>1020796316</v>
          </cell>
          <cell r="F1544" t="str">
            <v>CALLE 5 NO 3-03</v>
          </cell>
          <cell r="G1544">
            <v>3154585942</v>
          </cell>
        </row>
        <row r="1545">
          <cell r="E1545">
            <v>74352376</v>
          </cell>
          <cell r="F1545" t="str">
            <v>CARRERA 3 NO 5-10 SLG</v>
          </cell>
          <cell r="G1545">
            <v>3125486197</v>
          </cell>
        </row>
        <row r="1546">
          <cell r="E1546">
            <v>1002760256</v>
          </cell>
          <cell r="F1546" t="str">
            <v>ESE D EPISBA</v>
          </cell>
          <cell r="G1546">
            <v>3214160307</v>
          </cell>
        </row>
        <row r="1547">
          <cell r="E1547">
            <v>19416765</v>
          </cell>
          <cell r="F1547" t="str">
            <v>CARRERA 21 NO 24 54</v>
          </cell>
          <cell r="G1547">
            <v>7853992</v>
          </cell>
        </row>
        <row r="1548">
          <cell r="E1548">
            <v>55225442</v>
          </cell>
          <cell r="F1548" t="str">
            <v>CARRERA 6 NO 11-03</v>
          </cell>
          <cell r="G1548">
            <v>3213870950</v>
          </cell>
        </row>
        <row r="1549">
          <cell r="E1549">
            <v>800231967</v>
          </cell>
          <cell r="G1549">
            <v>0</v>
          </cell>
        </row>
        <row r="1550">
          <cell r="E1550">
            <v>52417701</v>
          </cell>
          <cell r="F1550" t="str">
            <v>CALLE 1 NO 10A-24</v>
          </cell>
          <cell r="G1550">
            <v>3142380638</v>
          </cell>
        </row>
        <row r="1551">
          <cell r="E1551">
            <v>901105626</v>
          </cell>
          <cell r="F1551" t="str">
            <v>CARRERA 10A NO. 27-94</v>
          </cell>
          <cell r="G1551">
            <v>1401453</v>
          </cell>
        </row>
        <row r="1552">
          <cell r="E1552">
            <v>891855039</v>
          </cell>
          <cell r="F1552" t="str">
            <v>CALLE 8 NO 11A-43</v>
          </cell>
          <cell r="G1552">
            <v>7722572</v>
          </cell>
        </row>
        <row r="1553">
          <cell r="E1553">
            <v>891800906</v>
          </cell>
          <cell r="F1553" t="str">
            <v>CLL 10 7 98</v>
          </cell>
          <cell r="G1553">
            <v>7320244</v>
          </cell>
        </row>
        <row r="1554">
          <cell r="E1554">
            <v>23857670</v>
          </cell>
          <cell r="F1554" t="str">
            <v>BARRIO SAN MIGUEL PAIPA</v>
          </cell>
          <cell r="G1554">
            <v>0</v>
          </cell>
        </row>
        <row r="1555">
          <cell r="E1555">
            <v>900731526</v>
          </cell>
          <cell r="F1555" t="str">
            <v>TIBASOSA BOYACA</v>
          </cell>
          <cell r="G1555">
            <v>6267621</v>
          </cell>
        </row>
        <row r="1556">
          <cell r="E1556">
            <v>46664716</v>
          </cell>
          <cell r="F1556" t="str">
            <v>CARRERA 7 NO 7-13</v>
          </cell>
          <cell r="G1556">
            <v>0</v>
          </cell>
        </row>
        <row r="1557">
          <cell r="E1557">
            <v>800006073</v>
          </cell>
          <cell r="F1557" t="str">
            <v>CALLE 25 NO 2-05</v>
          </cell>
          <cell r="G1557">
            <v>785006</v>
          </cell>
        </row>
        <row r="1558">
          <cell r="E1558">
            <v>1019049011</v>
          </cell>
          <cell r="F1558" t="str">
            <v>CARRERA 9 NO 16-23</v>
          </cell>
          <cell r="G1558">
            <v>3112680017</v>
          </cell>
        </row>
        <row r="1559">
          <cell r="E1559">
            <v>900675802</v>
          </cell>
          <cell r="F1559" t="str">
            <v>CARRERA 29 NO 15-64</v>
          </cell>
          <cell r="G1559">
            <v>6333505</v>
          </cell>
        </row>
        <row r="1560">
          <cell r="E1560">
            <v>860050930</v>
          </cell>
          <cell r="G1560">
            <v>0</v>
          </cell>
        </row>
        <row r="1561">
          <cell r="E1561">
            <v>900632459</v>
          </cell>
          <cell r="F1561" t="str">
            <v>CARRERA 9 NO 14-47</v>
          </cell>
          <cell r="G1561">
            <v>0</v>
          </cell>
        </row>
        <row r="1562">
          <cell r="E1562">
            <v>21191021</v>
          </cell>
          <cell r="F1562" t="str">
            <v>CALLE 11 NO 32-42 CUMARAL</v>
          </cell>
          <cell r="G1562">
            <v>3208311747</v>
          </cell>
        </row>
        <row r="1563">
          <cell r="E1563">
            <v>1001332055</v>
          </cell>
          <cell r="F1563" t="str">
            <v>CARRERA 6 NO 4-54 UMNITA</v>
          </cell>
          <cell r="G1563">
            <v>3202571156</v>
          </cell>
        </row>
        <row r="1564">
          <cell r="E1564">
            <v>1049621434</v>
          </cell>
          <cell r="F1564" t="str">
            <v>MZ9 CASA 9 PII</v>
          </cell>
          <cell r="G1564">
            <v>3123829625</v>
          </cell>
        </row>
        <row r="1565">
          <cell r="E1565">
            <v>1002683196</v>
          </cell>
          <cell r="F1565" t="str">
            <v>CALLE 4 NO 5 35</v>
          </cell>
          <cell r="G1565">
            <v>3113289302</v>
          </cell>
        </row>
        <row r="1566">
          <cell r="E1566">
            <v>40034418</v>
          </cell>
          <cell r="F1566" t="str">
            <v>CRA 7B NO 50-91</v>
          </cell>
          <cell r="G1566">
            <v>3125891012</v>
          </cell>
        </row>
        <row r="1567">
          <cell r="E1567">
            <v>830006404</v>
          </cell>
          <cell r="F1567" t="str">
            <v>CALLE 12 NO 29-19</v>
          </cell>
          <cell r="G1567">
            <v>7612012</v>
          </cell>
        </row>
        <row r="1568">
          <cell r="E1568">
            <v>900350762</v>
          </cell>
          <cell r="F1568" t="str">
            <v>CARRERA 11 NO 13-33</v>
          </cell>
          <cell r="G1568">
            <v>3128951948</v>
          </cell>
        </row>
        <row r="1569">
          <cell r="E1569">
            <v>900345494</v>
          </cell>
          <cell r="F1569" t="str">
            <v>CARRERA 11 NO 8A BIS 04</v>
          </cell>
          <cell r="G1569">
            <v>7703135</v>
          </cell>
        </row>
        <row r="1570">
          <cell r="E1570">
            <v>23770248</v>
          </cell>
          <cell r="F1570" t="str">
            <v>CRA 1 NO 14A-26</v>
          </cell>
          <cell r="G1570">
            <v>3212291277</v>
          </cell>
        </row>
        <row r="1571">
          <cell r="E1571">
            <v>1033715715</v>
          </cell>
          <cell r="F1571" t="str">
            <v>CARRERA 115 NO 68-28</v>
          </cell>
          <cell r="G1571">
            <v>3124880896</v>
          </cell>
        </row>
        <row r="1572">
          <cell r="E1572">
            <v>1020780821</v>
          </cell>
          <cell r="F1572" t="str">
            <v>CALLE 7 NO 4-49</v>
          </cell>
          <cell r="G1572">
            <v>3144583144</v>
          </cell>
        </row>
        <row r="1573">
          <cell r="E1573">
            <v>1032435817</v>
          </cell>
          <cell r="F1573" t="str">
            <v>CALLE 6 NO 8-26</v>
          </cell>
          <cell r="G1573">
            <v>3208204052</v>
          </cell>
        </row>
        <row r="1574">
          <cell r="E1574">
            <v>1049626522</v>
          </cell>
          <cell r="F1574" t="str">
            <v>CARRERA 12A NO 11B 39</v>
          </cell>
          <cell r="G1574">
            <v>3123563934</v>
          </cell>
        </row>
        <row r="1575">
          <cell r="E1575">
            <v>46375427</v>
          </cell>
          <cell r="F1575" t="str">
            <v>CARRERA 5 NO 5-24</v>
          </cell>
          <cell r="G1575">
            <v>3232305363</v>
          </cell>
        </row>
        <row r="1576">
          <cell r="E1576">
            <v>1037606474</v>
          </cell>
          <cell r="F1576" t="str">
            <v>CALLE 5 NO 5-15</v>
          </cell>
          <cell r="G1576">
            <v>7794681</v>
          </cell>
        </row>
        <row r="1577">
          <cell r="E1577">
            <v>46682386</v>
          </cell>
          <cell r="F1577" t="str">
            <v>CARRERA 19A NO 27-11</v>
          </cell>
          <cell r="G1577">
            <v>3115308944</v>
          </cell>
        </row>
        <row r="1578">
          <cell r="E1578">
            <v>74322324</v>
          </cell>
          <cell r="F1578" t="str">
            <v>CARRERA 20 NO. 21-37</v>
          </cell>
          <cell r="G1578">
            <v>7851110</v>
          </cell>
        </row>
        <row r="1579">
          <cell r="E1579">
            <v>826000214</v>
          </cell>
          <cell r="F1579" t="str">
            <v>KM 4 VIA PAIPA PANTANO DE VARGAS</v>
          </cell>
          <cell r="G1579">
            <v>3102478164</v>
          </cell>
        </row>
        <row r="1580">
          <cell r="E1580">
            <v>900970200</v>
          </cell>
          <cell r="F1580" t="str">
            <v>CARRERA 9 NO 17-59</v>
          </cell>
          <cell r="G1580">
            <v>7565828</v>
          </cell>
        </row>
        <row r="1581">
          <cell r="E1581">
            <v>1057892333</v>
          </cell>
          <cell r="F1581" t="str">
            <v>BARRIO MIRAFLORES RAQUIRA</v>
          </cell>
          <cell r="G1581">
            <v>3115759728</v>
          </cell>
        </row>
        <row r="1582">
          <cell r="E1582">
            <v>1057464466</v>
          </cell>
          <cell r="F1582" t="str">
            <v>BARRIO PRIMAVERA II</v>
          </cell>
          <cell r="G1582">
            <v>3115331926</v>
          </cell>
        </row>
        <row r="1583">
          <cell r="E1583">
            <v>1099216488</v>
          </cell>
          <cell r="F1583" t="str">
            <v>CALLE 11 NO 5-10</v>
          </cell>
          <cell r="G1583">
            <v>3214857269</v>
          </cell>
        </row>
        <row r="1584">
          <cell r="E1584">
            <v>33378029</v>
          </cell>
          <cell r="F1584" t="str">
            <v>CALLE 5 NO 5-55</v>
          </cell>
          <cell r="G1584">
            <v>3123763670</v>
          </cell>
        </row>
        <row r="1585">
          <cell r="E1585">
            <v>1053612508</v>
          </cell>
          <cell r="F1585" t="str">
            <v>CALLE 25 NO 19-127</v>
          </cell>
          <cell r="G1585">
            <v>3166398497</v>
          </cell>
        </row>
        <row r="1586">
          <cell r="E1586">
            <v>1057602038</v>
          </cell>
          <cell r="F1586" t="str">
            <v>CALLE 2 NO 5-19 PAYA</v>
          </cell>
          <cell r="G1586">
            <v>3105771607</v>
          </cell>
        </row>
        <row r="1587">
          <cell r="E1587">
            <v>899999035</v>
          </cell>
          <cell r="F1587" t="str">
            <v>CARRERA 3 NO 18-32</v>
          </cell>
          <cell r="G1587">
            <v>4173535</v>
          </cell>
        </row>
        <row r="1588">
          <cell r="E1588">
            <v>830001113</v>
          </cell>
          <cell r="F1588" t="str">
            <v>CRA 66 NO 24-09</v>
          </cell>
          <cell r="G1588">
            <v>4578000</v>
          </cell>
        </row>
        <row r="1589">
          <cell r="E1589">
            <v>860533413</v>
          </cell>
          <cell r="F1589" t="str">
            <v>AVENIDA UNIVERSITARIA NO 75-00</v>
          </cell>
          <cell r="G1589">
            <v>3219599939</v>
          </cell>
        </row>
        <row r="1590">
          <cell r="E1590">
            <v>860353592</v>
          </cell>
          <cell r="F1590" t="str">
            <v>CALLE 75 NO 15-22</v>
          </cell>
          <cell r="G1590">
            <v>6014673718</v>
          </cell>
        </row>
        <row r="1591">
          <cell r="E1591">
            <v>900370953</v>
          </cell>
          <cell r="F1591" t="str">
            <v>CALLE 151 NO 55-37</v>
          </cell>
          <cell r="G1591">
            <v>3223443444</v>
          </cell>
        </row>
        <row r="1592">
          <cell r="E1592">
            <v>900528564</v>
          </cell>
          <cell r="F1592" t="str">
            <v>CARRERA 14 NO 96-5</v>
          </cell>
          <cell r="G1592">
            <v>3107749556</v>
          </cell>
        </row>
        <row r="1593">
          <cell r="E1593">
            <v>899999239</v>
          </cell>
          <cell r="F1593" t="str">
            <v>CRA 11 NO 7-35</v>
          </cell>
          <cell r="G1593">
            <v>7444434</v>
          </cell>
        </row>
        <row r="1594">
          <cell r="E1594">
            <v>860013616</v>
          </cell>
          <cell r="F1594" t="str">
            <v>CRA 10 NO 64-28</v>
          </cell>
          <cell r="G1594">
            <v>3436420</v>
          </cell>
        </row>
        <row r="1595">
          <cell r="E1595">
            <v>46662833</v>
          </cell>
          <cell r="F1595" t="str">
            <v>CALLE 6 NO 05-09</v>
          </cell>
          <cell r="G1595">
            <v>3123715888</v>
          </cell>
        </row>
        <row r="1596">
          <cell r="E1596">
            <v>800251569</v>
          </cell>
          <cell r="F1596" t="str">
            <v>CRA 30 7 45</v>
          </cell>
          <cell r="G1596">
            <v>5605000</v>
          </cell>
        </row>
        <row r="1597">
          <cell r="E1597">
            <v>901002083</v>
          </cell>
          <cell r="F1597" t="str">
            <v>ALTOQUE</v>
          </cell>
          <cell r="G1597">
            <v>0</v>
          </cell>
        </row>
        <row r="1598">
          <cell r="E1598">
            <v>900559782</v>
          </cell>
          <cell r="F1598" t="str">
            <v>CARRERA 19 NO 25 50</v>
          </cell>
          <cell r="G1598">
            <v>3132488837</v>
          </cell>
        </row>
        <row r="1599">
          <cell r="E1599">
            <v>891857937</v>
          </cell>
          <cell r="F1599" t="str">
            <v>TRANSVERSAL 18 NO 8-15 YOPAL</v>
          </cell>
          <cell r="G1599">
            <v>6086306652</v>
          </cell>
        </row>
        <row r="1600">
          <cell r="E1600">
            <v>901117245</v>
          </cell>
          <cell r="F1600" t="str">
            <v>CARRERA 18 NO 16 26</v>
          </cell>
          <cell r="G1600">
            <v>3214527972</v>
          </cell>
        </row>
        <row r="1601">
          <cell r="E1601">
            <v>900147832</v>
          </cell>
          <cell r="F1601" t="str">
            <v>CRA 23 NO 24-17</v>
          </cell>
          <cell r="G1601">
            <v>7852983</v>
          </cell>
        </row>
        <row r="1602">
          <cell r="E1602">
            <v>900028558</v>
          </cell>
          <cell r="F1602" t="str">
            <v>CARRERA 11 NO 10-21</v>
          </cell>
          <cell r="G1602">
            <v>7723030</v>
          </cell>
        </row>
        <row r="1603">
          <cell r="E1603">
            <v>901696817</v>
          </cell>
          <cell r="F1603" t="str">
            <v>AVENIDA UNIVERSITARIA 50-21</v>
          </cell>
          <cell r="G1603">
            <v>0</v>
          </cell>
        </row>
        <row r="1604">
          <cell r="E1604">
            <v>901296291</v>
          </cell>
          <cell r="F1604" t="str">
            <v>TRANSVERSAL 93 NO 34-99 L B302</v>
          </cell>
          <cell r="G1604">
            <v>0</v>
          </cell>
        </row>
        <row r="1605">
          <cell r="E1605">
            <v>900528966</v>
          </cell>
          <cell r="F1605" t="str">
            <v>FRANQUISIA SOGAMOSO</v>
          </cell>
          <cell r="G1605">
            <v>6030505</v>
          </cell>
        </row>
        <row r="1606">
          <cell r="E1606">
            <v>901738422</v>
          </cell>
          <cell r="F1606" t="str">
            <v>DIAGONAL 9 NO 33-39</v>
          </cell>
          <cell r="G1606">
            <v>3112638556</v>
          </cell>
        </row>
        <row r="1607">
          <cell r="E1607">
            <v>900624919</v>
          </cell>
          <cell r="F1607" t="str">
            <v>CALLE 25 NO 20-63</v>
          </cell>
          <cell r="G1607">
            <v>7851328</v>
          </cell>
        </row>
        <row r="1608">
          <cell r="E1608">
            <v>37543683</v>
          </cell>
          <cell r="F1608" t="str">
            <v>CALLE 7 NO 11-32 BARRIO  VILLABEL</v>
          </cell>
          <cell r="G1608">
            <v>3183836149</v>
          </cell>
        </row>
        <row r="1609">
          <cell r="E1609">
            <v>900779365</v>
          </cell>
          <cell r="F1609" t="str">
            <v>CARRERA 10 NO 15-36</v>
          </cell>
          <cell r="G1609">
            <v>3123142964</v>
          </cell>
        </row>
        <row r="1610">
          <cell r="E1610">
            <v>74326935</v>
          </cell>
          <cell r="F1610" t="str">
            <v>CARRERA 7 NO 7-74</v>
          </cell>
          <cell r="G1610">
            <v>3118531406</v>
          </cell>
        </row>
        <row r="1611">
          <cell r="E1611">
            <v>91541886</v>
          </cell>
          <cell r="F1611" t="str">
            <v>CARRERA 5 NO 4-86</v>
          </cell>
          <cell r="G1611">
            <v>3132656644</v>
          </cell>
        </row>
        <row r="1612">
          <cell r="E1612">
            <v>1007442228</v>
          </cell>
          <cell r="F1612" t="str">
            <v>CHAMEZA MENOR</v>
          </cell>
          <cell r="G1612">
            <v>3203632639</v>
          </cell>
        </row>
        <row r="1613">
          <cell r="E1613">
            <v>74865847</v>
          </cell>
          <cell r="F1613" t="str">
            <v>VEREDA HERVIDEROS</v>
          </cell>
          <cell r="G1613">
            <v>3012572809</v>
          </cell>
        </row>
        <row r="1614">
          <cell r="E1614">
            <v>1053771114</v>
          </cell>
          <cell r="F1614" t="str">
            <v>CALLE 11 NO 21A-14</v>
          </cell>
          <cell r="G1614">
            <v>3118986268</v>
          </cell>
        </row>
        <row r="1615">
          <cell r="E1615">
            <v>23810370</v>
          </cell>
          <cell r="F1615" t="str">
            <v>CALLE 3 NO 11-09</v>
          </cell>
          <cell r="G1615">
            <v>3112091691</v>
          </cell>
        </row>
        <row r="1616">
          <cell r="E1616">
            <v>47426660</v>
          </cell>
          <cell r="F1616" t="str">
            <v>CALLE 6 NO 7-39</v>
          </cell>
          <cell r="G1616">
            <v>3123589350</v>
          </cell>
        </row>
        <row r="1617">
          <cell r="E1617">
            <v>1002677024</v>
          </cell>
          <cell r="F1617" t="str">
            <v>CENTRO SACHICA</v>
          </cell>
          <cell r="G1617">
            <v>3108010450</v>
          </cell>
        </row>
        <row r="1618">
          <cell r="E1618">
            <v>1056483662</v>
          </cell>
          <cell r="F1618" t="str">
            <v>CALLE 2 NO 4-79</v>
          </cell>
          <cell r="G1618">
            <v>3158962195</v>
          </cell>
        </row>
        <row r="1619">
          <cell r="E1619">
            <v>900480569</v>
          </cell>
          <cell r="F1619" t="str">
            <v>CARRERA 5 NO 3-34</v>
          </cell>
          <cell r="G1619">
            <v>0</v>
          </cell>
        </row>
        <row r="1620">
          <cell r="E1620">
            <v>1057605055</v>
          </cell>
          <cell r="F1620" t="str">
            <v>CARRERA 18 NO A1-90</v>
          </cell>
          <cell r="G1620">
            <v>3113138880</v>
          </cell>
        </row>
        <row r="1621">
          <cell r="E1621">
            <v>1032449840</v>
          </cell>
          <cell r="F1621" t="str">
            <v>CARRERA 13 A NO 20-18</v>
          </cell>
          <cell r="G1621">
            <v>3214128413</v>
          </cell>
        </row>
        <row r="1622">
          <cell r="E1622">
            <v>1007226180</v>
          </cell>
          <cell r="F1622" t="str">
            <v>VEREDA FRAGUA</v>
          </cell>
          <cell r="G1622">
            <v>3206117787</v>
          </cell>
        </row>
        <row r="1623">
          <cell r="E1623">
            <v>52067376</v>
          </cell>
          <cell r="F1623" t="str">
            <v>ESE SALUD AQUITANIA</v>
          </cell>
          <cell r="G1623">
            <v>3118897970</v>
          </cell>
        </row>
        <row r="1624">
          <cell r="E1624">
            <v>1002414869</v>
          </cell>
          <cell r="F1624" t="str">
            <v>CALLE 8 NO 7-77</v>
          </cell>
          <cell r="G1624">
            <v>3208715341</v>
          </cell>
        </row>
        <row r="1625">
          <cell r="E1625">
            <v>1055553778</v>
          </cell>
          <cell r="F1625" t="str">
            <v>ESE SAN PABLO DE BORBUR</v>
          </cell>
          <cell r="G1625">
            <v>3108004054</v>
          </cell>
        </row>
        <row r="1626">
          <cell r="E1626">
            <v>36726867</v>
          </cell>
          <cell r="F1626" t="str">
            <v>CENTRO RAQUIRA</v>
          </cell>
          <cell r="G1626">
            <v>3108657047</v>
          </cell>
        </row>
        <row r="1627">
          <cell r="E1627">
            <v>1032485236</v>
          </cell>
          <cell r="F1627" t="str">
            <v>CALLE 14 NO 107-54</v>
          </cell>
          <cell r="G1627">
            <v>3124224207</v>
          </cell>
        </row>
        <row r="1628">
          <cell r="E1628">
            <v>1004049394</v>
          </cell>
          <cell r="F1628" t="str">
            <v>CALLE 3 NO 4 14</v>
          </cell>
          <cell r="G1628">
            <v>3227898138</v>
          </cell>
        </row>
        <row r="1629">
          <cell r="E1629">
            <v>39806451</v>
          </cell>
          <cell r="F1629" t="str">
            <v>NOBSA CENTRO</v>
          </cell>
          <cell r="G1629">
            <v>3158880479</v>
          </cell>
        </row>
        <row r="1630">
          <cell r="E1630">
            <v>23965956</v>
          </cell>
          <cell r="F1630" t="str">
            <v>CARRERA 4 NO 10-124</v>
          </cell>
          <cell r="G1630">
            <v>3144098193</v>
          </cell>
        </row>
        <row r="1631">
          <cell r="E1631">
            <v>72325330</v>
          </cell>
          <cell r="F1631" t="str">
            <v>CALLE 7 NO 6 50</v>
          </cell>
          <cell r="G1631">
            <v>3114800492</v>
          </cell>
        </row>
        <row r="1632">
          <cell r="E1632">
            <v>33367973</v>
          </cell>
          <cell r="F1632" t="str">
            <v>VARRERA 2A NO 4-43</v>
          </cell>
          <cell r="G1632">
            <v>3125737282</v>
          </cell>
        </row>
        <row r="1633">
          <cell r="E1633">
            <v>23965643</v>
          </cell>
          <cell r="F1633" t="str">
            <v>CRA 5 NO 10 44</v>
          </cell>
          <cell r="G1633">
            <v>3212345239</v>
          </cell>
        </row>
        <row r="1634">
          <cell r="E1634">
            <v>1140890893</v>
          </cell>
          <cell r="F1634" t="str">
            <v>CALLE 44 CARRERA 46 NO 107 BARRANQUILLA</v>
          </cell>
          <cell r="G1634">
            <v>3045945218</v>
          </cell>
        </row>
        <row r="1635">
          <cell r="E1635">
            <v>91015587</v>
          </cell>
          <cell r="F1635" t="str">
            <v>CALLE 25 NO 19-102</v>
          </cell>
          <cell r="G1635">
            <v>7851477</v>
          </cell>
        </row>
        <row r="1636">
          <cell r="E1636">
            <v>1049623467</v>
          </cell>
          <cell r="F1636" t="str">
            <v>CARRERA 3 NO 8-06</v>
          </cell>
          <cell r="G1636">
            <v>3133843748</v>
          </cell>
        </row>
        <row r="1637">
          <cell r="E1637">
            <v>46683110</v>
          </cell>
          <cell r="F1637" t="str">
            <v>CALLE 26 NO 22-25 OF 202</v>
          </cell>
          <cell r="G1637">
            <v>3133358001</v>
          </cell>
        </row>
        <row r="1638">
          <cell r="E1638">
            <v>1052392267</v>
          </cell>
          <cell r="F1638" t="str">
            <v>CALLE 9A NO 7-87</v>
          </cell>
          <cell r="G1638">
            <v>3227071525</v>
          </cell>
        </row>
        <row r="1639">
          <cell r="E1639">
            <v>74241911</v>
          </cell>
          <cell r="F1639" t="str">
            <v>CARRERA 5 NO 20A-34</v>
          </cell>
          <cell r="G1639">
            <v>7280875</v>
          </cell>
        </row>
        <row r="1640">
          <cell r="E1640">
            <v>1052312871</v>
          </cell>
          <cell r="F1640" t="str">
            <v>CRA 4 NO 8A-47</v>
          </cell>
          <cell r="G1640">
            <v>3214832177</v>
          </cell>
        </row>
        <row r="1641">
          <cell r="E1641">
            <v>1049653712</v>
          </cell>
          <cell r="F1641" t="str">
            <v>TERMINAL DE TRANSPORTE LOCAL 6</v>
          </cell>
          <cell r="G1641">
            <v>3125235029</v>
          </cell>
        </row>
        <row r="1642">
          <cell r="E1642">
            <v>46673596</v>
          </cell>
          <cell r="F1642" t="str">
            <v>CALLE 20A NO 12A-11</v>
          </cell>
          <cell r="G1642">
            <v>3132789165</v>
          </cell>
        </row>
        <row r="1643">
          <cell r="E1643">
            <v>7222204</v>
          </cell>
          <cell r="F1643" t="str">
            <v>CARRERA 21 NO 20-02</v>
          </cell>
          <cell r="G1643">
            <v>3114750687</v>
          </cell>
        </row>
        <row r="1644">
          <cell r="E1644">
            <v>900180739</v>
          </cell>
          <cell r="F1644" t="str">
            <v>CALLE 96 NO 9A-21</v>
          </cell>
          <cell r="G1644">
            <v>6444450</v>
          </cell>
        </row>
        <row r="1645">
          <cell r="E1645">
            <v>1057590865</v>
          </cell>
          <cell r="F1645" t="str">
            <v>CALLE 16A NO 9-15 SOGAMOSO</v>
          </cell>
          <cell r="G1645">
            <v>3229704158</v>
          </cell>
        </row>
        <row r="1646">
          <cell r="E1646">
            <v>900996012</v>
          </cell>
          <cell r="F1646" t="str">
            <v>CARRERA 11 NO 11-41</v>
          </cell>
          <cell r="G1646">
            <v>0</v>
          </cell>
        </row>
        <row r="1647">
          <cell r="E1647">
            <v>900276962</v>
          </cell>
          <cell r="F1647" t="str">
            <v>CARRERA 19 NO 23-65</v>
          </cell>
          <cell r="G1647">
            <v>2541050</v>
          </cell>
        </row>
        <row r="1648">
          <cell r="E1648">
            <v>8909009431</v>
          </cell>
          <cell r="F1648" t="str">
            <v>AV UNIVERSITARIA 50-21</v>
          </cell>
          <cell r="G1648">
            <v>4376868</v>
          </cell>
        </row>
        <row r="1649">
          <cell r="E1649">
            <v>900416861</v>
          </cell>
          <cell r="F1649" t="str">
            <v>CRA 14 NO. 3-18 B. SANTA CATALINA</v>
          </cell>
          <cell r="G1649">
            <v>7721252</v>
          </cell>
        </row>
        <row r="1650">
          <cell r="E1650">
            <v>901000330</v>
          </cell>
          <cell r="F1650" t="str">
            <v>CALLE 80 NO 11-42 OF 502</v>
          </cell>
          <cell r="G1650">
            <v>5188170</v>
          </cell>
        </row>
        <row r="1651">
          <cell r="E1651">
            <v>74130893</v>
          </cell>
          <cell r="F1651" t="str">
            <v>AVENIDA CIRCUNVALAR</v>
          </cell>
          <cell r="G1651">
            <v>3013513950</v>
          </cell>
        </row>
        <row r="1652">
          <cell r="E1652">
            <v>1018454173</v>
          </cell>
          <cell r="F1652" t="str">
            <v>KM 5 VIA MIRAFLORES TUNJA</v>
          </cell>
          <cell r="G1652">
            <v>0</v>
          </cell>
        </row>
        <row r="1653">
          <cell r="E1653">
            <v>900687260</v>
          </cell>
          <cell r="F1653" t="str">
            <v>CARRERA 29 NO 14-47</v>
          </cell>
          <cell r="G1653">
            <v>6333206</v>
          </cell>
        </row>
        <row r="1654">
          <cell r="E1654">
            <v>830008686</v>
          </cell>
          <cell r="F1654" t="str">
            <v>CARRERA 10 NO 30-21</v>
          </cell>
          <cell r="G1654">
            <v>7400042</v>
          </cell>
        </row>
        <row r="1655">
          <cell r="E1655">
            <v>1026275994</v>
          </cell>
          <cell r="F1655" t="str">
            <v>CARRERA 12 NO 29 44</v>
          </cell>
          <cell r="G1655">
            <v>3028456483</v>
          </cell>
        </row>
        <row r="1656">
          <cell r="E1656">
            <v>80390916</v>
          </cell>
          <cell r="F1656" t="str">
            <v>CALLE 6 NO 1-15</v>
          </cell>
          <cell r="G1656">
            <v>3103418550</v>
          </cell>
        </row>
        <row r="1657">
          <cell r="E1657">
            <v>9434674</v>
          </cell>
          <cell r="F1657" t="str">
            <v>CALLE 11 NO 24-68</v>
          </cell>
          <cell r="G1657">
            <v>6324020</v>
          </cell>
        </row>
        <row r="1658">
          <cell r="E1658">
            <v>46671605</v>
          </cell>
          <cell r="F1658" t="str">
            <v>CARRERA 17 No 13-50</v>
          </cell>
          <cell r="G1658">
            <v>3103058710</v>
          </cell>
        </row>
        <row r="1659">
          <cell r="E1659">
            <v>53021016</v>
          </cell>
          <cell r="F1659" t="str">
            <v>CALLE 25 NO 10-65</v>
          </cell>
          <cell r="G1659">
            <v>3187184149</v>
          </cell>
        </row>
        <row r="1660">
          <cell r="E1660">
            <v>860002400</v>
          </cell>
          <cell r="F1660" t="str">
            <v>CALLE 57 NO 9-07</v>
          </cell>
          <cell r="G1660">
            <v>3485757</v>
          </cell>
        </row>
        <row r="1661">
          <cell r="E1661">
            <v>4171539</v>
          </cell>
          <cell r="F1661" t="str">
            <v>CARRERA 2 NO 5-39</v>
          </cell>
          <cell r="G1661">
            <v>3112193582</v>
          </cell>
        </row>
        <row r="1662">
          <cell r="E1662">
            <v>74451823</v>
          </cell>
          <cell r="F1662" t="str">
            <v>VEREDA SANTA ANA</v>
          </cell>
          <cell r="G1662">
            <v>3115639487</v>
          </cell>
        </row>
        <row r="1663">
          <cell r="E1663">
            <v>901263861</v>
          </cell>
          <cell r="F1663" t="str">
            <v>CALLE 1A NO 2-25</v>
          </cell>
          <cell r="G1663">
            <v>3208599113</v>
          </cell>
        </row>
        <row r="1664">
          <cell r="E1664">
            <v>1056504245</v>
          </cell>
          <cell r="F1664" t="str">
            <v>CARRERA 4 NO 2-04 SP DE BORBUR</v>
          </cell>
          <cell r="G1664">
            <v>3102888187</v>
          </cell>
        </row>
        <row r="1665">
          <cell r="E1665">
            <v>1012358229</v>
          </cell>
          <cell r="F1665" t="str">
            <v>VEREDA NUEVE PILAS</v>
          </cell>
          <cell r="G1665">
            <v>3204737787</v>
          </cell>
        </row>
        <row r="1666">
          <cell r="E1666">
            <v>1143331762</v>
          </cell>
          <cell r="F1666" t="str">
            <v>CARRERA 2 NO 47-109</v>
          </cell>
          <cell r="G1666">
            <v>7327546</v>
          </cell>
        </row>
        <row r="1667">
          <cell r="E1667">
            <v>79365821</v>
          </cell>
          <cell r="F1667" t="str">
            <v>AVENIDA AMERICAS NO 11-35</v>
          </cell>
          <cell r="G1667">
            <v>0</v>
          </cell>
        </row>
        <row r="1668">
          <cell r="E1668">
            <v>33647039</v>
          </cell>
          <cell r="F1668" t="str">
            <v>CALLE 16 NO 10-24</v>
          </cell>
          <cell r="G1668">
            <v>3202104745</v>
          </cell>
        </row>
        <row r="1669">
          <cell r="E1669">
            <v>1053605840</v>
          </cell>
          <cell r="F1669" t="str">
            <v>KM 4 VIA PAIPA PANTANO DE VARGAS</v>
          </cell>
          <cell r="G1669">
            <v>3132699678</v>
          </cell>
        </row>
        <row r="1670">
          <cell r="E1670">
            <v>1018507344</v>
          </cell>
          <cell r="F1670" t="str">
            <v>CENTRO DE SALUD DE RAQUIRA</v>
          </cell>
          <cell r="G1670">
            <v>0</v>
          </cell>
        </row>
        <row r="1671">
          <cell r="E1671">
            <v>20923964</v>
          </cell>
          <cell r="F1671" t="str">
            <v>CALLE 5 NO 6-88</v>
          </cell>
          <cell r="G1671">
            <v>3133357377</v>
          </cell>
        </row>
        <row r="1672">
          <cell r="E1672">
            <v>1051477071</v>
          </cell>
          <cell r="F1672" t="str">
            <v>VEREDA QUEBRADAS</v>
          </cell>
          <cell r="G1672">
            <v>3205745028</v>
          </cell>
        </row>
        <row r="1673">
          <cell r="E1673">
            <v>1057586956</v>
          </cell>
          <cell r="F1673" t="str">
            <v>CARRERA 10 NO 6-59</v>
          </cell>
          <cell r="G1673">
            <v>3209635031</v>
          </cell>
        </row>
        <row r="1674">
          <cell r="E1674">
            <v>1057579919</v>
          </cell>
          <cell r="F1674" t="str">
            <v>CARRERA 7 NO 7-44</v>
          </cell>
          <cell r="G1674">
            <v>3123447702</v>
          </cell>
        </row>
        <row r="1675">
          <cell r="E1675">
            <v>74083871</v>
          </cell>
          <cell r="F1675" t="str">
            <v>CARRERA 7 NO 7-44</v>
          </cell>
          <cell r="G1675">
            <v>3107566613</v>
          </cell>
        </row>
        <row r="1676">
          <cell r="E1676">
            <v>52359272</v>
          </cell>
          <cell r="F1676" t="str">
            <v>CENTRO</v>
          </cell>
          <cell r="G1676">
            <v>3125492296</v>
          </cell>
        </row>
        <row r="1677">
          <cell r="E1677">
            <v>72327101</v>
          </cell>
          <cell r="F1677" t="str">
            <v>CRA 6 NO 7 45</v>
          </cell>
          <cell r="G1677">
            <v>3123667273</v>
          </cell>
        </row>
        <row r="1678">
          <cell r="E1678">
            <v>1002458390</v>
          </cell>
          <cell r="F1678" t="str">
            <v>CARRERA 3 NO 6-15</v>
          </cell>
          <cell r="G1678">
            <v>3232019184</v>
          </cell>
        </row>
        <row r="1679">
          <cell r="E1679">
            <v>1032388103</v>
          </cell>
          <cell r="F1679" t="str">
            <v>SOCOTA CENTRO</v>
          </cell>
          <cell r="G1679">
            <v>3212844096</v>
          </cell>
        </row>
        <row r="1680">
          <cell r="E1680">
            <v>24091564</v>
          </cell>
          <cell r="F1680" t="str">
            <v>BARRIO LA PLAYA</v>
          </cell>
          <cell r="G1680">
            <v>3142548163</v>
          </cell>
        </row>
        <row r="1681">
          <cell r="E1681">
            <v>1052388524</v>
          </cell>
          <cell r="F1681" t="str">
            <v>CENTRO</v>
          </cell>
          <cell r="G1681">
            <v>0</v>
          </cell>
        </row>
        <row r="1682">
          <cell r="E1682">
            <v>1057465310</v>
          </cell>
          <cell r="F1682" t="str">
            <v>VEREDA RESGUARDO ALTO</v>
          </cell>
          <cell r="G1682">
            <v>3159279902</v>
          </cell>
        </row>
        <row r="1683">
          <cell r="E1683">
            <v>7186326</v>
          </cell>
          <cell r="F1683" t="str">
            <v>MANZANA C CASA 25 LOS ANDES TUNJA</v>
          </cell>
          <cell r="G1683">
            <v>3124415483</v>
          </cell>
        </row>
        <row r="1684">
          <cell r="E1684">
            <v>1049623175</v>
          </cell>
          <cell r="F1684" t="str">
            <v>CALLE 1 NO 13-20 SACHICA</v>
          </cell>
          <cell r="G1684">
            <v>3222627325</v>
          </cell>
        </row>
        <row r="1685">
          <cell r="E1685">
            <v>1026573663</v>
          </cell>
          <cell r="F1685" t="str">
            <v>ESE HOSPITALDE SOCHA</v>
          </cell>
          <cell r="G1685">
            <v>7874016</v>
          </cell>
        </row>
        <row r="1686">
          <cell r="E1686">
            <v>1057573500</v>
          </cell>
          <cell r="F1686" t="str">
            <v>ESE DE LABRANZAGRANDE</v>
          </cell>
          <cell r="G1686">
            <v>3133972142</v>
          </cell>
        </row>
        <row r="1687">
          <cell r="E1687">
            <v>4218256</v>
          </cell>
          <cell r="F1687" t="str">
            <v>CENTRO</v>
          </cell>
          <cell r="G1687">
            <v>3208404586</v>
          </cell>
        </row>
        <row r="1688">
          <cell r="E1688">
            <v>1051477544</v>
          </cell>
          <cell r="F1688" t="str">
            <v>VEREDA HATO VIEJO</v>
          </cell>
          <cell r="G1688">
            <v>3105412425</v>
          </cell>
        </row>
        <row r="1689">
          <cell r="E1689">
            <v>1002414985</v>
          </cell>
          <cell r="F1689" t="str">
            <v>VEREDA DE PEREZ</v>
          </cell>
          <cell r="G1689">
            <v>3219369427</v>
          </cell>
        </row>
        <row r="1690">
          <cell r="E1690">
            <v>1051473872</v>
          </cell>
          <cell r="F1690" t="str">
            <v>TRANSVERSAL 0 NO 68-22</v>
          </cell>
          <cell r="G1690">
            <v>3124471191</v>
          </cell>
        </row>
        <row r="1691">
          <cell r="E1691">
            <v>46361217</v>
          </cell>
          <cell r="F1691" t="str">
            <v>CALLE 9 NO 3-14</v>
          </cell>
          <cell r="G1691">
            <v>3105879406</v>
          </cell>
        </row>
        <row r="1692">
          <cell r="E1692">
            <v>1130661072</v>
          </cell>
          <cell r="F1692" t="str">
            <v>CALLE 20 NO 9-64</v>
          </cell>
          <cell r="G1692">
            <v>3175553594</v>
          </cell>
        </row>
        <row r="1693">
          <cell r="E1693">
            <v>1002740757</v>
          </cell>
          <cell r="F1693" t="str">
            <v>ESE DE PAYA</v>
          </cell>
          <cell r="G1693">
            <v>3217098035</v>
          </cell>
        </row>
        <row r="1694">
          <cell r="E1694">
            <v>23325008</v>
          </cell>
          <cell r="F1694" t="str">
            <v>CARRERA 6 NO 8-16</v>
          </cell>
          <cell r="G1694">
            <v>3117758170</v>
          </cell>
        </row>
        <row r="1695">
          <cell r="E1695">
            <v>3169972</v>
          </cell>
          <cell r="F1695" t="str">
            <v>CSA 30 B EL PINAR</v>
          </cell>
          <cell r="G1695">
            <v>3107846721</v>
          </cell>
        </row>
        <row r="1696">
          <cell r="E1696">
            <v>1000788479</v>
          </cell>
          <cell r="F1696" t="str">
            <v>VEREDA GUANTA SAN ANTONIO</v>
          </cell>
          <cell r="G1696">
            <v>3143975206</v>
          </cell>
        </row>
        <row r="1697">
          <cell r="E1697">
            <v>53053046</v>
          </cell>
          <cell r="F1697" t="str">
            <v>VRA SOCONZAQUE</v>
          </cell>
          <cell r="G1697">
            <v>3114935667</v>
          </cell>
        </row>
        <row r="1698">
          <cell r="E1698">
            <v>1002674850</v>
          </cell>
          <cell r="F1698" t="str">
            <v>VEREDA PANCOTA PISBA</v>
          </cell>
          <cell r="G1698">
            <v>3208771880</v>
          </cell>
        </row>
        <row r="1699">
          <cell r="E1699">
            <v>1057600380</v>
          </cell>
          <cell r="F1699" t="str">
            <v>CALLE 2F NO 22-11</v>
          </cell>
          <cell r="G1699">
            <v>3112381050</v>
          </cell>
        </row>
        <row r="1700">
          <cell r="E1700">
            <v>1058431082</v>
          </cell>
          <cell r="F1700" t="str">
            <v>CENTRO TASCO</v>
          </cell>
          <cell r="G1700">
            <v>3102037943</v>
          </cell>
        </row>
        <row r="1701">
          <cell r="E1701">
            <v>9529529</v>
          </cell>
          <cell r="F1701" t="str">
            <v>VEREDA MONTERO BAJO</v>
          </cell>
          <cell r="G1701">
            <v>3144658746</v>
          </cell>
        </row>
        <row r="1702">
          <cell r="E1702">
            <v>1056075836</v>
          </cell>
          <cell r="F1702" t="str">
            <v>VEREDA CAICEDOS</v>
          </cell>
          <cell r="G1702">
            <v>3196939597</v>
          </cell>
        </row>
        <row r="1703">
          <cell r="E1703">
            <v>52422680</v>
          </cell>
          <cell r="F1703" t="str">
            <v>CALLE 24 NO 22-19</v>
          </cell>
          <cell r="G1703">
            <v>3132379008</v>
          </cell>
        </row>
        <row r="1704">
          <cell r="E1704">
            <v>23424446</v>
          </cell>
          <cell r="F1704" t="str">
            <v>CALLE 4 NO 13-16</v>
          </cell>
          <cell r="G1704">
            <v>3132271484</v>
          </cell>
        </row>
        <row r="1705">
          <cell r="E1705">
            <v>860039988</v>
          </cell>
          <cell r="F1705" t="str">
            <v>CRA 11 NO 14-105</v>
          </cell>
          <cell r="G1705">
            <v>7707016</v>
          </cell>
        </row>
        <row r="1706">
          <cell r="E1706">
            <v>9510245</v>
          </cell>
          <cell r="F1706" t="str">
            <v>CRA 11 NO 13 71</v>
          </cell>
          <cell r="G1706">
            <v>0</v>
          </cell>
        </row>
        <row r="1707">
          <cell r="E1707">
            <v>1057591162</v>
          </cell>
          <cell r="F1707" t="str">
            <v>CARRERA 15 # 4-21</v>
          </cell>
          <cell r="G1707">
            <v>0</v>
          </cell>
        </row>
        <row r="1708">
          <cell r="E1708">
            <v>1003741976</v>
          </cell>
          <cell r="F1708" t="str">
            <v>CALLE 3 NO 2-76 JERICO</v>
          </cell>
          <cell r="G1708">
            <v>3102264691</v>
          </cell>
        </row>
        <row r="1709">
          <cell r="E1709">
            <v>74389715</v>
          </cell>
          <cell r="F1709" t="str">
            <v>VDA EL VERDE SOCOTA</v>
          </cell>
          <cell r="G1709">
            <v>3202121438</v>
          </cell>
        </row>
        <row r="1710">
          <cell r="E1710">
            <v>63302887</v>
          </cell>
          <cell r="F1710" t="str">
            <v>MZ A CASA 1 BALCONE STERRANOVA</v>
          </cell>
          <cell r="G1710">
            <v>3108186031</v>
          </cell>
        </row>
        <row r="1711">
          <cell r="E1711">
            <v>1049651113</v>
          </cell>
          <cell r="F1711" t="str">
            <v>CALLE 4 NO 5 06 SOOCTA</v>
          </cell>
          <cell r="G1711">
            <v>3134247089</v>
          </cell>
        </row>
        <row r="1712">
          <cell r="E1712">
            <v>901428759</v>
          </cell>
          <cell r="F1712" t="str">
            <v>CALLE 24 NO 13-17</v>
          </cell>
          <cell r="G1712">
            <v>3204739192</v>
          </cell>
        </row>
        <row r="1713">
          <cell r="E1713">
            <v>1029646083</v>
          </cell>
          <cell r="F1713" t="str">
            <v>CALLE 25 NO 21-18 PAIPA</v>
          </cell>
          <cell r="G1713">
            <v>3177723023</v>
          </cell>
        </row>
        <row r="1714">
          <cell r="E1714">
            <v>23660685</v>
          </cell>
          <cell r="F1714" t="str">
            <v>CARRERA 4 NO 2-69</v>
          </cell>
          <cell r="G1714">
            <v>3208951861</v>
          </cell>
        </row>
        <row r="1715">
          <cell r="E1715">
            <v>1118571917</v>
          </cell>
          <cell r="F1715" t="str">
            <v>CALLE 21 NO 26-27</v>
          </cell>
          <cell r="G1715">
            <v>3228864709</v>
          </cell>
        </row>
        <row r="1716">
          <cell r="E1716">
            <v>7126628</v>
          </cell>
          <cell r="F1716" t="str">
            <v>CALLE 4 NO 8-40</v>
          </cell>
          <cell r="G1716">
            <v>3202912756</v>
          </cell>
        </row>
        <row r="1717">
          <cell r="E1717">
            <v>1007446804</v>
          </cell>
          <cell r="F1717" t="str">
            <v>ESE SALUD AQUITANIA</v>
          </cell>
          <cell r="G1717">
            <v>0</v>
          </cell>
        </row>
        <row r="1718">
          <cell r="E1718">
            <v>1054092480</v>
          </cell>
          <cell r="F1718" t="str">
            <v>CARRERA 10 NO 29-30</v>
          </cell>
          <cell r="G1718">
            <v>3124462362</v>
          </cell>
        </row>
        <row r="1719">
          <cell r="E1719">
            <v>72326932</v>
          </cell>
          <cell r="F1719" t="str">
            <v>VEREDA CAICEDO</v>
          </cell>
          <cell r="G1719">
            <v>3057753373</v>
          </cell>
        </row>
        <row r="1720">
          <cell r="E1720">
            <v>53107728</v>
          </cell>
          <cell r="F1720" t="str">
            <v>CARRERA 4 NO 1-37</v>
          </cell>
          <cell r="G1720">
            <v>322293823</v>
          </cell>
        </row>
        <row r="1721">
          <cell r="E1721">
            <v>1056505496</v>
          </cell>
          <cell r="F1721" t="str">
            <v>VEREDA SAN ISIDRO SAN PABLO</v>
          </cell>
          <cell r="G1721">
            <v>3122357178</v>
          </cell>
        </row>
        <row r="1722">
          <cell r="E1722">
            <v>23691555</v>
          </cell>
          <cell r="F1722" t="str">
            <v>CALLE 12 NO 6-63</v>
          </cell>
          <cell r="G1722">
            <v>3218088743</v>
          </cell>
        </row>
        <row r="1723">
          <cell r="E1723">
            <v>1052314131</v>
          </cell>
          <cell r="F1723" t="str">
            <v>CARRERA 2 NO 8-13</v>
          </cell>
          <cell r="G1723">
            <v>3133664341</v>
          </cell>
        </row>
        <row r="1724">
          <cell r="E1724">
            <v>1057599057</v>
          </cell>
          <cell r="F1724" t="str">
            <v>CALLE 22 NO 23-32</v>
          </cell>
          <cell r="G1724">
            <v>3133440067</v>
          </cell>
        </row>
        <row r="1725">
          <cell r="E1725">
            <v>1054093398</v>
          </cell>
          <cell r="F1725" t="str">
            <v>CARRERA 13 NO 11-25</v>
          </cell>
          <cell r="G1725">
            <v>3143908537</v>
          </cell>
        </row>
        <row r="1726">
          <cell r="E1726">
            <v>1013639109</v>
          </cell>
          <cell r="F1726" t="str">
            <v>CARRERA 7 NO 9-25</v>
          </cell>
          <cell r="G1726">
            <v>3214527687</v>
          </cell>
        </row>
        <row r="1727">
          <cell r="E1727">
            <v>23965649</v>
          </cell>
          <cell r="F1727" t="str">
            <v>CALLE 7 NO 2-85</v>
          </cell>
          <cell r="G1727">
            <v>3213044593</v>
          </cell>
        </row>
        <row r="1728">
          <cell r="E1728">
            <v>1002547942</v>
          </cell>
          <cell r="F1728" t="str">
            <v>BARRIO EL CALVARIO SOCOTA</v>
          </cell>
          <cell r="G1728">
            <v>3212765966</v>
          </cell>
        </row>
        <row r="1729">
          <cell r="E1729">
            <v>1020836187</v>
          </cell>
          <cell r="F1729" t="str">
            <v>CENTRO UMBITA</v>
          </cell>
          <cell r="G1729">
            <v>3013955923</v>
          </cell>
        </row>
        <row r="1730">
          <cell r="E1730">
            <v>1118573176</v>
          </cell>
          <cell r="F1730" t="str">
            <v>AV CALLE 66 NO 6-56</v>
          </cell>
          <cell r="G1730">
            <v>3123527012</v>
          </cell>
        </row>
        <row r="1731">
          <cell r="E1731">
            <v>1056507099</v>
          </cell>
          <cell r="F1731" t="str">
            <v>CARRERA 4NO 6-128</v>
          </cell>
          <cell r="G1731">
            <v>3123580270</v>
          </cell>
        </row>
        <row r="1732">
          <cell r="E1732">
            <v>1057600764</v>
          </cell>
          <cell r="F1732" t="str">
            <v>VEREDA BONZA</v>
          </cell>
          <cell r="G1732">
            <v>3208876814</v>
          </cell>
        </row>
        <row r="1733">
          <cell r="E1733">
            <v>1002537471</v>
          </cell>
          <cell r="F1733" t="str">
            <v>VEREDA SANTA ANA</v>
          </cell>
          <cell r="G1733">
            <v>3135073661</v>
          </cell>
        </row>
        <row r="1734">
          <cell r="E1734">
            <v>4292514</v>
          </cell>
          <cell r="F1734" t="str">
            <v>ESTANCIA GRANDE</v>
          </cell>
          <cell r="G1734">
            <v>3102702902</v>
          </cell>
        </row>
        <row r="1735">
          <cell r="E1735">
            <v>24218129</v>
          </cell>
          <cell r="F1735" t="str">
            <v>ESTACION GENDA</v>
          </cell>
          <cell r="G1735">
            <v>3102702902</v>
          </cell>
        </row>
        <row r="1736">
          <cell r="E1736">
            <v>1057573225</v>
          </cell>
          <cell r="F1736" t="str">
            <v>CENTRO NOBSA</v>
          </cell>
          <cell r="G1736">
            <v>0</v>
          </cell>
        </row>
        <row r="1737">
          <cell r="E1737">
            <v>1002679171</v>
          </cell>
          <cell r="F1737" t="str">
            <v>ESE SAN PABLO DE BORBUR</v>
          </cell>
          <cell r="G1737">
            <v>3144295742</v>
          </cell>
        </row>
        <row r="1738">
          <cell r="E1738">
            <v>1051474952</v>
          </cell>
          <cell r="F1738" t="str">
            <v>CRA 10 NO 6 59</v>
          </cell>
          <cell r="G1738">
            <v>3202257765</v>
          </cell>
        </row>
        <row r="1739">
          <cell r="E1739">
            <v>1051475259</v>
          </cell>
          <cell r="F1739" t="str">
            <v>ESE SALUD AQUITANIA</v>
          </cell>
          <cell r="G1739">
            <v>3104801205</v>
          </cell>
        </row>
        <row r="1740">
          <cell r="E1740">
            <v>46370929</v>
          </cell>
          <cell r="F1740" t="str">
            <v>CALLE 6 NO 196- SUR</v>
          </cell>
          <cell r="G1740">
            <v>3134422427</v>
          </cell>
        </row>
        <row r="1741">
          <cell r="E1741">
            <v>1100948107</v>
          </cell>
          <cell r="F1741" t="str">
            <v>CARRERA 18 NO 13-19 DUITAMA</v>
          </cell>
          <cell r="G1741">
            <v>3103306584</v>
          </cell>
        </row>
        <row r="1742">
          <cell r="E1742">
            <v>74187110</v>
          </cell>
          <cell r="F1742" t="str">
            <v>CARRERA 7 NO 7-25</v>
          </cell>
          <cell r="G1742">
            <v>3105748813</v>
          </cell>
        </row>
        <row r="1743">
          <cell r="E1743">
            <v>39760615</v>
          </cell>
          <cell r="F1743" t="str">
            <v>CALLE 4 NO 15-21 SOGAMOSO</v>
          </cell>
          <cell r="G1743">
            <v>312524078</v>
          </cell>
        </row>
        <row r="1744">
          <cell r="E1744">
            <v>800108272</v>
          </cell>
          <cell r="F1744" t="str">
            <v>CARRERA 6 NO 50-70</v>
          </cell>
          <cell r="G1744">
            <v>3138880725</v>
          </cell>
        </row>
        <row r="1745">
          <cell r="E1745">
            <v>41433180</v>
          </cell>
          <cell r="F1745" t="str">
            <v>CARRERA 17 NO 24-52</v>
          </cell>
          <cell r="G1745">
            <v>3002545241</v>
          </cell>
        </row>
        <row r="1746">
          <cell r="E1746">
            <v>860030478</v>
          </cell>
          <cell r="F1746" t="str">
            <v>CARRERA 11 NO 21-90</v>
          </cell>
          <cell r="G1746">
            <v>3147899014</v>
          </cell>
        </row>
        <row r="1747">
          <cell r="E1747">
            <v>1110529692</v>
          </cell>
          <cell r="F1747" t="str">
            <v>ESE DE LABRANZAGRANDE</v>
          </cell>
          <cell r="G1747">
            <v>311529692</v>
          </cell>
        </row>
        <row r="1748">
          <cell r="E1748">
            <v>74130977</v>
          </cell>
          <cell r="F1748" t="str">
            <v>AV LIBERTADORES NO 35-99</v>
          </cell>
          <cell r="G1748">
            <v>3108098891</v>
          </cell>
        </row>
        <row r="1749">
          <cell r="E1749">
            <v>1002538717</v>
          </cell>
          <cell r="F1749" t="str">
            <v>VEREDA BONZA PAIPA</v>
          </cell>
          <cell r="G1749">
            <v>3142849524</v>
          </cell>
        </row>
        <row r="1750">
          <cell r="E1750">
            <v>23965333</v>
          </cell>
          <cell r="F1750" t="str">
            <v>CARRERA 8 NO 8-59</v>
          </cell>
          <cell r="G1750">
            <v>3114983497</v>
          </cell>
        </row>
        <row r="1751">
          <cell r="E1751">
            <v>23323845</v>
          </cell>
          <cell r="F1751" t="str">
            <v>CRA 4 NO 8A-19</v>
          </cell>
          <cell r="G1751">
            <v>3112400836</v>
          </cell>
        </row>
        <row r="1752">
          <cell r="E1752">
            <v>1049618044</v>
          </cell>
          <cell r="F1752" t="str">
            <v>CALLE 5 NO 6-25</v>
          </cell>
          <cell r="G1752">
            <v>3204668581</v>
          </cell>
        </row>
        <row r="1753">
          <cell r="E1753">
            <v>9522767</v>
          </cell>
          <cell r="F1753" t="str">
            <v>CARRERA 34 NO 5C-20</v>
          </cell>
          <cell r="G1753">
            <v>3124882755</v>
          </cell>
        </row>
        <row r="1754">
          <cell r="E1754">
            <v>4136936</v>
          </cell>
          <cell r="F1754" t="str">
            <v>CARRERA 3 NO 4-124</v>
          </cell>
          <cell r="G1754">
            <v>3144029776</v>
          </cell>
        </row>
        <row r="1755">
          <cell r="E1755">
            <v>1051474657</v>
          </cell>
          <cell r="F1755" t="str">
            <v>VEREDA TINTAL</v>
          </cell>
          <cell r="G1755">
            <v>3212380092</v>
          </cell>
        </row>
        <row r="1756">
          <cell r="E1756">
            <v>23925032</v>
          </cell>
          <cell r="F1756" t="str">
            <v>CENTRO</v>
          </cell>
          <cell r="G1756">
            <v>0</v>
          </cell>
        </row>
        <row r="1757">
          <cell r="E1757">
            <v>901167417</v>
          </cell>
          <cell r="F1757" t="str">
            <v>CARRERA 15 NO 119-62</v>
          </cell>
          <cell r="G1757">
            <v>4798545</v>
          </cell>
        </row>
        <row r="1758">
          <cell r="E1758">
            <v>1014302425</v>
          </cell>
          <cell r="F1758" t="str">
            <v>CARRERA 7 NO 4-123</v>
          </cell>
          <cell r="G1758">
            <v>3203025398</v>
          </cell>
        </row>
        <row r="1759">
          <cell r="E1759">
            <v>1100966847</v>
          </cell>
          <cell r="F1759" t="str">
            <v>ESE DE TASCO</v>
          </cell>
          <cell r="G1759">
            <v>0</v>
          </cell>
        </row>
        <row r="1760">
          <cell r="E1760">
            <v>1052312295</v>
          </cell>
          <cell r="F1760" t="str">
            <v>CARRERA 10 NO 6-43 BELEN</v>
          </cell>
          <cell r="G1760">
            <v>3212842544</v>
          </cell>
        </row>
        <row r="1761">
          <cell r="E1761">
            <v>1117336</v>
          </cell>
          <cell r="F1761" t="str">
            <v>CENTRO DE SALUD PISBA</v>
          </cell>
          <cell r="G1761">
            <v>0</v>
          </cell>
        </row>
        <row r="1762">
          <cell r="E1762">
            <v>1117287</v>
          </cell>
          <cell r="F1762" t="str">
            <v>CENTRO DE SALUD DE PISBA</v>
          </cell>
          <cell r="G1762">
            <v>3138063164</v>
          </cell>
        </row>
        <row r="1763">
          <cell r="E1763">
            <v>1118546648</v>
          </cell>
          <cell r="F1763" t="str">
            <v>CENTRO PISBA</v>
          </cell>
          <cell r="G1763">
            <v>3209050431</v>
          </cell>
        </row>
        <row r="1764">
          <cell r="E1764">
            <v>1052315011</v>
          </cell>
          <cell r="F1764" t="str">
            <v>CALLE 7 NO 4-14 BELEN</v>
          </cell>
          <cell r="G1764">
            <v>3227593427</v>
          </cell>
        </row>
        <row r="1765">
          <cell r="E1765">
            <v>1002674951</v>
          </cell>
          <cell r="F1765" t="str">
            <v>CENTRO PISBA BOYACA</v>
          </cell>
          <cell r="G1765">
            <v>3214160307</v>
          </cell>
        </row>
        <row r="1766">
          <cell r="E1766">
            <v>1057582579</v>
          </cell>
          <cell r="F1766" t="str">
            <v>CENTRO PISBA</v>
          </cell>
          <cell r="G1766">
            <v>3144914894</v>
          </cell>
        </row>
        <row r="1767">
          <cell r="E1767">
            <v>1118549634</v>
          </cell>
          <cell r="F1767" t="str">
            <v>CENTRO PAYA</v>
          </cell>
          <cell r="G1767">
            <v>3102368000</v>
          </cell>
        </row>
        <row r="1768">
          <cell r="E1768">
            <v>74084025</v>
          </cell>
          <cell r="F1768" t="str">
            <v>CALLE 4 NO 5 24</v>
          </cell>
          <cell r="G1768">
            <v>0</v>
          </cell>
        </row>
        <row r="1769">
          <cell r="E1769">
            <v>3188460</v>
          </cell>
          <cell r="F1769" t="str">
            <v>CALLE 7A NO 9-54</v>
          </cell>
          <cell r="G1769">
            <v>3106968605</v>
          </cell>
        </row>
        <row r="1770">
          <cell r="E1770">
            <v>40033214</v>
          </cell>
          <cell r="F1770" t="str">
            <v>CALLE 2 NO 11A-17</v>
          </cell>
          <cell r="G1770">
            <v>3214255897</v>
          </cell>
        </row>
        <row r="1771">
          <cell r="E1771">
            <v>1057464879</v>
          </cell>
          <cell r="F1771" t="str">
            <v>CARRERA 5 NO 6-16</v>
          </cell>
          <cell r="G1771">
            <v>3214022926</v>
          </cell>
        </row>
        <row r="1772">
          <cell r="E1772">
            <v>1056958041</v>
          </cell>
          <cell r="F1772" t="str">
            <v>SECTOR PUENTE DE BOYACA</v>
          </cell>
          <cell r="G1772">
            <v>3115756285</v>
          </cell>
        </row>
        <row r="1773">
          <cell r="E1773">
            <v>46382028</v>
          </cell>
          <cell r="F1773" t="str">
            <v>calle 9 no 34-33</v>
          </cell>
          <cell r="G1773">
            <v>3212218289</v>
          </cell>
        </row>
        <row r="1774">
          <cell r="E1774">
            <v>24218758</v>
          </cell>
          <cell r="F1774" t="str">
            <v>VEREDA PUENTE DE PIEDRA</v>
          </cell>
          <cell r="G1774">
            <v>3114531507</v>
          </cell>
        </row>
        <row r="1775">
          <cell r="E1775">
            <v>1002366439</v>
          </cell>
          <cell r="F1775" t="str">
            <v>SECTOR EL CARPI</v>
          </cell>
          <cell r="G1775">
            <v>3132242734</v>
          </cell>
        </row>
        <row r="1776">
          <cell r="E1776">
            <v>900360228</v>
          </cell>
          <cell r="F1776" t="str">
            <v>CALLE 17 NO 15-29 INT 102</v>
          </cell>
          <cell r="G1776">
            <v>3205672201</v>
          </cell>
        </row>
        <row r="1777">
          <cell r="E1777">
            <v>1057578678</v>
          </cell>
          <cell r="F1777" t="str">
            <v>CALLE 13 NO 10-92</v>
          </cell>
          <cell r="G1777">
            <v>3206395103</v>
          </cell>
        </row>
        <row r="1778">
          <cell r="E1778">
            <v>1052398706</v>
          </cell>
          <cell r="F1778" t="str">
            <v>CARRERA 12B NO 46-41</v>
          </cell>
          <cell r="G1778">
            <v>3103340353</v>
          </cell>
        </row>
        <row r="1779">
          <cell r="E1779">
            <v>1049651232</v>
          </cell>
          <cell r="F1779" t="str">
            <v>CENTRO TASCO</v>
          </cell>
          <cell r="G1779">
            <v>3007647843</v>
          </cell>
        </row>
        <row r="1780">
          <cell r="E1780">
            <v>1098606329</v>
          </cell>
          <cell r="F1780" t="str">
            <v>CRA 6 NO 19-57</v>
          </cell>
          <cell r="G1780">
            <v>3143768383</v>
          </cell>
        </row>
        <row r="1781">
          <cell r="E1781">
            <v>1053326358</v>
          </cell>
          <cell r="F1781" t="str">
            <v>CARRERA 14 NO 12A 55 CHIQUINQUIRA</v>
          </cell>
          <cell r="G1781">
            <v>3182399869</v>
          </cell>
        </row>
        <row r="1782">
          <cell r="E1782">
            <v>1056614077</v>
          </cell>
          <cell r="F1782" t="str">
            <v>CARRERA 8 NO 6-28</v>
          </cell>
          <cell r="G1782">
            <v>3112574551</v>
          </cell>
        </row>
        <row r="1783">
          <cell r="E1783">
            <v>1049649660</v>
          </cell>
          <cell r="F1783" t="str">
            <v>CALLE 49A NO 9-85</v>
          </cell>
          <cell r="G1783">
            <v>3213645230</v>
          </cell>
        </row>
        <row r="1784">
          <cell r="E1784">
            <v>46681288</v>
          </cell>
          <cell r="F1784" t="str">
            <v>CALLE 24 NO 20-73 PAIPA</v>
          </cell>
          <cell r="G1784">
            <v>7852856</v>
          </cell>
        </row>
        <row r="1785">
          <cell r="E1785">
            <v>23855497</v>
          </cell>
          <cell r="F1785" t="str">
            <v>CARRERA 23 NO 23-26</v>
          </cell>
          <cell r="G1785">
            <v>3134807861</v>
          </cell>
        </row>
        <row r="1786">
          <cell r="E1786">
            <v>52871325</v>
          </cell>
          <cell r="F1786" t="str">
            <v>VEREDA PUEBLO VIEJO SOCOTA</v>
          </cell>
          <cell r="G1786">
            <v>3112585703</v>
          </cell>
        </row>
        <row r="1787">
          <cell r="E1787">
            <v>1002674947</v>
          </cell>
          <cell r="F1787" t="str">
            <v>BARRIO COGOLLO LABRANZAGRANDE</v>
          </cell>
          <cell r="G1787">
            <v>3142006216</v>
          </cell>
        </row>
        <row r="1788">
          <cell r="E1788">
            <v>1110557773</v>
          </cell>
          <cell r="F1788" t="str">
            <v>ESE LABRANZAGRANDE</v>
          </cell>
          <cell r="G1788">
            <v>3112334093</v>
          </cell>
        </row>
        <row r="1789">
          <cell r="E1789">
            <v>51641874</v>
          </cell>
          <cell r="F1789" t="str">
            <v>CARRERA 17 NO 17-03</v>
          </cell>
          <cell r="G1789">
            <v>7602283</v>
          </cell>
        </row>
        <row r="1790">
          <cell r="E1790">
            <v>79123700</v>
          </cell>
          <cell r="F1790" t="str">
            <v>CARRERA 10 NO 10-60</v>
          </cell>
          <cell r="G1790">
            <v>3115587304</v>
          </cell>
        </row>
        <row r="1791">
          <cell r="E1791">
            <v>79626142</v>
          </cell>
          <cell r="F1791" t="str">
            <v>CALLE 16 NO 8-21</v>
          </cell>
          <cell r="G1791">
            <v>3016104091</v>
          </cell>
        </row>
        <row r="1792">
          <cell r="E1792">
            <v>1053538383</v>
          </cell>
          <cell r="F1792" t="str">
            <v>B VILLA ROSITA CASA 41 IZA</v>
          </cell>
          <cell r="G1792">
            <v>3148249427</v>
          </cell>
        </row>
        <row r="1793">
          <cell r="E1793">
            <v>901769660</v>
          </cell>
          <cell r="F1793" t="str">
            <v>TRANSVERSAL 4 NO 46-71</v>
          </cell>
          <cell r="G1793">
            <v>3116670210</v>
          </cell>
        </row>
        <row r="1794">
          <cell r="E1794">
            <v>1049372848</v>
          </cell>
          <cell r="F1794" t="str">
            <v>VEREDA SAN BERNARDO</v>
          </cell>
          <cell r="G1794">
            <v>3118535868</v>
          </cell>
        </row>
        <row r="1795">
          <cell r="E1795">
            <v>23855235</v>
          </cell>
          <cell r="F1795" t="str">
            <v>AV LIBERTADORES 40-62</v>
          </cell>
          <cell r="G1795">
            <v>0</v>
          </cell>
        </row>
        <row r="1796">
          <cell r="E1796">
            <v>1018429608</v>
          </cell>
          <cell r="F1796" t="str">
            <v>CONTRO TOPAGA</v>
          </cell>
          <cell r="G1796">
            <v>3114790011</v>
          </cell>
        </row>
        <row r="1797">
          <cell r="E1797">
            <v>72325511</v>
          </cell>
          <cell r="F1797" t="str">
            <v>XCALLE 6 NO 12-05</v>
          </cell>
          <cell r="G1797">
            <v>3142975273</v>
          </cell>
        </row>
        <row r="1798">
          <cell r="E1798">
            <v>1024540392</v>
          </cell>
          <cell r="F1798" t="str">
            <v>VEREDA ITOCA NORTE QUIPAMA</v>
          </cell>
          <cell r="G1798">
            <v>3227427424</v>
          </cell>
        </row>
        <row r="1799">
          <cell r="E1799">
            <v>20590767</v>
          </cell>
          <cell r="F1799" t="str">
            <v>CRA 3 NO 10-26</v>
          </cell>
          <cell r="G1799">
            <v>3102578752</v>
          </cell>
        </row>
        <row r="1800">
          <cell r="E1800">
            <v>1118537610</v>
          </cell>
          <cell r="F1800" t="str">
            <v>CALLE 18A NO 22-24</v>
          </cell>
          <cell r="G1800">
            <v>3112856918</v>
          </cell>
        </row>
        <row r="1801">
          <cell r="E1801">
            <v>74082583</v>
          </cell>
          <cell r="F1801" t="str">
            <v>CENTRO</v>
          </cell>
          <cell r="G1801" t="str">
            <v>3134605966_x000D_
3134605966</v>
          </cell>
        </row>
        <row r="1802">
          <cell r="E1802">
            <v>74184149</v>
          </cell>
          <cell r="F1802" t="str">
            <v>CRA 12 NO 2-39</v>
          </cell>
          <cell r="G1802">
            <v>3124599714</v>
          </cell>
        </row>
        <row r="1803">
          <cell r="E1803">
            <v>1098758995</v>
          </cell>
          <cell r="F1803" t="str">
            <v>ESE DE SAN PABLO DE BORBUR</v>
          </cell>
          <cell r="G1803">
            <v>3107985513</v>
          </cell>
        </row>
        <row r="1804">
          <cell r="E1804">
            <v>51678450</v>
          </cell>
          <cell r="F1804" t="str">
            <v>CALLE 5 NO 8-84</v>
          </cell>
          <cell r="G1804">
            <v>3112571942</v>
          </cell>
        </row>
        <row r="1805">
          <cell r="E1805">
            <v>23325132</v>
          </cell>
          <cell r="F1805" t="str">
            <v>VDA EL MOLINO</v>
          </cell>
          <cell r="G1805">
            <v>3142681695</v>
          </cell>
        </row>
        <row r="1806">
          <cell r="E1806">
            <v>24213613</v>
          </cell>
          <cell r="F1806" t="str">
            <v>CARRERA 7 NO. 4-123</v>
          </cell>
          <cell r="G1806">
            <v>3203025408</v>
          </cell>
        </row>
        <row r="1807">
          <cell r="E1807">
            <v>24050396</v>
          </cell>
          <cell r="F1807" t="str">
            <v>CRA 5 NO 5A-35</v>
          </cell>
          <cell r="G1807">
            <v>3112877722</v>
          </cell>
        </row>
        <row r="1808">
          <cell r="E1808">
            <v>79802525</v>
          </cell>
          <cell r="F1808" t="str">
            <v>CARRERA 6 NO 4-66</v>
          </cell>
          <cell r="G1808">
            <v>3223907295</v>
          </cell>
        </row>
        <row r="1809">
          <cell r="E1809">
            <v>46377673</v>
          </cell>
          <cell r="F1809" t="str">
            <v>FINCA EL PEDREGAL</v>
          </cell>
          <cell r="G1809">
            <v>3105649786</v>
          </cell>
        </row>
        <row r="1810">
          <cell r="E1810">
            <v>40037858</v>
          </cell>
          <cell r="F1810" t="str">
            <v>CARRERA 16 NO 6-53</v>
          </cell>
          <cell r="G1810">
            <v>3134545866</v>
          </cell>
        </row>
        <row r="1811">
          <cell r="E1811">
            <v>33377989</v>
          </cell>
          <cell r="F1811" t="str">
            <v>VEREDA BOJIRQUE</v>
          </cell>
          <cell r="G1811">
            <v>3208292341</v>
          </cell>
        </row>
        <row r="1812">
          <cell r="E1812">
            <v>46376449</v>
          </cell>
          <cell r="F1812" t="str">
            <v>CRA 21 NO 6-11</v>
          </cell>
          <cell r="G1812">
            <v>3114797292</v>
          </cell>
        </row>
        <row r="1813">
          <cell r="E1813">
            <v>1051474520</v>
          </cell>
          <cell r="F1813" t="str">
            <v>CALLE 5 NO 8-39</v>
          </cell>
          <cell r="G1813">
            <v>7794681</v>
          </cell>
        </row>
        <row r="1814">
          <cell r="E1814">
            <v>1010228498</v>
          </cell>
          <cell r="F1814" t="str">
            <v>CARRERA 5 NO 7-00</v>
          </cell>
          <cell r="G1814">
            <v>3022178174</v>
          </cell>
        </row>
        <row r="1815">
          <cell r="E1815">
            <v>46456036</v>
          </cell>
          <cell r="F1815" t="str">
            <v>CARRERA 17 NO 18-52</v>
          </cell>
          <cell r="G1815">
            <v>7625659</v>
          </cell>
        </row>
        <row r="1816">
          <cell r="E1816">
            <v>33646884</v>
          </cell>
          <cell r="F1816" t="str">
            <v>CALLE 7 NO 39-02</v>
          </cell>
          <cell r="G1816">
            <v>3142620172</v>
          </cell>
        </row>
        <row r="1817">
          <cell r="E1817">
            <v>1049608851</v>
          </cell>
          <cell r="F1817" t="str">
            <v>BAHIA CAR CALLE 21 NO 11-66</v>
          </cell>
          <cell r="G1817">
            <v>3132516136</v>
          </cell>
        </row>
        <row r="1818">
          <cell r="E1818">
            <v>1053302428</v>
          </cell>
          <cell r="F1818" t="str">
            <v>BARRIO SANTA LUCIA</v>
          </cell>
          <cell r="G1818">
            <v>3208896222</v>
          </cell>
        </row>
        <row r="1819">
          <cell r="E1819">
            <v>74180801</v>
          </cell>
          <cell r="F1819" t="str">
            <v>CARRERA 11 NO 14-55 SOGAMOSO</v>
          </cell>
          <cell r="G1819">
            <v>3147287807</v>
          </cell>
        </row>
        <row r="1820">
          <cell r="E1820">
            <v>7186030</v>
          </cell>
          <cell r="F1820" t="str">
            <v>CALLE 6B NO 6-26 TUNJA</v>
          </cell>
          <cell r="G1820">
            <v>3115664945</v>
          </cell>
        </row>
        <row r="1821">
          <cell r="E1821">
            <v>1049609005</v>
          </cell>
          <cell r="F1821" t="str">
            <v>CENTRO SOCOTA_x000D_
CENTO SOCOTA</v>
          </cell>
          <cell r="G1821">
            <v>3107519333</v>
          </cell>
        </row>
        <row r="1822">
          <cell r="E1822">
            <v>23946359</v>
          </cell>
          <cell r="F1822" t="str">
            <v>ESE SALUD AQUITANIA</v>
          </cell>
          <cell r="G1822">
            <v>3142658798</v>
          </cell>
        </row>
        <row r="1823">
          <cell r="E1823">
            <v>7126167</v>
          </cell>
          <cell r="F1823" t="str">
            <v>CARRERA 8 NO 2-86 SOGAMOSO</v>
          </cell>
          <cell r="G1823">
            <v>3132519727</v>
          </cell>
        </row>
        <row r="1824">
          <cell r="E1824">
            <v>1032436336</v>
          </cell>
          <cell r="F1824" t="str">
            <v>CALLE 127 NO 7-20</v>
          </cell>
          <cell r="G1824">
            <v>0</v>
          </cell>
        </row>
        <row r="1825">
          <cell r="E1825">
            <v>24212798</v>
          </cell>
          <cell r="F1825" t="str">
            <v>CENTRO UMBITA</v>
          </cell>
          <cell r="G1825">
            <v>3133555343</v>
          </cell>
        </row>
        <row r="1826">
          <cell r="E1826">
            <v>1051477700</v>
          </cell>
          <cell r="F1826" t="str">
            <v>ESE SALUD AQUITANIA</v>
          </cell>
          <cell r="G1826">
            <v>3139727236</v>
          </cell>
        </row>
        <row r="1827">
          <cell r="E1827">
            <v>1233509690</v>
          </cell>
          <cell r="F1827" t="str">
            <v>VEREDA ESCOBAL</v>
          </cell>
          <cell r="G1827">
            <v>3136136732</v>
          </cell>
        </row>
        <row r="1828">
          <cell r="E1828">
            <v>47430960</v>
          </cell>
          <cell r="F1828" t="str">
            <v>CALLE 31B NO 30-38</v>
          </cell>
          <cell r="G1828">
            <v>3118346140</v>
          </cell>
        </row>
        <row r="1829">
          <cell r="E1829">
            <v>33365264</v>
          </cell>
          <cell r="F1829" t="str">
            <v>CRA 86B NO 53 98</v>
          </cell>
          <cell r="G1829">
            <v>3118293924</v>
          </cell>
        </row>
        <row r="1830">
          <cell r="E1830">
            <v>51620996</v>
          </cell>
          <cell r="F1830" t="str">
            <v>BARRIO SIMON BOLIVAR</v>
          </cell>
          <cell r="G1830">
            <v>3125867611</v>
          </cell>
        </row>
        <row r="1831">
          <cell r="E1831">
            <v>1002683171</v>
          </cell>
          <cell r="F1831" t="str">
            <v>VEREDA BOSQUE</v>
          </cell>
          <cell r="G1831">
            <v>3202115454</v>
          </cell>
        </row>
        <row r="1832">
          <cell r="E1832">
            <v>1056613928</v>
          </cell>
          <cell r="F1832" t="str">
            <v>VEREDA EL BOSQUE</v>
          </cell>
          <cell r="G1832">
            <v>3128122458</v>
          </cell>
        </row>
        <row r="1833">
          <cell r="E1833">
            <v>70786075</v>
          </cell>
          <cell r="F1833" t="str">
            <v>ESE DE PAYA</v>
          </cell>
          <cell r="G1833">
            <v>0</v>
          </cell>
        </row>
        <row r="1834">
          <cell r="E1834">
            <v>52465023</v>
          </cell>
          <cell r="F1834" t="str">
            <v>CRA 1 NO 10-56</v>
          </cell>
          <cell r="G1834">
            <v>3125898441</v>
          </cell>
        </row>
        <row r="1835">
          <cell r="E1835">
            <v>900491889</v>
          </cell>
          <cell r="F1835" t="str">
            <v>VEREDA CARREÑO</v>
          </cell>
          <cell r="G1835">
            <v>3202757602</v>
          </cell>
        </row>
        <row r="1836">
          <cell r="E1836">
            <v>63438450</v>
          </cell>
          <cell r="F1836" t="str">
            <v>VEREDA FUNZA TINJACA</v>
          </cell>
          <cell r="G1836">
            <v>3148112427</v>
          </cell>
        </row>
        <row r="1837">
          <cell r="E1837">
            <v>23264433</v>
          </cell>
          <cell r="F1837" t="str">
            <v>CALLE 23 NO 10-23</v>
          </cell>
          <cell r="G1837">
            <v>7402960</v>
          </cell>
        </row>
        <row r="1838">
          <cell r="E1838">
            <v>11185719</v>
          </cell>
          <cell r="F1838" t="str">
            <v>CALLE 11 NO 17-01</v>
          </cell>
          <cell r="G1838">
            <v>3128698196</v>
          </cell>
        </row>
        <row r="1839">
          <cell r="E1839">
            <v>74181923</v>
          </cell>
          <cell r="F1839" t="str">
            <v>CALLE 4 NO 2-19</v>
          </cell>
          <cell r="G1839">
            <v>3125512688</v>
          </cell>
        </row>
        <row r="1840">
          <cell r="E1840">
            <v>80028863</v>
          </cell>
          <cell r="F1840" t="str">
            <v>CALLE 131A NO 53B 91</v>
          </cell>
          <cell r="G1840">
            <v>3115980808</v>
          </cell>
        </row>
        <row r="1841">
          <cell r="E1841">
            <v>80029863</v>
          </cell>
          <cell r="F1841" t="str">
            <v>CALLE 131A NO 53B 91 APTO 403 INT 1</v>
          </cell>
          <cell r="G1841">
            <v>3115980808</v>
          </cell>
        </row>
        <row r="1842">
          <cell r="E1842">
            <v>901097473</v>
          </cell>
          <cell r="F1842" t="str">
            <v>CALLE 26 NO 78-07</v>
          </cell>
          <cell r="G1842">
            <v>6510777</v>
          </cell>
        </row>
        <row r="1843">
          <cell r="E1843">
            <v>1057579540</v>
          </cell>
          <cell r="F1843" t="str">
            <v>CRA 11A NO 20-21</v>
          </cell>
          <cell r="G1843">
            <v>3214544162</v>
          </cell>
        </row>
        <row r="1844">
          <cell r="E1844">
            <v>52876217</v>
          </cell>
          <cell r="F1844" t="str">
            <v>CALLE 22A NO12-29</v>
          </cell>
          <cell r="G1844">
            <v>3204686174</v>
          </cell>
        </row>
        <row r="1845">
          <cell r="E1845">
            <v>24010853</v>
          </cell>
          <cell r="F1845" t="str">
            <v>CARRERA 3 NO 2-01 SACHICA</v>
          </cell>
          <cell r="G1845">
            <v>3112012664</v>
          </cell>
        </row>
        <row r="1846">
          <cell r="E1846">
            <v>4232588</v>
          </cell>
          <cell r="F1846" t="str">
            <v>CALLE 3 NO 2-51</v>
          </cell>
          <cell r="G1846">
            <v>3204991698</v>
          </cell>
        </row>
        <row r="1847">
          <cell r="E1847">
            <v>1053616109</v>
          </cell>
          <cell r="F1847" t="str">
            <v>CALLE 19 NO 22 74</v>
          </cell>
          <cell r="G1847">
            <v>3134865169</v>
          </cell>
        </row>
        <row r="1848">
          <cell r="E1848">
            <v>74324204</v>
          </cell>
          <cell r="F1848" t="str">
            <v>CALLE 19 NO 22-24</v>
          </cell>
          <cell r="G1848">
            <v>3203442445</v>
          </cell>
        </row>
        <row r="1849">
          <cell r="E1849">
            <v>23857870</v>
          </cell>
          <cell r="F1849" t="str">
            <v>MZ K CASA 17 S.D.</v>
          </cell>
          <cell r="G1849">
            <v>3144540072</v>
          </cell>
        </row>
        <row r="1850">
          <cell r="E1850">
            <v>74359419</v>
          </cell>
          <cell r="F1850" t="str">
            <v>CALLE 30 NO 12A-02</v>
          </cell>
          <cell r="G1850">
            <v>3228379077</v>
          </cell>
        </row>
        <row r="1851">
          <cell r="E1851">
            <v>1018462300</v>
          </cell>
          <cell r="F1851" t="str">
            <v>PUENTE DE BOYACA</v>
          </cell>
          <cell r="G1851">
            <v>3212906221</v>
          </cell>
        </row>
        <row r="1852">
          <cell r="E1852">
            <v>1058038752</v>
          </cell>
          <cell r="F1852" t="str">
            <v>CARRERA 4 NO 1-63</v>
          </cell>
          <cell r="G1852">
            <v>3144048411</v>
          </cell>
        </row>
        <row r="1853">
          <cell r="E1853">
            <v>1056482454</v>
          </cell>
          <cell r="F1853" t="str">
            <v>CALLE 4 NO 6-56</v>
          </cell>
          <cell r="G1853">
            <v>3144890594</v>
          </cell>
        </row>
        <row r="1854">
          <cell r="E1854">
            <v>826002834</v>
          </cell>
          <cell r="F1854" t="str">
            <v>CALLE 25 NO 20-60</v>
          </cell>
          <cell r="G1854">
            <v>7852443</v>
          </cell>
        </row>
        <row r="1855">
          <cell r="E1855">
            <v>1052312353</v>
          </cell>
          <cell r="F1855" t="str">
            <v>CARRERA 5 # 7</v>
          </cell>
          <cell r="G1855">
            <v>0</v>
          </cell>
        </row>
        <row r="1856">
          <cell r="E1856">
            <v>901097607</v>
          </cell>
          <cell r="F1856" t="str">
            <v>TV 78 NO 65-18</v>
          </cell>
          <cell r="G1856">
            <v>2575916</v>
          </cell>
        </row>
        <row r="1857">
          <cell r="E1857">
            <v>1113659377</v>
          </cell>
          <cell r="F1857" t="str">
            <v>CALLÑE 49 NO 17-15</v>
          </cell>
          <cell r="G1857">
            <v>3205192529</v>
          </cell>
        </row>
        <row r="1858">
          <cell r="E1858">
            <v>43056811</v>
          </cell>
          <cell r="F1858" t="str">
            <v>CALLE 8 NO 10-34</v>
          </cell>
          <cell r="G1858">
            <v>3105372168</v>
          </cell>
        </row>
        <row r="1859">
          <cell r="E1859">
            <v>1056506646</v>
          </cell>
          <cell r="F1859" t="str">
            <v>VEREDA SAN MARTIN SP DE BORBUR</v>
          </cell>
          <cell r="G1859">
            <v>3112545522</v>
          </cell>
        </row>
        <row r="1860">
          <cell r="E1860">
            <v>30343448</v>
          </cell>
          <cell r="F1860" t="str">
            <v>CALLE 9 NO 7-15 QUIPAMA</v>
          </cell>
          <cell r="G1860">
            <v>3203451163</v>
          </cell>
        </row>
        <row r="1861">
          <cell r="E1861">
            <v>1057547391</v>
          </cell>
          <cell r="F1861" t="str">
            <v>CENTRO JERICO</v>
          </cell>
          <cell r="G1861">
            <v>3144788877</v>
          </cell>
        </row>
        <row r="1862">
          <cell r="E1862">
            <v>23913426</v>
          </cell>
          <cell r="F1862" t="str">
            <v>CARRERA 7 NO 6-68</v>
          </cell>
          <cell r="G1862">
            <v>7874398</v>
          </cell>
        </row>
        <row r="1863">
          <cell r="E1863">
            <v>1053609298</v>
          </cell>
          <cell r="F1863" t="str">
            <v>CARRERA 24 NO 10A 211</v>
          </cell>
          <cell r="G1863">
            <v>3138492052</v>
          </cell>
        </row>
        <row r="1864">
          <cell r="E1864">
            <v>1014267492</v>
          </cell>
          <cell r="F1864" t="str">
            <v>CENTRO AQUITANIA</v>
          </cell>
          <cell r="G1864">
            <v>3104689105</v>
          </cell>
        </row>
        <row r="1865">
          <cell r="E1865">
            <v>46373189</v>
          </cell>
          <cell r="F1865" t="str">
            <v>CARRERA 13 NO 2A SUR-38 SOGAMOSO</v>
          </cell>
          <cell r="G1865">
            <v>3203182749</v>
          </cell>
        </row>
        <row r="1866">
          <cell r="E1866">
            <v>46372793</v>
          </cell>
          <cell r="F1866" t="str">
            <v>BARRIO EL RECREO SOGAMOSO</v>
          </cell>
          <cell r="G1866">
            <v>0</v>
          </cell>
        </row>
        <row r="1867">
          <cell r="E1867">
            <v>9529106</v>
          </cell>
          <cell r="F1867" t="str">
            <v>CALLE 17 NO 11A 56</v>
          </cell>
          <cell r="G1867" t="str">
            <v>3208424347_x000D_
3208424347</v>
          </cell>
        </row>
        <row r="1868">
          <cell r="E1868">
            <v>20923280</v>
          </cell>
          <cell r="F1868" t="str">
            <v>CALLE 5 NO 6-88</v>
          </cell>
          <cell r="G1868">
            <v>0</v>
          </cell>
        </row>
        <row r="1869">
          <cell r="E1869">
            <v>20923383</v>
          </cell>
          <cell r="F1869" t="str">
            <v>CALLE 5 NO 6-88</v>
          </cell>
          <cell r="G1869">
            <v>3142856465</v>
          </cell>
        </row>
        <row r="1870">
          <cell r="E1870">
            <v>33630721</v>
          </cell>
          <cell r="F1870" t="str">
            <v>CENTRO TASCO</v>
          </cell>
          <cell r="G1870">
            <v>3138615785</v>
          </cell>
        </row>
        <row r="1871">
          <cell r="E1871">
            <v>1051590194</v>
          </cell>
          <cell r="F1871" t="str">
            <v>CENTRO DE SALUD PISBA</v>
          </cell>
          <cell r="G1871">
            <v>3212194545</v>
          </cell>
        </row>
        <row r="1872">
          <cell r="E1872">
            <v>1053608790</v>
          </cell>
          <cell r="F1872" t="str">
            <v>CARRERA 19 No 23-74</v>
          </cell>
          <cell r="G1872">
            <v>3219656448</v>
          </cell>
        </row>
        <row r="1873">
          <cell r="E1873">
            <v>1057893126</v>
          </cell>
          <cell r="F1873" t="str">
            <v>CARRERA 4 NO 6-2</v>
          </cell>
          <cell r="G1873">
            <v>3164112703</v>
          </cell>
        </row>
        <row r="1874">
          <cell r="E1874">
            <v>1030556401</v>
          </cell>
          <cell r="F1874" t="str">
            <v>CALLE 1 NO 2 97</v>
          </cell>
          <cell r="G1874">
            <v>3123778618</v>
          </cell>
        </row>
        <row r="1875">
          <cell r="E1875">
            <v>1002742960</v>
          </cell>
          <cell r="F1875" t="str">
            <v>CARRERA 2 NO 2-35 PISBA</v>
          </cell>
          <cell r="G1875">
            <v>3105432102</v>
          </cell>
        </row>
        <row r="1876">
          <cell r="E1876">
            <v>41724509</v>
          </cell>
          <cell r="F1876" t="str">
            <v>CALLE 3 NO 4-44</v>
          </cell>
          <cell r="G1876">
            <v>3102361618</v>
          </cell>
        </row>
        <row r="1877">
          <cell r="E1877">
            <v>1098436742</v>
          </cell>
          <cell r="F1877" t="str">
            <v>carrera 5 no 8-30</v>
          </cell>
          <cell r="G1877">
            <v>3222497760</v>
          </cell>
        </row>
        <row r="1878">
          <cell r="E1878">
            <v>1056505592</v>
          </cell>
          <cell r="F1878" t="str">
            <v>CARRERA 3 NO 6-94</v>
          </cell>
          <cell r="G1878">
            <v>3143382984</v>
          </cell>
        </row>
        <row r="1879">
          <cell r="E1879">
            <v>52806055</v>
          </cell>
          <cell r="F1879" t="str">
            <v>CENTRO SOCOTA</v>
          </cell>
          <cell r="G1879">
            <v>3143083338</v>
          </cell>
        </row>
        <row r="1880">
          <cell r="E1880">
            <v>24091009</v>
          </cell>
          <cell r="F1880" t="str">
            <v>SOCOTA SECTOR EL MORRO</v>
          </cell>
          <cell r="G1880">
            <v>3143404253</v>
          </cell>
        </row>
        <row r="1881">
          <cell r="E1881">
            <v>79893039</v>
          </cell>
          <cell r="F1881" t="str">
            <v>CALLE 18 NO 12-53 LOCAL 217</v>
          </cell>
          <cell r="G1881">
            <v>6087628056</v>
          </cell>
        </row>
        <row r="1882">
          <cell r="E1882">
            <v>1057592230</v>
          </cell>
          <cell r="F1882" t="str">
            <v>CALLE 4 NO 10-59</v>
          </cell>
          <cell r="G1882">
            <v>3212349782</v>
          </cell>
        </row>
        <row r="1883">
          <cell r="E1883">
            <v>1054253645</v>
          </cell>
          <cell r="F1883" t="str">
            <v>CENTRO SOCOTA</v>
          </cell>
          <cell r="G1883">
            <v>3107678755</v>
          </cell>
        </row>
        <row r="1884">
          <cell r="E1884">
            <v>1053611169</v>
          </cell>
          <cell r="F1884" t="str">
            <v>VEREDA PARAMO TUTAZA</v>
          </cell>
          <cell r="G1884">
            <v>3219448131</v>
          </cell>
        </row>
        <row r="1885">
          <cell r="E1885">
            <v>1049622541</v>
          </cell>
          <cell r="F1885" t="str">
            <v>CARRERA 7 NO 7-21</v>
          </cell>
          <cell r="G1885">
            <v>7327546</v>
          </cell>
        </row>
        <row r="1886">
          <cell r="E1886">
            <v>1056553798</v>
          </cell>
          <cell r="F1886" t="str">
            <v>CARRERA 10 NO 10-03</v>
          </cell>
          <cell r="G1886">
            <v>3102614074</v>
          </cell>
        </row>
        <row r="1887">
          <cell r="E1887">
            <v>1054803106</v>
          </cell>
          <cell r="F1887" t="str">
            <v>CARRERA 4 NO 51-05</v>
          </cell>
          <cell r="G1887">
            <v>3165638140</v>
          </cell>
        </row>
        <row r="1888">
          <cell r="E1888">
            <v>23966133</v>
          </cell>
          <cell r="F1888" t="str">
            <v>VRDA ESCOBAL</v>
          </cell>
          <cell r="G1888">
            <v>3115560511</v>
          </cell>
        </row>
        <row r="1889">
          <cell r="E1889">
            <v>1049626848</v>
          </cell>
          <cell r="F1889" t="str">
            <v>CARRERA 10 NO 12-70</v>
          </cell>
          <cell r="G1889">
            <v>3202163537</v>
          </cell>
        </row>
        <row r="1890">
          <cell r="E1890">
            <v>1051590733</v>
          </cell>
          <cell r="F1890" t="str">
            <v>CALLE 25 NO 21-18 PAIPA</v>
          </cell>
          <cell r="G1890">
            <v>3177723023</v>
          </cell>
        </row>
        <row r="1891">
          <cell r="E1891">
            <v>1052312352</v>
          </cell>
          <cell r="F1891" t="str">
            <v>CALLE 6 NO 9-29</v>
          </cell>
          <cell r="G1891">
            <v>3102304733</v>
          </cell>
        </row>
        <row r="1892">
          <cell r="E1892">
            <v>7171041</v>
          </cell>
          <cell r="F1892" t="str">
            <v>TR 5 NO 13-23</v>
          </cell>
          <cell r="G1892">
            <v>3112150465</v>
          </cell>
        </row>
        <row r="1893">
          <cell r="E1893">
            <v>1093414113</v>
          </cell>
          <cell r="F1893" t="str">
            <v>VEREDA SGRA BAJO SOHA</v>
          </cell>
          <cell r="G1893">
            <v>3203049949</v>
          </cell>
        </row>
        <row r="1894">
          <cell r="E1894">
            <v>7318596</v>
          </cell>
          <cell r="F1894" t="str">
            <v>CALLE 5 NO 2-05</v>
          </cell>
          <cell r="G1894">
            <v>3204131321</v>
          </cell>
        </row>
        <row r="1895">
          <cell r="E1895">
            <v>900116319</v>
          </cell>
          <cell r="F1895" t="str">
            <v>CARRERA 17 NO 93-09</v>
          </cell>
          <cell r="G1895">
            <v>0</v>
          </cell>
        </row>
        <row r="1896">
          <cell r="E1896">
            <v>1052313969</v>
          </cell>
          <cell r="F1896" t="str">
            <v>CALLE 5 NO 4 33</v>
          </cell>
          <cell r="G1896">
            <v>3133951637</v>
          </cell>
        </row>
        <row r="1897">
          <cell r="E1897">
            <v>53044959</v>
          </cell>
          <cell r="F1897" t="str">
            <v>CENTRO SOCHA</v>
          </cell>
          <cell r="G1897">
            <v>3118403942</v>
          </cell>
        </row>
        <row r="1898">
          <cell r="E1898">
            <v>7186191</v>
          </cell>
          <cell r="F1898" t="str">
            <v>TR 2 NO 64-74</v>
          </cell>
          <cell r="G1898">
            <v>3102112303</v>
          </cell>
        </row>
        <row r="1899">
          <cell r="E1899">
            <v>46385823</v>
          </cell>
          <cell r="F1899" t="str">
            <v>CARRERA 11 NO 37 24</v>
          </cell>
          <cell r="G1899">
            <v>3108715958</v>
          </cell>
        </row>
        <row r="1900">
          <cell r="E1900">
            <v>74083747</v>
          </cell>
          <cell r="F1900" t="str">
            <v>CALLE 12 NO 11-53</v>
          </cell>
          <cell r="G1900">
            <v>3103439270</v>
          </cell>
        </row>
        <row r="1901">
          <cell r="E1901">
            <v>63825515</v>
          </cell>
          <cell r="F1901" t="str">
            <v>CALLE 15 NO 10-18</v>
          </cell>
          <cell r="G1901">
            <v>3103547690</v>
          </cell>
        </row>
        <row r="1902">
          <cell r="E1902">
            <v>1002547995</v>
          </cell>
          <cell r="F1902" t="str">
            <v>VEREDA BACOTA</v>
          </cell>
          <cell r="G1902" t="str">
            <v>JERICO</v>
          </cell>
        </row>
        <row r="1903">
          <cell r="E1903">
            <v>1094266648</v>
          </cell>
          <cell r="F1903" t="str">
            <v>CARRERA 5 NO 5-30</v>
          </cell>
          <cell r="G1903">
            <v>3204163919</v>
          </cell>
        </row>
        <row r="1904">
          <cell r="E1904">
            <v>1049656947</v>
          </cell>
          <cell r="F1904" t="str">
            <v>CALLE 5 NO 6A 95</v>
          </cell>
          <cell r="G1904">
            <v>3144868766</v>
          </cell>
        </row>
        <row r="1905">
          <cell r="E1905">
            <v>9531375</v>
          </cell>
          <cell r="F1905" t="str">
            <v>CRA 5 NO 7-26</v>
          </cell>
          <cell r="G1905">
            <v>3112440171</v>
          </cell>
        </row>
        <row r="1906">
          <cell r="E1906">
            <v>1057593072</v>
          </cell>
          <cell r="F1906" t="str">
            <v>CALLE 8 NO 7-60</v>
          </cell>
          <cell r="G1906">
            <v>3108114112</v>
          </cell>
        </row>
        <row r="1907">
          <cell r="E1907">
            <v>1049602714</v>
          </cell>
          <cell r="F1907" t="str">
            <v>CARRERA 5 NO 11-03</v>
          </cell>
          <cell r="G1907">
            <v>3115152074</v>
          </cell>
        </row>
        <row r="1908">
          <cell r="E1908">
            <v>23449293</v>
          </cell>
          <cell r="F1908" t="str">
            <v>TR 2 NO 4-83</v>
          </cell>
          <cell r="G1908">
            <v>3214416297</v>
          </cell>
        </row>
        <row r="1909">
          <cell r="E1909">
            <v>1057575742</v>
          </cell>
          <cell r="F1909" t="str">
            <v>CENTRO MONGUI</v>
          </cell>
          <cell r="G1909">
            <v>3142776995</v>
          </cell>
        </row>
        <row r="1910">
          <cell r="E1910">
            <v>1051472629</v>
          </cell>
          <cell r="F1910" t="str">
            <v>CALLE 5 NO 5-20</v>
          </cell>
          <cell r="G1910">
            <v>3107773365</v>
          </cell>
        </row>
        <row r="1911">
          <cell r="E1911">
            <v>1051476682</v>
          </cell>
          <cell r="F1911" t="str">
            <v>CARRERA 1E NO 2 TERRAZAS DE SANTA INES</v>
          </cell>
          <cell r="G1911">
            <v>3133330241</v>
          </cell>
        </row>
        <row r="1912">
          <cell r="E1912">
            <v>1051477745</v>
          </cell>
          <cell r="F1912" t="str">
            <v>SECTOR NAZARETH</v>
          </cell>
          <cell r="G1912">
            <v>3112569209</v>
          </cell>
        </row>
        <row r="1913">
          <cell r="E1913">
            <v>33366161</v>
          </cell>
          <cell r="F1913" t="str">
            <v>CRA 5 NO 5-36</v>
          </cell>
          <cell r="G1913">
            <v>3125769637</v>
          </cell>
        </row>
        <row r="1914">
          <cell r="E1914">
            <v>23945902</v>
          </cell>
          <cell r="F1914" t="str">
            <v>CARRERA 6 NO 5-03</v>
          </cell>
          <cell r="G1914">
            <v>3133899300</v>
          </cell>
        </row>
        <row r="1915">
          <cell r="E1915">
            <v>40037992</v>
          </cell>
          <cell r="F1915" t="str">
            <v>SECTOR PUENTE BOYACA</v>
          </cell>
          <cell r="G1915">
            <v>3203433942</v>
          </cell>
        </row>
        <row r="1916">
          <cell r="E1916">
            <v>1051474519</v>
          </cell>
          <cell r="F1916" t="str">
            <v>VEREDA SUSACA</v>
          </cell>
          <cell r="G1916">
            <v>3213203105</v>
          </cell>
        </row>
        <row r="1917">
          <cell r="E1917">
            <v>72325356</v>
          </cell>
          <cell r="F1917" t="str">
            <v>CARRERA 3 NO 7-21</v>
          </cell>
          <cell r="G1917">
            <v>7327546</v>
          </cell>
        </row>
        <row r="1918">
          <cell r="E1918">
            <v>1051474247</v>
          </cell>
          <cell r="F1918" t="str">
            <v>CALLE 9 NO 5-88</v>
          </cell>
          <cell r="G1918">
            <v>3107598455</v>
          </cell>
        </row>
        <row r="1919">
          <cell r="E1919">
            <v>7126823</v>
          </cell>
          <cell r="F1919" t="str">
            <v>CRA 6 NO 4-26</v>
          </cell>
          <cell r="G1919">
            <v>3102689839</v>
          </cell>
        </row>
        <row r="1920">
          <cell r="E1920">
            <v>1051476017</v>
          </cell>
          <cell r="F1920" t="str">
            <v>VEREDA QUEBRADA</v>
          </cell>
          <cell r="G1920">
            <v>3229490271</v>
          </cell>
        </row>
        <row r="1921">
          <cell r="E1921">
            <v>1057594292</v>
          </cell>
          <cell r="F1921" t="str">
            <v>CALLE 7 NO 9-28</v>
          </cell>
          <cell r="G1921">
            <v>3186996278</v>
          </cell>
        </row>
        <row r="1922">
          <cell r="E1922">
            <v>1007196710</v>
          </cell>
          <cell r="F1922" t="str">
            <v>VEREDA DE PEREZ AQUITANIA</v>
          </cell>
          <cell r="G1922">
            <v>3228484022</v>
          </cell>
        </row>
        <row r="1923">
          <cell r="E1923">
            <v>1049627603</v>
          </cell>
          <cell r="F1923" t="str">
            <v>CALLE 18 NO 9-64</v>
          </cell>
          <cell r="G1923">
            <v>3115198450</v>
          </cell>
        </row>
        <row r="1924">
          <cell r="E1924">
            <v>38889363</v>
          </cell>
          <cell r="F1924" t="str">
            <v>CALLE 2 NO 9-19</v>
          </cell>
          <cell r="G1924">
            <v>3107931514</v>
          </cell>
        </row>
        <row r="1925">
          <cell r="E1925">
            <v>23755369</v>
          </cell>
          <cell r="F1925" t="str">
            <v>AV LIBERTADORES NO 25-00</v>
          </cell>
          <cell r="G1925">
            <v>7850729</v>
          </cell>
        </row>
        <row r="1926">
          <cell r="E1926">
            <v>6006685</v>
          </cell>
          <cell r="F1926" t="str">
            <v>CALLE 5 NO 6-14</v>
          </cell>
          <cell r="G1926">
            <v>3125958650</v>
          </cell>
        </row>
        <row r="1927">
          <cell r="E1927">
            <v>7217415</v>
          </cell>
          <cell r="F1927" t="str">
            <v>CALLE 25 NO 19-108</v>
          </cell>
          <cell r="G1927">
            <v>0</v>
          </cell>
        </row>
        <row r="1928">
          <cell r="E1928">
            <v>24048375</v>
          </cell>
          <cell r="F1928" t="str">
            <v>CALLE 25 NO. 23-25</v>
          </cell>
          <cell r="G1928">
            <v>7451818</v>
          </cell>
        </row>
        <row r="1929">
          <cell r="E1929">
            <v>23965080</v>
          </cell>
          <cell r="F1929" t="str">
            <v>CALLE 3 NO 6-21</v>
          </cell>
          <cell r="G1929">
            <v>7327546</v>
          </cell>
        </row>
        <row r="1930">
          <cell r="E1930">
            <v>899999090</v>
          </cell>
          <cell r="F1930" t="str">
            <v>CARRERA 8 NO 6C 38</v>
          </cell>
          <cell r="G1930">
            <v>6013811700</v>
          </cell>
        </row>
        <row r="1931">
          <cell r="E1931">
            <v>4207939</v>
          </cell>
          <cell r="F1931" t="str">
            <v>CALLE 10 NO 1282</v>
          </cell>
          <cell r="G1931">
            <v>7728614</v>
          </cell>
        </row>
        <row r="1932">
          <cell r="E1932">
            <v>46665987</v>
          </cell>
          <cell r="F1932" t="str">
            <v>CALLE 7A NO 18-19</v>
          </cell>
          <cell r="G1932">
            <v>3114615268</v>
          </cell>
        </row>
        <row r="1933">
          <cell r="E1933">
            <v>900335241</v>
          </cell>
          <cell r="F1933" t="str">
            <v>AV UNIVERSITARIA NO 12-15</v>
          </cell>
          <cell r="G1933">
            <v>3173270638</v>
          </cell>
        </row>
        <row r="1934">
          <cell r="E1934">
            <v>41598102</v>
          </cell>
          <cell r="F1934" t="str">
            <v>CARRERA 21 NO 24-54</v>
          </cell>
          <cell r="G1934">
            <v>0</v>
          </cell>
        </row>
        <row r="1935">
          <cell r="E1935">
            <v>1052414877</v>
          </cell>
          <cell r="F1935" t="str">
            <v>LOS ALAMOS MZ D CASA 13 DUITAMA</v>
          </cell>
          <cell r="G1935">
            <v>3115791028</v>
          </cell>
        </row>
        <row r="1936">
          <cell r="E1936">
            <v>33630583</v>
          </cell>
          <cell r="F1936" t="str">
            <v>CALLE 12A NO 18-17</v>
          </cell>
          <cell r="G1936">
            <v>3108786126</v>
          </cell>
        </row>
        <row r="1937">
          <cell r="E1937">
            <v>1002760306</v>
          </cell>
          <cell r="F1937" t="str">
            <v>CALLE 7 NO 6-18</v>
          </cell>
          <cell r="G1937">
            <v>3224696635</v>
          </cell>
        </row>
        <row r="1938">
          <cell r="E1938">
            <v>23913613</v>
          </cell>
          <cell r="F1938" t="str">
            <v>CALLE 11 NO 3-09</v>
          </cell>
          <cell r="G1938">
            <v>3114654134</v>
          </cell>
        </row>
        <row r="1939">
          <cell r="E1939">
            <v>1057600091</v>
          </cell>
          <cell r="F1939" t="str">
            <v>CALLE 5 NO 5-12</v>
          </cell>
          <cell r="G1939">
            <v>7797006</v>
          </cell>
        </row>
        <row r="1940">
          <cell r="E1940">
            <v>1056553827</v>
          </cell>
          <cell r="F1940" t="str">
            <v>CARRERA 5 NO 5-05</v>
          </cell>
          <cell r="G1940">
            <v>3124301931</v>
          </cell>
        </row>
        <row r="1941">
          <cell r="E1941">
            <v>1053664564</v>
          </cell>
          <cell r="F1941" t="str">
            <v>VEREDA HORMEZAQUE</v>
          </cell>
          <cell r="G1941">
            <v>3223085666</v>
          </cell>
        </row>
        <row r="1942">
          <cell r="E1942">
            <v>1057573635</v>
          </cell>
          <cell r="F1942" t="str">
            <v>CARRERA 12 NO 11-14</v>
          </cell>
          <cell r="G1942">
            <v>3132934017</v>
          </cell>
        </row>
        <row r="1943">
          <cell r="E1943">
            <v>1052406083</v>
          </cell>
          <cell r="F1943" t="str">
            <v>CALLE 29B NO 16-33</v>
          </cell>
          <cell r="G1943">
            <v>3214557924</v>
          </cell>
        </row>
        <row r="1944">
          <cell r="E1944">
            <v>46384490</v>
          </cell>
          <cell r="F1944" t="str">
            <v>CENTRO DE SALUD D EIZA</v>
          </cell>
          <cell r="G1944">
            <v>3204950865</v>
          </cell>
        </row>
        <row r="1945">
          <cell r="E1945">
            <v>4219041</v>
          </cell>
          <cell r="F1945" t="str">
            <v>CENTRO DE SALUD IZA</v>
          </cell>
          <cell r="G1945">
            <v>3223329097</v>
          </cell>
        </row>
        <row r="1946">
          <cell r="E1946">
            <v>1057465441</v>
          </cell>
          <cell r="F1946" t="str">
            <v>VDA RESGUARDO BAJO</v>
          </cell>
          <cell r="G1946">
            <v>0</v>
          </cell>
        </row>
        <row r="1947">
          <cell r="E1947">
            <v>1052395499</v>
          </cell>
          <cell r="F1947" t="str">
            <v>CRA 38B NO 21-36</v>
          </cell>
          <cell r="G1947">
            <v>3102635193</v>
          </cell>
        </row>
        <row r="1948">
          <cell r="E1948">
            <v>33375859</v>
          </cell>
          <cell r="F1948" t="str">
            <v>CENTRO SAN LUIS</v>
          </cell>
          <cell r="G1948">
            <v>3227991681</v>
          </cell>
        </row>
        <row r="1949">
          <cell r="E1949">
            <v>24218363</v>
          </cell>
          <cell r="F1949" t="str">
            <v>CALLE 4 NO 4-17</v>
          </cell>
          <cell r="G1949">
            <v>7366001</v>
          </cell>
        </row>
        <row r="1950">
          <cell r="E1950">
            <v>1054374210</v>
          </cell>
          <cell r="F1950" t="str">
            <v>CARRERA 7 NO 4-123</v>
          </cell>
          <cell r="G1950">
            <v>3203025398</v>
          </cell>
        </row>
        <row r="1951">
          <cell r="E1951">
            <v>41760498</v>
          </cell>
          <cell r="F1951" t="str">
            <v>SOGAMOSO CENTRO</v>
          </cell>
          <cell r="G1951">
            <v>3102108153</v>
          </cell>
        </row>
        <row r="1952">
          <cell r="E1952">
            <v>7311982</v>
          </cell>
          <cell r="F1952" t="str">
            <v>CALLE 14 NO 11-33</v>
          </cell>
          <cell r="G1952">
            <v>3224576048</v>
          </cell>
        </row>
        <row r="1953">
          <cell r="E1953">
            <v>1049606113</v>
          </cell>
          <cell r="F1953" t="str">
            <v>CALLE 73 NO 2-16</v>
          </cell>
          <cell r="G1953">
            <v>3213938293</v>
          </cell>
        </row>
        <row r="1954">
          <cell r="E1954">
            <v>1057577091</v>
          </cell>
          <cell r="F1954" t="str">
            <v>CENTRO SNATA MARIA BOYACA</v>
          </cell>
          <cell r="G1954">
            <v>3212360490</v>
          </cell>
        </row>
        <row r="1955">
          <cell r="E1955">
            <v>51916338</v>
          </cell>
          <cell r="F1955" t="str">
            <v>CARRERA 11 NO 21-90</v>
          </cell>
          <cell r="G1955">
            <v>3153681351</v>
          </cell>
        </row>
        <row r="1956">
          <cell r="E1956">
            <v>1057611031</v>
          </cell>
          <cell r="F1956" t="str">
            <v>CARRERA 19A NO 4A-10 SOGAMOSO</v>
          </cell>
          <cell r="G1956">
            <v>3229721389</v>
          </cell>
        </row>
        <row r="1957">
          <cell r="E1957">
            <v>1051476194</v>
          </cell>
          <cell r="F1957" t="str">
            <v>CARRERA 8C NO 163B-13</v>
          </cell>
          <cell r="G1957">
            <v>3134016430</v>
          </cell>
        </row>
        <row r="1958">
          <cell r="E1958">
            <v>1051477065</v>
          </cell>
          <cell r="F1958" t="str">
            <v>CARRERA 6 NO 4-44</v>
          </cell>
          <cell r="G1958">
            <v>3228541344</v>
          </cell>
        </row>
        <row r="1959">
          <cell r="E1959">
            <v>7126386</v>
          </cell>
          <cell r="F1959" t="str">
            <v>CALLE 4 NO 11-32</v>
          </cell>
          <cell r="G1959">
            <v>3115276950</v>
          </cell>
        </row>
        <row r="1960">
          <cell r="E1960">
            <v>7125535</v>
          </cell>
          <cell r="F1960" t="str">
            <v>LA PARRILLA DE NACHO</v>
          </cell>
          <cell r="G1960">
            <v>3138867555</v>
          </cell>
        </row>
        <row r="1961">
          <cell r="E1961">
            <v>1002734907</v>
          </cell>
          <cell r="F1961" t="str">
            <v>CENTRO PAYA</v>
          </cell>
          <cell r="G1961">
            <v>3123488374</v>
          </cell>
        </row>
        <row r="1962">
          <cell r="E1962">
            <v>4218164</v>
          </cell>
          <cell r="F1962" t="str">
            <v>CRA 9 NO 8-24</v>
          </cell>
          <cell r="G1962">
            <v>3118553998</v>
          </cell>
        </row>
        <row r="1963">
          <cell r="E1963">
            <v>1115690713</v>
          </cell>
          <cell r="F1963" t="str">
            <v>ESE DE PAYA</v>
          </cell>
          <cell r="G1963">
            <v>0</v>
          </cell>
        </row>
        <row r="1964">
          <cell r="E1964">
            <v>23945999</v>
          </cell>
          <cell r="F1964" t="str">
            <v>CALLE 9 NO 3-47</v>
          </cell>
          <cell r="G1964">
            <v>3143295067</v>
          </cell>
        </row>
        <row r="1965">
          <cell r="E1965">
            <v>1051476203</v>
          </cell>
          <cell r="F1965" t="str">
            <v>CARRERA 9 NO 6-30</v>
          </cell>
          <cell r="G1965">
            <v>3203532867</v>
          </cell>
        </row>
        <row r="1966">
          <cell r="E1966">
            <v>1058038704</v>
          </cell>
          <cell r="F1966" t="str">
            <v>CALLE 7 NO 6-17 TOPAGA</v>
          </cell>
          <cell r="G1966">
            <v>3135567171</v>
          </cell>
        </row>
        <row r="1967">
          <cell r="E1967">
            <v>1056955449</v>
          </cell>
          <cell r="F1967" t="str">
            <v>VEREDA MONTOYA</v>
          </cell>
          <cell r="G1967">
            <v>3132562897</v>
          </cell>
        </row>
        <row r="1968">
          <cell r="E1968">
            <v>23701741</v>
          </cell>
          <cell r="F1968" t="str">
            <v>CENTRO SANTA MARIA</v>
          </cell>
          <cell r="G1968">
            <v>0</v>
          </cell>
        </row>
        <row r="1969">
          <cell r="E1969">
            <v>1057571445</v>
          </cell>
          <cell r="F1969" t="str">
            <v>ESE DE TAPAGA</v>
          </cell>
          <cell r="G1969">
            <v>3142378582</v>
          </cell>
        </row>
        <row r="1970">
          <cell r="E1970">
            <v>1049639365</v>
          </cell>
          <cell r="F1970" t="str">
            <v>VEREDA S JOSE DEL GACAL</v>
          </cell>
          <cell r="G1970">
            <v>3206198736</v>
          </cell>
        </row>
        <row r="1971">
          <cell r="E1971">
            <v>1049620245</v>
          </cell>
          <cell r="F1971" t="str">
            <v>CALLE 5 NO 5-18</v>
          </cell>
          <cell r="G1971">
            <v>3118393435</v>
          </cell>
        </row>
        <row r="1972">
          <cell r="E1972">
            <v>1053664536</v>
          </cell>
          <cell r="F1972" t="str">
            <v>VEREDA LA CHAPA</v>
          </cell>
          <cell r="G1972">
            <v>3202814055</v>
          </cell>
        </row>
        <row r="1973">
          <cell r="E1973">
            <v>7177565</v>
          </cell>
          <cell r="F1973" t="str">
            <v>VEREDA FUNZA TINJACA</v>
          </cell>
          <cell r="G1973">
            <v>3143552458</v>
          </cell>
        </row>
        <row r="1974">
          <cell r="E1974">
            <v>74360580</v>
          </cell>
          <cell r="F1974" t="str">
            <v>ESE SALUD AQUITANIA</v>
          </cell>
          <cell r="G1974">
            <v>3217838373</v>
          </cell>
        </row>
        <row r="1975">
          <cell r="E1975">
            <v>100555939</v>
          </cell>
          <cell r="F1975" t="str">
            <v>MORCOTE CENTRO</v>
          </cell>
          <cell r="G1975">
            <v>3229108570</v>
          </cell>
        </row>
        <row r="1976">
          <cell r="E1976">
            <v>79514237</v>
          </cell>
          <cell r="F1976" t="str">
            <v>CARRERA 5 NO 4-57</v>
          </cell>
          <cell r="G1976">
            <v>3212164936</v>
          </cell>
        </row>
        <row r="1977">
          <cell r="E1977">
            <v>46452223</v>
          </cell>
          <cell r="F1977" t="str">
            <v>CALLE 15 NO 5-05</v>
          </cell>
          <cell r="G1977">
            <v>3133440640</v>
          </cell>
        </row>
        <row r="1978">
          <cell r="E1978">
            <v>74281331</v>
          </cell>
          <cell r="F1978" t="str">
            <v>ESE SAN PABLO DE BORBUR</v>
          </cell>
          <cell r="G1978">
            <v>0</v>
          </cell>
        </row>
        <row r="1979">
          <cell r="E1979">
            <v>1031150669</v>
          </cell>
          <cell r="F1979" t="str">
            <v>VEREDA SAN ISIDRO</v>
          </cell>
          <cell r="G1979">
            <v>3102562550</v>
          </cell>
        </row>
        <row r="1980">
          <cell r="E1980">
            <v>1018442238</v>
          </cell>
          <cell r="F1980" t="str">
            <v>CALLE 8 NO 7-60</v>
          </cell>
          <cell r="G1980">
            <v>7794136</v>
          </cell>
        </row>
        <row r="1981">
          <cell r="E1981">
            <v>1054254565</v>
          </cell>
          <cell r="F1981" t="str">
            <v>BARRIO SAN CAYETANO SOCOTA</v>
          </cell>
          <cell r="G1981">
            <v>3104047353</v>
          </cell>
        </row>
        <row r="1982">
          <cell r="E1982">
            <v>1078827419</v>
          </cell>
          <cell r="F1982" t="str">
            <v>CALLE 2 NO 2-95</v>
          </cell>
          <cell r="G1982">
            <v>7251479</v>
          </cell>
        </row>
        <row r="1983">
          <cell r="E1983">
            <v>24091461</v>
          </cell>
          <cell r="F1983" t="str">
            <v>BARRIO SAN CAYETANO</v>
          </cell>
          <cell r="G1983">
            <v>3103927223</v>
          </cell>
        </row>
        <row r="1984">
          <cell r="E1984">
            <v>1053664713</v>
          </cell>
          <cell r="F1984" t="str">
            <v>CALLE 5 NO 15-05</v>
          </cell>
          <cell r="G1984">
            <v>3213846498</v>
          </cell>
        </row>
        <row r="1985">
          <cell r="E1985">
            <v>4255563</v>
          </cell>
          <cell r="F1985" t="str">
            <v>CARRERA 9 CALLE 9-05</v>
          </cell>
          <cell r="G1985">
            <v>3213168501</v>
          </cell>
        </row>
        <row r="1986">
          <cell r="E1986">
            <v>1002556964</v>
          </cell>
          <cell r="F1986" t="str">
            <v>CENTRO SOCOTA</v>
          </cell>
          <cell r="G1986">
            <v>3115214659</v>
          </cell>
        </row>
        <row r="1987">
          <cell r="E1987">
            <v>1002548343</v>
          </cell>
          <cell r="F1987" t="str">
            <v>VEREDA TAPIAS JERICO</v>
          </cell>
          <cell r="G1987">
            <v>3142275851</v>
          </cell>
        </row>
        <row r="1988">
          <cell r="E1988">
            <v>6770010</v>
          </cell>
          <cell r="F1988" t="str">
            <v>CALLE 35A NO 17-40</v>
          </cell>
          <cell r="G1988">
            <v>3112359975</v>
          </cell>
        </row>
        <row r="1989">
          <cell r="E1989">
            <v>1057595134</v>
          </cell>
          <cell r="F1989" t="str">
            <v>CARRERA 20A NO 14-25</v>
          </cell>
          <cell r="G1989">
            <v>3134421973</v>
          </cell>
        </row>
        <row r="1990">
          <cell r="E1990">
            <v>1052315046</v>
          </cell>
          <cell r="F1990" t="str">
            <v>VEREDA MONTERO ALTO BELEN</v>
          </cell>
          <cell r="G1990">
            <v>3204154299</v>
          </cell>
        </row>
        <row r="1991">
          <cell r="E1991">
            <v>7185646</v>
          </cell>
          <cell r="F1991" t="str">
            <v>TUNJA</v>
          </cell>
          <cell r="G1991">
            <v>0</v>
          </cell>
        </row>
        <row r="1992">
          <cell r="E1992">
            <v>23424362</v>
          </cell>
          <cell r="F1992" t="str">
            <v>CALLE 3 NO 5-05</v>
          </cell>
          <cell r="G1992">
            <v>3125632462</v>
          </cell>
        </row>
        <row r="1993">
          <cell r="E1993">
            <v>1049611103</v>
          </cell>
          <cell r="F1993" t="str">
            <v>CARRERA 9 NO 59-56</v>
          </cell>
          <cell r="G1993">
            <v>302287702</v>
          </cell>
        </row>
        <row r="1994">
          <cell r="E1994">
            <v>23770089</v>
          </cell>
          <cell r="F1994" t="str">
            <v>CRA 5 NO 6-41</v>
          </cell>
          <cell r="G1994">
            <v>3202309919</v>
          </cell>
        </row>
        <row r="1995">
          <cell r="E1995">
            <v>52793675</v>
          </cell>
          <cell r="F1995" t="str">
            <v>DUITAMA BARRIO LA FUENTE</v>
          </cell>
          <cell r="G1995">
            <v>3202404346</v>
          </cell>
        </row>
        <row r="1996">
          <cell r="E1996">
            <v>1116806359</v>
          </cell>
          <cell r="F1996" t="str">
            <v>CARRERA 4 NO 2-61</v>
          </cell>
          <cell r="G1996">
            <v>3142741593</v>
          </cell>
        </row>
        <row r="1997">
          <cell r="E1997">
            <v>46383616</v>
          </cell>
          <cell r="F1997" t="str">
            <v>CALLE 10 NO 10-14</v>
          </cell>
          <cell r="G1997">
            <v>3132708125</v>
          </cell>
        </row>
        <row r="1998">
          <cell r="E1998">
            <v>1049649146</v>
          </cell>
          <cell r="F1998" t="str">
            <v>SECTOR TIEERA NEGRA</v>
          </cell>
          <cell r="G1998">
            <v>3106879398</v>
          </cell>
        </row>
        <row r="1999">
          <cell r="E1999">
            <v>1002331499</v>
          </cell>
          <cell r="F1999" t="str">
            <v>CENTRO AQUITANIA</v>
          </cell>
          <cell r="G1999">
            <v>3208812440</v>
          </cell>
        </row>
        <row r="2000">
          <cell r="E2000">
            <v>32738621</v>
          </cell>
          <cell r="F2000" t="str">
            <v>CALLE 18 NO 8-60</v>
          </cell>
          <cell r="G2000">
            <v>3105691038</v>
          </cell>
        </row>
        <row r="2001">
          <cell r="E2001">
            <v>1118550742</v>
          </cell>
          <cell r="F2001" t="str">
            <v>CARRERA 41 NO 7-36</v>
          </cell>
          <cell r="G2001">
            <v>3115353984</v>
          </cell>
        </row>
        <row r="2002">
          <cell r="E2002">
            <v>1057588035</v>
          </cell>
          <cell r="F2002" t="str">
            <v>CRA 16 NO 110-19</v>
          </cell>
          <cell r="G2002">
            <v>3204209908</v>
          </cell>
        </row>
        <row r="2003">
          <cell r="E2003">
            <v>46458070</v>
          </cell>
          <cell r="F2003" t="str">
            <v>CARRERA 40 NO 21-47</v>
          </cell>
          <cell r="G2003">
            <v>3134681001</v>
          </cell>
        </row>
        <row r="2004">
          <cell r="E2004">
            <v>7232591</v>
          </cell>
          <cell r="F2004" t="str">
            <v>CENTRO</v>
          </cell>
          <cell r="G2004">
            <v>3204573036</v>
          </cell>
        </row>
        <row r="2005">
          <cell r="E2005">
            <v>1101756450</v>
          </cell>
          <cell r="F2005" t="str">
            <v>CARRERA 7A NO. 45-04 B CRISTALES</v>
          </cell>
          <cell r="G2005">
            <v>3156294820</v>
          </cell>
        </row>
        <row r="2006">
          <cell r="E2006">
            <v>23755597</v>
          </cell>
          <cell r="F2006" t="str">
            <v>CARRERA 9 NO 6-38</v>
          </cell>
          <cell r="G2006">
            <v>3118425186</v>
          </cell>
        </row>
        <row r="2007">
          <cell r="E2007">
            <v>1095808853</v>
          </cell>
          <cell r="F2007" t="str">
            <v>CARRERA 10 NO 23-49</v>
          </cell>
          <cell r="G2007">
            <v>3204353055</v>
          </cell>
        </row>
        <row r="2008">
          <cell r="E2008">
            <v>74182874</v>
          </cell>
          <cell r="F2008" t="str">
            <v>CALLE 24 NO 9A 58 OF 101</v>
          </cell>
          <cell r="G2008">
            <v>3012120505</v>
          </cell>
        </row>
        <row r="2009">
          <cell r="E2009">
            <v>7224593</v>
          </cell>
          <cell r="F2009" t="str">
            <v>CARRERA 19 NO 25-52</v>
          </cell>
          <cell r="G2009">
            <v>0</v>
          </cell>
        </row>
        <row r="2010">
          <cell r="E2010">
            <v>1053586894</v>
          </cell>
          <cell r="F2010" t="str">
            <v>BARRIO SANTANA</v>
          </cell>
          <cell r="G2010">
            <v>3227593469</v>
          </cell>
        </row>
        <row r="2011">
          <cell r="E2011">
            <v>1056506822</v>
          </cell>
          <cell r="F2011" t="str">
            <v>VEREDA LA MESA SP DE BORBUR</v>
          </cell>
          <cell r="G2011">
            <v>3102832273</v>
          </cell>
        </row>
        <row r="2012">
          <cell r="E2012">
            <v>1002623991</v>
          </cell>
          <cell r="F2012" t="str">
            <v>CARRERA 5 NO 2-75 OTANCHE</v>
          </cell>
          <cell r="G2012">
            <v>3213616757</v>
          </cell>
        </row>
        <row r="2013">
          <cell r="E2013">
            <v>4053359</v>
          </cell>
          <cell r="F2013" t="str">
            <v>CENTRO BELEN</v>
          </cell>
          <cell r="G2013">
            <v>3215588606</v>
          </cell>
        </row>
        <row r="2014">
          <cell r="E2014">
            <v>72325525</v>
          </cell>
          <cell r="F2014" t="str">
            <v>CALLE 7 NO 7-21</v>
          </cell>
          <cell r="G2014">
            <v>3124357370</v>
          </cell>
        </row>
        <row r="2015">
          <cell r="E2015">
            <v>51841224</v>
          </cell>
          <cell r="F2015" t="str">
            <v>CENTRO</v>
          </cell>
          <cell r="G2015" t="str">
            <v>3123907853_x000D_
_x000D_
_x000D_
3123907853</v>
          </cell>
        </row>
        <row r="2016">
          <cell r="E2016">
            <v>1049636394</v>
          </cell>
          <cell r="F2016" t="str">
            <v>PUENTE DE BOYACA</v>
          </cell>
          <cell r="G2016">
            <v>3138849763</v>
          </cell>
        </row>
        <row r="2017">
          <cell r="E2017">
            <v>1051477933</v>
          </cell>
          <cell r="F2017" t="str">
            <v>CALLE 1 NO 12-83</v>
          </cell>
          <cell r="G2017">
            <v>3118983986</v>
          </cell>
        </row>
        <row r="2018">
          <cell r="E2018">
            <v>72326856</v>
          </cell>
          <cell r="F2018" t="str">
            <v>CARRERA 7 NO 7-21</v>
          </cell>
          <cell r="G2018">
            <v>7327546</v>
          </cell>
        </row>
        <row r="2019">
          <cell r="E2019">
            <v>74330068</v>
          </cell>
          <cell r="F2019" t="str">
            <v>CENTRO</v>
          </cell>
          <cell r="G2019">
            <v>0</v>
          </cell>
        </row>
        <row r="2020">
          <cell r="E2020">
            <v>1057464750</v>
          </cell>
          <cell r="F2020" t="str">
            <v>CARRERA 6 NO 2A-10</v>
          </cell>
          <cell r="G2020">
            <v>3196148380</v>
          </cell>
        </row>
        <row r="2021">
          <cell r="E2021">
            <v>1007142654</v>
          </cell>
          <cell r="F2021" t="str">
            <v>MANZANA D CASA 7</v>
          </cell>
          <cell r="G2021">
            <v>0</v>
          </cell>
        </row>
        <row r="2022">
          <cell r="E2022">
            <v>40033475</v>
          </cell>
          <cell r="F2022" t="str">
            <v>CALLE 31 NO 13-42 TUNJA</v>
          </cell>
          <cell r="G2022">
            <v>3188237552</v>
          </cell>
        </row>
        <row r="2023">
          <cell r="E2023">
            <v>1052383915</v>
          </cell>
          <cell r="F2023" t="str">
            <v>CARRERA 11 NO 15 36</v>
          </cell>
          <cell r="G2023">
            <v>3144137109</v>
          </cell>
        </row>
        <row r="2024">
          <cell r="E2024">
            <v>72181195</v>
          </cell>
          <cell r="F2024" t="str">
            <v>ESE DE PAYA</v>
          </cell>
          <cell r="G2024">
            <v>3218134904</v>
          </cell>
        </row>
        <row r="2025">
          <cell r="E2025">
            <v>1030614152</v>
          </cell>
          <cell r="F2025" t="str">
            <v>VEREDA LA PUERTA AQUITANIA</v>
          </cell>
          <cell r="G2025">
            <v>3192665669</v>
          </cell>
        </row>
        <row r="2026">
          <cell r="E2026">
            <v>46357177</v>
          </cell>
          <cell r="F2026" t="str">
            <v>CALLE 5 NO 25-25</v>
          </cell>
          <cell r="G2026">
            <v>3132965553</v>
          </cell>
        </row>
        <row r="2027">
          <cell r="E2027">
            <v>1014218509</v>
          </cell>
          <cell r="F2027" t="str">
            <v>PUENTE DE PIEDAR</v>
          </cell>
          <cell r="G2027">
            <v>3118514711</v>
          </cell>
        </row>
        <row r="2028">
          <cell r="E2028">
            <v>1057592622</v>
          </cell>
          <cell r="F2028" t="str">
            <v>VEREDA PANTANITAS</v>
          </cell>
          <cell r="G2028">
            <v>3214114637</v>
          </cell>
        </row>
        <row r="2029">
          <cell r="E2029">
            <v>1053586827</v>
          </cell>
          <cell r="F2029" t="str">
            <v>CALLE 7 NO 2-56</v>
          </cell>
          <cell r="G2029">
            <v>3208837342</v>
          </cell>
        </row>
        <row r="2030">
          <cell r="E2030">
            <v>23944646</v>
          </cell>
          <cell r="F2030" t="str">
            <v>CARRERA 10 NO 9-41</v>
          </cell>
          <cell r="G2030">
            <v>3112578073</v>
          </cell>
        </row>
        <row r="2031">
          <cell r="E2031">
            <v>1051472766</v>
          </cell>
          <cell r="F2031" t="str">
            <v>CENTRO AQUITANIA</v>
          </cell>
          <cell r="G2031">
            <v>3127467817</v>
          </cell>
        </row>
        <row r="2032">
          <cell r="E2032">
            <v>23946689</v>
          </cell>
          <cell r="F2032" t="str">
            <v>CARERA 10 NO 08-12</v>
          </cell>
          <cell r="G2032">
            <v>3133468639</v>
          </cell>
        </row>
        <row r="2033">
          <cell r="E2033">
            <v>1056956903</v>
          </cell>
          <cell r="F2033" t="str">
            <v>VEREDA PUENTE D EPIEDRA</v>
          </cell>
          <cell r="G2033">
            <v>3102160603</v>
          </cell>
        </row>
        <row r="2034">
          <cell r="E2034">
            <v>80441124</v>
          </cell>
          <cell r="F2034" t="str">
            <v>BARRIO LIBERTADOR</v>
          </cell>
          <cell r="G2034">
            <v>3107946912</v>
          </cell>
        </row>
        <row r="2035">
          <cell r="E2035">
            <v>1054093558</v>
          </cell>
          <cell r="F2035" t="str">
            <v>BARRIO PRIMAVERA</v>
          </cell>
          <cell r="G2035">
            <v>3209287891</v>
          </cell>
        </row>
        <row r="2036">
          <cell r="E2036">
            <v>40024459</v>
          </cell>
          <cell r="F2036" t="str">
            <v>CALLE 12 NO 6-53</v>
          </cell>
          <cell r="G2036">
            <v>3107674670</v>
          </cell>
        </row>
        <row r="2037">
          <cell r="E2037">
            <v>1057575071</v>
          </cell>
          <cell r="F2037" t="str">
            <v>CALLE 21 NO 9-76</v>
          </cell>
          <cell r="G2037">
            <v>3118562284</v>
          </cell>
        </row>
        <row r="2038">
          <cell r="E2038">
            <v>40041061</v>
          </cell>
          <cell r="F2038" t="str">
            <v>CARRERA 16-3 NO 36C-14</v>
          </cell>
          <cell r="G2038">
            <v>3103256292</v>
          </cell>
        </row>
        <row r="2039">
          <cell r="E2039">
            <v>1049602839</v>
          </cell>
          <cell r="F2039" t="str">
            <v>CALLE 20 NO 12-84</v>
          </cell>
          <cell r="G2039">
            <v>3103378460</v>
          </cell>
        </row>
        <row r="2040">
          <cell r="E2040">
            <v>1069262582</v>
          </cell>
          <cell r="F2040" t="str">
            <v>CALLE 4 NO 4-39</v>
          </cell>
          <cell r="G2040">
            <v>3138833903</v>
          </cell>
        </row>
        <row r="2041">
          <cell r="E2041">
            <v>1052410267</v>
          </cell>
          <cell r="F2041" t="str">
            <v>VEREDA DICHO</v>
          </cell>
          <cell r="G2041">
            <v>3192481244</v>
          </cell>
        </row>
        <row r="2042">
          <cell r="E2042">
            <v>46373423</v>
          </cell>
          <cell r="F2042" t="str">
            <v>CARRERA 14 NO 7-46</v>
          </cell>
          <cell r="G2042">
            <v>3222150606</v>
          </cell>
        </row>
        <row r="2043">
          <cell r="E2043">
            <v>1002675405</v>
          </cell>
          <cell r="F2043" t="str">
            <v>CRA 6 NO 6-33</v>
          </cell>
          <cell r="G2043">
            <v>3208081007</v>
          </cell>
        </row>
        <row r="2044">
          <cell r="E2044">
            <v>52829382</v>
          </cell>
          <cell r="F2044" t="str">
            <v>CALLE 3 NO 10-135</v>
          </cell>
          <cell r="G2044">
            <v>3112634202</v>
          </cell>
        </row>
        <row r="2045">
          <cell r="E2045">
            <v>1045495616</v>
          </cell>
          <cell r="F2045" t="str">
            <v>HOSPITAL DE SOCHA</v>
          </cell>
          <cell r="G2045">
            <v>7874016</v>
          </cell>
        </row>
        <row r="2046">
          <cell r="E2046">
            <v>1099544216</v>
          </cell>
          <cell r="F2046" t="str">
            <v>CENTRO DE SALUD IZA</v>
          </cell>
          <cell r="G2046">
            <v>0</v>
          </cell>
        </row>
        <row r="2047">
          <cell r="E2047">
            <v>1055504905</v>
          </cell>
          <cell r="F2047" t="str">
            <v>CENTRO LABRANZAGRANDE</v>
          </cell>
          <cell r="G2047" t="str">
            <v>3_x000D_
3204534843</v>
          </cell>
        </row>
        <row r="2048">
          <cell r="E2048">
            <v>46383031</v>
          </cell>
          <cell r="F2048" t="str">
            <v>CARRERA 14 N 13A - 31</v>
          </cell>
          <cell r="G2048">
            <v>3118923669</v>
          </cell>
        </row>
        <row r="2049">
          <cell r="E2049">
            <v>23856303</v>
          </cell>
          <cell r="F2049" t="str">
            <v>CARRERA 22 NO 25-44</v>
          </cell>
          <cell r="G2049">
            <v>7853364</v>
          </cell>
        </row>
        <row r="2050">
          <cell r="E2050">
            <v>9525359</v>
          </cell>
          <cell r="F2050" t="str">
            <v>CARRERA 20 NO 10 08</v>
          </cell>
          <cell r="G2050">
            <v>6087751197</v>
          </cell>
        </row>
        <row r="2051">
          <cell r="E2051">
            <v>1054092273</v>
          </cell>
          <cell r="F2051" t="str">
            <v>CENTRO VILLA DE LEYVA</v>
          </cell>
          <cell r="G2051">
            <v>3105802206</v>
          </cell>
        </row>
        <row r="2052">
          <cell r="E2052">
            <v>23691547</v>
          </cell>
          <cell r="F2052" t="str">
            <v>CENTRO DE SALUD SACHICA</v>
          </cell>
          <cell r="G2052">
            <v>0</v>
          </cell>
        </row>
        <row r="2053">
          <cell r="E2053">
            <v>46357884</v>
          </cell>
          <cell r="F2053" t="str">
            <v>ESE  SALUD AQUITANIA</v>
          </cell>
          <cell r="G2053">
            <v>3142277462</v>
          </cell>
        </row>
        <row r="2054">
          <cell r="E2054">
            <v>1051590804</v>
          </cell>
          <cell r="F2054" t="str">
            <v>CARRERA 11 NO 10-54</v>
          </cell>
          <cell r="G2054">
            <v>3132758696</v>
          </cell>
        </row>
        <row r="2055">
          <cell r="E2055">
            <v>1054090925</v>
          </cell>
          <cell r="F2055" t="str">
            <v>CALLE 1 NO 2 97</v>
          </cell>
          <cell r="G2055">
            <v>3102042844</v>
          </cell>
        </row>
        <row r="2056">
          <cell r="E2056">
            <v>23690233</v>
          </cell>
          <cell r="F2056" t="str">
            <v>CENTRO LABRANZAGRANDE</v>
          </cell>
          <cell r="G2056">
            <v>3125425659</v>
          </cell>
        </row>
        <row r="2057">
          <cell r="E2057">
            <v>1051474267</v>
          </cell>
          <cell r="F2057" t="str">
            <v>CALLE 11 NO 7-97</v>
          </cell>
          <cell r="G2057">
            <v>3102702322</v>
          </cell>
        </row>
        <row r="2058">
          <cell r="E2058">
            <v>7128427</v>
          </cell>
          <cell r="F2058" t="str">
            <v>CALLE 15 NO 11-125</v>
          </cell>
          <cell r="G2058">
            <v>3146631350</v>
          </cell>
        </row>
        <row r="2059">
          <cell r="E2059">
            <v>1002414866</v>
          </cell>
          <cell r="F2059" t="str">
            <v>CARRERA 8 NO 5-37</v>
          </cell>
          <cell r="G2059">
            <v>7794681</v>
          </cell>
        </row>
        <row r="2060">
          <cell r="E2060">
            <v>891856077</v>
          </cell>
          <cell r="F2060" t="str">
            <v>CALLE 4 NO 4-10</v>
          </cell>
          <cell r="G2060">
            <v>3202276327</v>
          </cell>
        </row>
        <row r="2061">
          <cell r="E2061">
            <v>891855222</v>
          </cell>
          <cell r="F2061" t="str">
            <v>CALLE 6 NO 9-01</v>
          </cell>
          <cell r="G2061">
            <v>7773126</v>
          </cell>
        </row>
        <row r="2062">
          <cell r="E2062">
            <v>891801240</v>
          </cell>
          <cell r="F2062" t="str">
            <v>CALLE 25 NO 22-01</v>
          </cell>
          <cell r="G2062">
            <v>7850130</v>
          </cell>
        </row>
        <row r="2063">
          <cell r="E2063">
            <v>891855130</v>
          </cell>
          <cell r="F2063" t="str">
            <v>CALLE 15 NO 79</v>
          </cell>
          <cell r="G2063">
            <v>7702040</v>
          </cell>
        </row>
        <row r="2064">
          <cell r="E2064">
            <v>800099631</v>
          </cell>
          <cell r="F2064" t="str">
            <v>CALLE 6 5 92</v>
          </cell>
          <cell r="G2064">
            <v>3202337926</v>
          </cell>
        </row>
        <row r="2065">
          <cell r="E2065">
            <v>891801347</v>
          </cell>
          <cell r="F2065" t="str">
            <v>CARRERA 6 NO 4-37 PARQUE PRINCIPAL</v>
          </cell>
          <cell r="G2065">
            <v>3134921754</v>
          </cell>
        </row>
        <row r="2066">
          <cell r="E2066">
            <v>46682186</v>
          </cell>
          <cell r="F2066" t="str">
            <v>CALLE 33 NO 14-145</v>
          </cell>
          <cell r="G2066">
            <v>3102300945</v>
          </cell>
        </row>
        <row r="2067">
          <cell r="E2067">
            <v>33368722</v>
          </cell>
          <cell r="F2067" t="str">
            <v>CALLE 8 NO 7 60</v>
          </cell>
          <cell r="G2067">
            <v>3133790480</v>
          </cell>
        </row>
        <row r="2068">
          <cell r="E2068">
            <v>1057462585</v>
          </cell>
          <cell r="F2068" t="str">
            <v>CALLE 8 NO 6-42</v>
          </cell>
          <cell r="G2068">
            <v>3144336561</v>
          </cell>
        </row>
        <row r="2069">
          <cell r="E2069">
            <v>20923589</v>
          </cell>
          <cell r="F2069" t="str">
            <v>CALLE 8 NO 8-53</v>
          </cell>
          <cell r="G2069">
            <v>3105529376</v>
          </cell>
        </row>
        <row r="2070">
          <cell r="E2070">
            <v>1056613792</v>
          </cell>
          <cell r="F2070" t="str">
            <v>VEREDA CHISCAL UMBITA</v>
          </cell>
          <cell r="G2070">
            <v>3184996655</v>
          </cell>
        </row>
        <row r="2071">
          <cell r="E2071">
            <v>46453623</v>
          </cell>
          <cell r="F2071" t="str">
            <v>CARRERA 4 NO 32-62</v>
          </cell>
          <cell r="G2071">
            <v>3150008610</v>
          </cell>
        </row>
        <row r="2072">
          <cell r="E2072">
            <v>9532664</v>
          </cell>
          <cell r="F2072" t="str">
            <v>CALLE 19A NO 10-60</v>
          </cell>
          <cell r="G2072">
            <v>3144006816</v>
          </cell>
        </row>
        <row r="2073">
          <cell r="E2073">
            <v>1051064031</v>
          </cell>
          <cell r="F2073" t="str">
            <v>SECTOR TIERRA NEGRA</v>
          </cell>
          <cell r="G2073">
            <v>3132749687</v>
          </cell>
        </row>
        <row r="2074">
          <cell r="E2074">
            <v>7166362</v>
          </cell>
          <cell r="F2074" t="str">
            <v>TRANSVERSAL 3 NO. 60-41</v>
          </cell>
          <cell r="G2074">
            <v>3114795102</v>
          </cell>
        </row>
        <row r="2075">
          <cell r="E2075">
            <v>23691112</v>
          </cell>
          <cell r="F2075" t="str">
            <v>CARRERA 4 NO 2-35</v>
          </cell>
          <cell r="G2075">
            <v>3114435182</v>
          </cell>
        </row>
        <row r="2076">
          <cell r="E2076">
            <v>74282888</v>
          </cell>
          <cell r="F2076" t="str">
            <v>CALLE 3 NO 5-50</v>
          </cell>
          <cell r="G2076">
            <v>3161874107</v>
          </cell>
        </row>
        <row r="2077">
          <cell r="E2077">
            <v>1049643396</v>
          </cell>
          <cell r="F2077" t="str">
            <v>VEREDA CAPELLANIA</v>
          </cell>
          <cell r="G2077">
            <v>3209590753</v>
          </cell>
        </row>
        <row r="2078">
          <cell r="E2078">
            <v>1096619611</v>
          </cell>
          <cell r="F2078" t="str">
            <v>CALLE 6 NO 3-51</v>
          </cell>
          <cell r="G2078">
            <v>3213901884</v>
          </cell>
        </row>
        <row r="2079">
          <cell r="E2079">
            <v>1140868489</v>
          </cell>
          <cell r="F2079" t="str">
            <v>CARRERA 3 NO 4-53</v>
          </cell>
          <cell r="G2079">
            <v>3117024933</v>
          </cell>
        </row>
        <row r="2080">
          <cell r="E2080">
            <v>1057893518</v>
          </cell>
          <cell r="F2080" t="str">
            <v>ESE DE RAQUIRA</v>
          </cell>
          <cell r="G2080">
            <v>0</v>
          </cell>
        </row>
        <row r="2081">
          <cell r="E2081">
            <v>40783537</v>
          </cell>
          <cell r="F2081" t="str">
            <v>ESE DE TOPAGA</v>
          </cell>
          <cell r="G2081">
            <v>0</v>
          </cell>
        </row>
        <row r="2082">
          <cell r="E2082">
            <v>1056504455</v>
          </cell>
          <cell r="F2082" t="str">
            <v>CARRERA 4 NO 6-52 SPB</v>
          </cell>
          <cell r="G2082">
            <v>3148810540</v>
          </cell>
        </row>
        <row r="2083">
          <cell r="E2083">
            <v>23882978</v>
          </cell>
          <cell r="F2083" t="str">
            <v>CARRERA 4 NO 0-43</v>
          </cell>
          <cell r="G2083">
            <v>3224128434</v>
          </cell>
        </row>
        <row r="2084">
          <cell r="E2084">
            <v>1057892455</v>
          </cell>
          <cell r="F2084" t="str">
            <v>BARRIO EL PINO RAQUIRA</v>
          </cell>
          <cell r="G2084">
            <v>3143932793</v>
          </cell>
        </row>
        <row r="2085">
          <cell r="E2085">
            <v>1057465127</v>
          </cell>
          <cell r="F2085" t="str">
            <v>CRA 4 NO 6 75</v>
          </cell>
          <cell r="G2085">
            <v>3208236394</v>
          </cell>
        </row>
        <row r="2086">
          <cell r="E2086">
            <v>46681860</v>
          </cell>
          <cell r="F2086" t="str">
            <v>CALLE 25 NO 20-67</v>
          </cell>
          <cell r="G2086">
            <v>3112794165</v>
          </cell>
        </row>
        <row r="2087">
          <cell r="E2087">
            <v>1002697891</v>
          </cell>
          <cell r="F2087" t="str">
            <v>SECTOR CARPI</v>
          </cell>
          <cell r="G2087">
            <v>3213432010</v>
          </cell>
        </row>
        <row r="2088">
          <cell r="E2088">
            <v>9433243</v>
          </cell>
          <cell r="F2088" t="str">
            <v>ESE SALUD AQUITANIA</v>
          </cell>
          <cell r="G2088">
            <v>0</v>
          </cell>
        </row>
        <row r="2089">
          <cell r="E2089">
            <v>52770845</v>
          </cell>
          <cell r="F2089" t="str">
            <v>CARRERA 3 NO 4 56</v>
          </cell>
          <cell r="G2089">
            <v>3112327222</v>
          </cell>
        </row>
        <row r="2090">
          <cell r="E2090">
            <v>52493872</v>
          </cell>
          <cell r="F2090" t="str">
            <v>CARRERA 5 NO 25-20</v>
          </cell>
          <cell r="G2090">
            <v>3209065996</v>
          </cell>
        </row>
        <row r="2091">
          <cell r="E2091">
            <v>1057582228</v>
          </cell>
          <cell r="F2091" t="str">
            <v>VDA EL PEDREGAL</v>
          </cell>
          <cell r="G2091">
            <v>3144358141</v>
          </cell>
        </row>
        <row r="2092">
          <cell r="E2092">
            <v>46367713</v>
          </cell>
          <cell r="F2092" t="str">
            <v>CALLE 12 NO 12-21</v>
          </cell>
          <cell r="G2092">
            <v>6087716831</v>
          </cell>
        </row>
        <row r="2093">
          <cell r="E2093">
            <v>826002535</v>
          </cell>
          <cell r="F2093" t="str">
            <v>CALLE 12 NO 10-46</v>
          </cell>
          <cell r="G2093">
            <v>3103460397</v>
          </cell>
        </row>
        <row r="2094">
          <cell r="E2094">
            <v>900580551</v>
          </cell>
          <cell r="F2094" t="str">
            <v>CALLE 22 NO 09-96</v>
          </cell>
          <cell r="G2094">
            <v>7701793</v>
          </cell>
        </row>
        <row r="2095">
          <cell r="E2095">
            <v>91295496</v>
          </cell>
          <cell r="F2095" t="str">
            <v>CHAMEZA MAYOR</v>
          </cell>
          <cell r="G2095">
            <v>3142988345</v>
          </cell>
        </row>
        <row r="2096">
          <cell r="E2096">
            <v>1014241434</v>
          </cell>
          <cell r="F2096" t="str">
            <v>BOGOTA</v>
          </cell>
          <cell r="G2096">
            <v>3177084899</v>
          </cell>
        </row>
        <row r="2097">
          <cell r="E2097">
            <v>23882901</v>
          </cell>
          <cell r="F2097" t="str">
            <v>CALLE 2 NO 1-41</v>
          </cell>
          <cell r="G2097">
            <v>3134419520</v>
          </cell>
        </row>
        <row r="2098">
          <cell r="E2098">
            <v>24218577</v>
          </cell>
          <cell r="F2098" t="str">
            <v>CARRERA 3 NO 8A-29</v>
          </cell>
          <cell r="G2098">
            <v>3124460369</v>
          </cell>
        </row>
        <row r="2099">
          <cell r="E2099">
            <v>1056954639</v>
          </cell>
          <cell r="F2099" t="str">
            <v>SECTOR EL CARPI</v>
          </cell>
          <cell r="G2099">
            <v>3045213145</v>
          </cell>
        </row>
        <row r="2100">
          <cell r="E2100">
            <v>74181933</v>
          </cell>
          <cell r="F2100" t="str">
            <v>CENTRO</v>
          </cell>
          <cell r="G2100">
            <v>3124415835</v>
          </cell>
        </row>
        <row r="2101">
          <cell r="E2101">
            <v>1054120811</v>
          </cell>
          <cell r="F2101" t="str">
            <v>CENTRO</v>
          </cell>
          <cell r="G2101">
            <v>3132857374</v>
          </cell>
        </row>
        <row r="2102">
          <cell r="E2102">
            <v>53032617</v>
          </cell>
          <cell r="F2102" t="str">
            <v>RESTAURANTE LA CASA DE GUADUA</v>
          </cell>
          <cell r="G2102">
            <v>3213017670</v>
          </cell>
        </row>
        <row r="2103">
          <cell r="E2103">
            <v>1052396655</v>
          </cell>
          <cell r="F2103" t="str">
            <v>MANZANA D CASA 11 BARRIO ALAMOS</v>
          </cell>
          <cell r="G2103">
            <v>3204793082</v>
          </cell>
        </row>
        <row r="2104">
          <cell r="E2104">
            <v>39638778</v>
          </cell>
          <cell r="F2104" t="str">
            <v>CRA 2 NO 2 CASA 5 SOCOTA</v>
          </cell>
          <cell r="G2104">
            <v>3208179517</v>
          </cell>
        </row>
        <row r="2105">
          <cell r="E2105">
            <v>7211492</v>
          </cell>
          <cell r="F2105" t="str">
            <v>CRA 10 NO 15-58</v>
          </cell>
          <cell r="G2105">
            <v>3143069137</v>
          </cell>
        </row>
        <row r="2106">
          <cell r="E2106">
            <v>46375821</v>
          </cell>
          <cell r="F2106" t="str">
            <v>CRA 9 NO 14-83</v>
          </cell>
          <cell r="G2106">
            <v>3108812498</v>
          </cell>
        </row>
        <row r="2107">
          <cell r="E2107">
            <v>23554360</v>
          </cell>
          <cell r="F2107" t="str">
            <v>CALLE 13 NO 15-45</v>
          </cell>
          <cell r="G2107">
            <v>7602329</v>
          </cell>
        </row>
        <row r="2108">
          <cell r="E2108">
            <v>47441214</v>
          </cell>
          <cell r="F2108" t="str">
            <v>CALLE 27A NO 23-03</v>
          </cell>
          <cell r="G2108">
            <v>3222027450</v>
          </cell>
        </row>
        <row r="2109">
          <cell r="E2109">
            <v>23549320</v>
          </cell>
          <cell r="F2109" t="str">
            <v>AV LIBERTADORES NO 25-22</v>
          </cell>
          <cell r="G2109">
            <v>0</v>
          </cell>
        </row>
        <row r="2110">
          <cell r="E2110">
            <v>1052394188</v>
          </cell>
          <cell r="F2110" t="str">
            <v>CARRERA 10 NO 15-58</v>
          </cell>
          <cell r="G2110">
            <v>3138173179</v>
          </cell>
        </row>
        <row r="2111">
          <cell r="E2111">
            <v>46379128</v>
          </cell>
          <cell r="F2111" t="str">
            <v>CENTRO AQUITANIA</v>
          </cell>
          <cell r="G2111">
            <v>7794681</v>
          </cell>
        </row>
        <row r="2112">
          <cell r="E2112">
            <v>46362461</v>
          </cell>
          <cell r="F2112" t="str">
            <v>CENTRO DE SALUD PAYA</v>
          </cell>
          <cell r="G2112">
            <v>3215774772</v>
          </cell>
        </row>
        <row r="2113">
          <cell r="E2113">
            <v>1056553975</v>
          </cell>
          <cell r="F2113" t="str">
            <v>CALLE 4 NO 4-02</v>
          </cell>
          <cell r="G2113">
            <v>3124806748</v>
          </cell>
        </row>
        <row r="2114">
          <cell r="E2114">
            <v>1055504647</v>
          </cell>
          <cell r="F2114" t="str">
            <v>ENTRO LABRANZAGRANDE</v>
          </cell>
          <cell r="G2114">
            <v>3112450992</v>
          </cell>
        </row>
        <row r="2115">
          <cell r="E2115">
            <v>1052395825</v>
          </cell>
          <cell r="F2115" t="str">
            <v>CALLE 6 NO 4-25</v>
          </cell>
          <cell r="G2115">
            <v>7870030</v>
          </cell>
        </row>
        <row r="2116">
          <cell r="E2116">
            <v>1016048160</v>
          </cell>
          <cell r="F2116" t="str">
            <v>CENTRO DE SALUD DE SPB</v>
          </cell>
          <cell r="G2116">
            <v>3185408286</v>
          </cell>
        </row>
        <row r="2117">
          <cell r="E2117">
            <v>24100351</v>
          </cell>
          <cell r="F2117" t="str">
            <v>CARRERA 7 NO 5-25</v>
          </cell>
          <cell r="G2117">
            <v>3112704004</v>
          </cell>
        </row>
        <row r="2118">
          <cell r="E2118">
            <v>1007454066</v>
          </cell>
          <cell r="F2118" t="str">
            <v>CALLE 4 NO 5-25</v>
          </cell>
          <cell r="G2118">
            <v>3206922010</v>
          </cell>
        </row>
        <row r="2119">
          <cell r="E2119">
            <v>80227030</v>
          </cell>
          <cell r="F2119" t="str">
            <v>VEREDA REGENCIA TUTA</v>
          </cell>
          <cell r="G2119">
            <v>3142391994</v>
          </cell>
        </row>
        <row r="2120">
          <cell r="E2120">
            <v>1049630741</v>
          </cell>
          <cell r="F2120" t="str">
            <v>CARRERA 3 NO 7-49</v>
          </cell>
          <cell r="G2120">
            <v>3204369125</v>
          </cell>
        </row>
        <row r="2121">
          <cell r="E2121">
            <v>1049603552</v>
          </cell>
          <cell r="F2121" t="str">
            <v>CENTRO TASCO</v>
          </cell>
          <cell r="G2121">
            <v>7879110</v>
          </cell>
        </row>
        <row r="2122">
          <cell r="E2122">
            <v>1055504655</v>
          </cell>
          <cell r="F2122" t="str">
            <v>CALLE 3 NO 5-31 PAYA</v>
          </cell>
          <cell r="G2122">
            <v>3222643616</v>
          </cell>
        </row>
        <row r="2123">
          <cell r="E2123">
            <v>52902791</v>
          </cell>
          <cell r="F2123" t="str">
            <v>CALLE 8 NO 7-09</v>
          </cell>
          <cell r="G2123">
            <v>3107981251</v>
          </cell>
        </row>
        <row r="2124">
          <cell r="E2124">
            <v>1052383994</v>
          </cell>
          <cell r="F2124" t="str">
            <v>CARRERA 10 NO 17-34</v>
          </cell>
          <cell r="G2124">
            <v>3138256696</v>
          </cell>
        </row>
        <row r="2125">
          <cell r="E2125">
            <v>830003664</v>
          </cell>
          <cell r="G2125">
            <v>0</v>
          </cell>
        </row>
        <row r="2126">
          <cell r="E2126">
            <v>1057573665</v>
          </cell>
          <cell r="F2126" t="str">
            <v>CALLE 5 NO 5-35</v>
          </cell>
          <cell r="G2126">
            <v>0</v>
          </cell>
        </row>
        <row r="2127">
          <cell r="E2127">
            <v>1057603478</v>
          </cell>
          <cell r="F2127" t="str">
            <v>CALLE 5 NO 8-24</v>
          </cell>
          <cell r="G2127">
            <v>3006614496</v>
          </cell>
        </row>
        <row r="2128">
          <cell r="E2128">
            <v>74085040</v>
          </cell>
          <cell r="F2128" t="str">
            <v>CARRERA 9 NO 11-02 ESQUINA</v>
          </cell>
          <cell r="G2128">
            <v>3215343696</v>
          </cell>
        </row>
        <row r="2129">
          <cell r="E2129">
            <v>46378985</v>
          </cell>
          <cell r="F2129" t="str">
            <v>MAHILA ACCESORIOS SOGAMOSO</v>
          </cell>
          <cell r="G2129">
            <v>3168725781</v>
          </cell>
        </row>
        <row r="2130">
          <cell r="E2130">
            <v>1057586577</v>
          </cell>
          <cell r="F2130" t="str">
            <v>PRADO VERDE SOGAMOSO</v>
          </cell>
          <cell r="G2130">
            <v>3226454033</v>
          </cell>
        </row>
        <row r="2131">
          <cell r="E2131">
            <v>1001047807</v>
          </cell>
          <cell r="F2131" t="str">
            <v>VEREDA PEREZ AGUA BLANCA AQUITANIA</v>
          </cell>
          <cell r="G2131">
            <v>3228949646</v>
          </cell>
        </row>
        <row r="2132">
          <cell r="E2132">
            <v>79832885</v>
          </cell>
          <cell r="F2132" t="str">
            <v>CALLE 3 NO 1-70 MONGUI</v>
          </cell>
          <cell r="G2132">
            <v>3102363792</v>
          </cell>
        </row>
        <row r="2133">
          <cell r="E2133">
            <v>46661822</v>
          </cell>
          <cell r="F2133" t="str">
            <v>CALLE 16 NO 14 46</v>
          </cell>
          <cell r="G2133">
            <v>7602524</v>
          </cell>
        </row>
        <row r="2134">
          <cell r="E2134">
            <v>9519697</v>
          </cell>
          <cell r="F2134" t="str">
            <v>CALLE 26 NO 22-25</v>
          </cell>
          <cell r="G2134">
            <v>7852869</v>
          </cell>
        </row>
        <row r="2135">
          <cell r="E2135">
            <v>9524528</v>
          </cell>
          <cell r="F2135" t="str">
            <v>CALLE 26 NO 22-25</v>
          </cell>
          <cell r="G2135">
            <v>3114816829</v>
          </cell>
        </row>
        <row r="2136">
          <cell r="E2136">
            <v>33377405</v>
          </cell>
          <cell r="F2136" t="str">
            <v>CARRERA 14 NO 20-14</v>
          </cell>
          <cell r="G2136">
            <v>7431519</v>
          </cell>
        </row>
        <row r="2137">
          <cell r="E2137">
            <v>900156264</v>
          </cell>
          <cell r="F2137" t="str">
            <v>CALLE 11 NO 13-00</v>
          </cell>
          <cell r="G2137">
            <v>7703169</v>
          </cell>
        </row>
        <row r="2138">
          <cell r="E2138">
            <v>1002313909</v>
          </cell>
          <cell r="F2138" t="str">
            <v>CALLE 7 NO 4-13</v>
          </cell>
          <cell r="G2138">
            <v>3124697534</v>
          </cell>
        </row>
        <row r="2139">
          <cell r="E2139">
            <v>1058275568</v>
          </cell>
          <cell r="F2139" t="str">
            <v>CALLE 14 NO 7-36 MONGUA</v>
          </cell>
          <cell r="G2139">
            <v>3209918057</v>
          </cell>
        </row>
        <row r="2140">
          <cell r="E2140">
            <v>1002678342</v>
          </cell>
          <cell r="F2140" t="str">
            <v>CARRERA 4 NO 4-16</v>
          </cell>
          <cell r="G2140">
            <v>3123917206</v>
          </cell>
        </row>
        <row r="2141">
          <cell r="E2141">
            <v>900611019</v>
          </cell>
          <cell r="F2141" t="str">
            <v>CALLE 127 NO 13A-12 OF 501</v>
          </cell>
          <cell r="G2141">
            <v>0</v>
          </cell>
        </row>
        <row r="2142">
          <cell r="E2142">
            <v>1052410907</v>
          </cell>
          <cell r="F2142" t="str">
            <v>CALLE 3 NO 1352</v>
          </cell>
          <cell r="G2142">
            <v>3105675879</v>
          </cell>
        </row>
        <row r="2143">
          <cell r="E2143">
            <v>1051476399</v>
          </cell>
          <cell r="F2143" t="str">
            <v>CARRERA 9 NO 4-46</v>
          </cell>
          <cell r="G2143">
            <v>3112032666</v>
          </cell>
        </row>
        <row r="2144">
          <cell r="E2144">
            <v>1002556775</v>
          </cell>
          <cell r="F2144" t="str">
            <v>CARRERA 2 NO 5B-11</v>
          </cell>
          <cell r="G2144">
            <v>3209762086</v>
          </cell>
        </row>
        <row r="2145">
          <cell r="E2145">
            <v>46666892</v>
          </cell>
          <cell r="F2145" t="str">
            <v>CALLE 25 NO 19-20</v>
          </cell>
          <cell r="G2145">
            <v>3042132096</v>
          </cell>
        </row>
        <row r="2146">
          <cell r="E2146">
            <v>40035907</v>
          </cell>
          <cell r="F2146" t="str">
            <v>CALLE 29 NO 10-23</v>
          </cell>
          <cell r="G2146">
            <v>7402960</v>
          </cell>
        </row>
        <row r="2147">
          <cell r="E2147">
            <v>46379681</v>
          </cell>
          <cell r="F2147" t="str">
            <v>ESE SALUD AQUITANIA</v>
          </cell>
          <cell r="G2147">
            <v>3214872710</v>
          </cell>
        </row>
        <row r="2148">
          <cell r="E2148">
            <v>23945092</v>
          </cell>
          <cell r="F2148" t="str">
            <v>ESE SALUD AQUITANIA</v>
          </cell>
          <cell r="G2148">
            <v>3125832601</v>
          </cell>
        </row>
        <row r="2149">
          <cell r="E2149">
            <v>7225901</v>
          </cell>
          <cell r="F2149" t="str">
            <v>ESE SALUD AQUITANIA</v>
          </cell>
          <cell r="G2149">
            <v>3116817378</v>
          </cell>
        </row>
        <row r="2150">
          <cell r="E2150">
            <v>1054064331</v>
          </cell>
          <cell r="F2150" t="str">
            <v>CARRERA 4 NO 2-56</v>
          </cell>
          <cell r="G2150">
            <v>3135570226</v>
          </cell>
        </row>
        <row r="2151">
          <cell r="E2151">
            <v>1117545066</v>
          </cell>
          <cell r="F2151" t="str">
            <v>CENTRO AQUITANIA</v>
          </cell>
          <cell r="G2151">
            <v>0</v>
          </cell>
        </row>
        <row r="2152">
          <cell r="E2152">
            <v>1052409852</v>
          </cell>
          <cell r="F2152" t="str">
            <v>CENTRO PISBA</v>
          </cell>
          <cell r="G2152">
            <v>0</v>
          </cell>
        </row>
        <row r="2153">
          <cell r="E2153">
            <v>1052398553</v>
          </cell>
          <cell r="F2153" t="str">
            <v>CARRERA 2 NO 2-59</v>
          </cell>
          <cell r="G2153">
            <v>3224430688</v>
          </cell>
        </row>
        <row r="2154">
          <cell r="E2154">
            <v>901173567</v>
          </cell>
          <cell r="F2154" t="str">
            <v>CALLE 11 NO 10-45</v>
          </cell>
          <cell r="G2154">
            <v>3157828721</v>
          </cell>
        </row>
        <row r="2155">
          <cell r="E2155">
            <v>24091153</v>
          </cell>
          <cell r="F2155" t="str">
            <v>CRA 2 NO 52 35B SOCOTA</v>
          </cell>
          <cell r="G2155">
            <v>3214507811</v>
          </cell>
        </row>
        <row r="2156">
          <cell r="E2156">
            <v>1051473547</v>
          </cell>
          <cell r="F2156" t="str">
            <v>TR 7 NO 12-12</v>
          </cell>
          <cell r="G2156">
            <v>3104823031</v>
          </cell>
        </row>
        <row r="2157">
          <cell r="E2157">
            <v>45507640</v>
          </cell>
          <cell r="F2157" t="str">
            <v>CENTRO</v>
          </cell>
          <cell r="G2157">
            <v>0</v>
          </cell>
        </row>
        <row r="2158">
          <cell r="E2158">
            <v>1055730220</v>
          </cell>
          <cell r="F2158" t="str">
            <v>CALLE 2B NO 21-00</v>
          </cell>
          <cell r="G2158">
            <v>3103113708</v>
          </cell>
        </row>
        <row r="2159">
          <cell r="E2159">
            <v>1052385246</v>
          </cell>
          <cell r="F2159" t="str">
            <v>CARRERA 2 NO 17A 35 DUITAMA</v>
          </cell>
          <cell r="G2159">
            <v>3134086700</v>
          </cell>
        </row>
        <row r="2160">
          <cell r="E2160">
            <v>9390028</v>
          </cell>
          <cell r="F2160" t="str">
            <v>CARRERA 1 NO 4-62 S MARIA</v>
          </cell>
          <cell r="G2160">
            <v>3229049251</v>
          </cell>
        </row>
        <row r="2161">
          <cell r="E2161">
            <v>74376462</v>
          </cell>
          <cell r="F2161" t="str">
            <v>CALLE 16 NO 16-50</v>
          </cell>
          <cell r="G2161">
            <v>7625581</v>
          </cell>
        </row>
        <row r="2162">
          <cell r="E2162">
            <v>900937796</v>
          </cell>
          <cell r="F2162" t="str">
            <v>CALLE 11 NO 17-38</v>
          </cell>
          <cell r="G2162">
            <v>3108019801</v>
          </cell>
        </row>
        <row r="2163">
          <cell r="E2163">
            <v>1055552844</v>
          </cell>
          <cell r="F2163" t="str">
            <v>CENTRO DE SALUD DE SAN PABLO DE BORBUR</v>
          </cell>
          <cell r="G2163">
            <v>0</v>
          </cell>
        </row>
        <row r="2164">
          <cell r="E2164">
            <v>91485520</v>
          </cell>
          <cell r="F2164" t="str">
            <v>CARRERA 33 NO 48-30</v>
          </cell>
          <cell r="G2164">
            <v>3153744970</v>
          </cell>
        </row>
        <row r="2165">
          <cell r="E2165">
            <v>1018454877</v>
          </cell>
          <cell r="F2165" t="str">
            <v>CARRERA 6 NO 24-104</v>
          </cell>
          <cell r="G2165">
            <v>3133114644</v>
          </cell>
        </row>
        <row r="2166">
          <cell r="E2166">
            <v>74085406</v>
          </cell>
          <cell r="F2166" t="str">
            <v>CRA 18 NO 7A-10</v>
          </cell>
          <cell r="G2166">
            <v>3138984555</v>
          </cell>
        </row>
        <row r="2167">
          <cell r="E2167">
            <v>900111324</v>
          </cell>
          <cell r="F2167" t="str">
            <v>VEREDA EL TEJAR KM 3</v>
          </cell>
          <cell r="G2167">
            <v>3162344632</v>
          </cell>
        </row>
        <row r="2168">
          <cell r="E2168">
            <v>52291791</v>
          </cell>
          <cell r="F2168" t="str">
            <v>ESE DE GAMEZA</v>
          </cell>
          <cell r="G2168">
            <v>3224505709</v>
          </cell>
        </row>
        <row r="2169">
          <cell r="E2169">
            <v>33435351</v>
          </cell>
          <cell r="F2169" t="str">
            <v>CARRERA 2 NO 12-30 QUIPAMA</v>
          </cell>
          <cell r="G2169">
            <v>3203286078</v>
          </cell>
        </row>
        <row r="2170">
          <cell r="E2170">
            <v>1056957666</v>
          </cell>
          <cell r="F2170" t="str">
            <v>CALLE 6A NO 1A-50</v>
          </cell>
          <cell r="G2170">
            <v>3218191298</v>
          </cell>
        </row>
        <row r="2171">
          <cell r="E2171">
            <v>40037989</v>
          </cell>
          <cell r="F2171" t="str">
            <v>VEREDA BOJIRQUE</v>
          </cell>
          <cell r="G2171">
            <v>3212285963</v>
          </cell>
        </row>
        <row r="2172">
          <cell r="E2172">
            <v>21147836</v>
          </cell>
          <cell r="F2172" t="str">
            <v>CALLE 4 NO 4-31</v>
          </cell>
          <cell r="G2172">
            <v>3202341813</v>
          </cell>
        </row>
        <row r="2173">
          <cell r="E2173">
            <v>1053302704</v>
          </cell>
          <cell r="F2173" t="str">
            <v>CARRERRA 3 NO 6-84</v>
          </cell>
          <cell r="G2173">
            <v>3123472227</v>
          </cell>
        </row>
        <row r="2174">
          <cell r="E2174">
            <v>1058430507</v>
          </cell>
          <cell r="F2174" t="str">
            <v>CALLE 47 NO 12B 57</v>
          </cell>
          <cell r="G2174">
            <v>3218246004</v>
          </cell>
        </row>
        <row r="2175">
          <cell r="E2175">
            <v>1051474746</v>
          </cell>
          <cell r="F2175" t="str">
            <v>CALLE 5 NO 6-09</v>
          </cell>
          <cell r="G2175">
            <v>3138151549</v>
          </cell>
        </row>
        <row r="2176">
          <cell r="E2176">
            <v>68249009</v>
          </cell>
          <cell r="F2176" t="str">
            <v>MIRADOR VILLA GARZON</v>
          </cell>
          <cell r="G2176">
            <v>3112647849</v>
          </cell>
        </row>
        <row r="2177">
          <cell r="E2177">
            <v>1052405977</v>
          </cell>
          <cell r="F2177" t="str">
            <v>VEREDA FIRAVITOBA</v>
          </cell>
          <cell r="G2177">
            <v>3142565807</v>
          </cell>
        </row>
        <row r="2178">
          <cell r="E2178">
            <v>51990459</v>
          </cell>
          <cell r="F2178" t="str">
            <v>CALLE 5 NO 6-31</v>
          </cell>
          <cell r="G2178">
            <v>3138540591</v>
          </cell>
        </row>
        <row r="2179">
          <cell r="E2179">
            <v>65500145</v>
          </cell>
          <cell r="F2179" t="str">
            <v>CENTRO PAIPA</v>
          </cell>
          <cell r="G2179">
            <v>0</v>
          </cell>
        </row>
        <row r="2180">
          <cell r="E2180">
            <v>1103115151</v>
          </cell>
          <cell r="F2180" t="str">
            <v>CARRERA 7 NO 6-7</v>
          </cell>
          <cell r="G2180">
            <v>3023894603</v>
          </cell>
        </row>
        <row r="2181">
          <cell r="E2181">
            <v>52702470</v>
          </cell>
          <cell r="F2181" t="str">
            <v>CALLE 24 NO 40-70</v>
          </cell>
          <cell r="G2181">
            <v>3142062372</v>
          </cell>
        </row>
        <row r="2182">
          <cell r="E2182">
            <v>1056504308</v>
          </cell>
          <cell r="F2182" t="str">
            <v>CENTRO SAN PABLO DE BORBUR</v>
          </cell>
          <cell r="G2182">
            <v>3216452633</v>
          </cell>
        </row>
        <row r="2183">
          <cell r="E2183">
            <v>74083797</v>
          </cell>
          <cell r="F2183" t="str">
            <v>CALLE 4A NO 21B-18</v>
          </cell>
          <cell r="G2183">
            <v>3107556953</v>
          </cell>
        </row>
        <row r="2184">
          <cell r="E2184">
            <v>1022934552</v>
          </cell>
          <cell r="F2184" t="str">
            <v>VDA SAN LUIS</v>
          </cell>
          <cell r="G2184">
            <v>3114795532</v>
          </cell>
        </row>
        <row r="2185">
          <cell r="E2185">
            <v>1002678507</v>
          </cell>
          <cell r="F2185" t="str">
            <v>CENTRO DE SALUD SAN PABLO DE BORBUR</v>
          </cell>
          <cell r="G2185">
            <v>3239929329</v>
          </cell>
        </row>
        <row r="2186">
          <cell r="E2186">
            <v>1002734859</v>
          </cell>
          <cell r="F2186" t="str">
            <v>CENTRO PAYA</v>
          </cell>
          <cell r="G2186">
            <v>3224728173</v>
          </cell>
        </row>
        <row r="2187">
          <cell r="E2187">
            <v>4150708</v>
          </cell>
          <cell r="F2187" t="str">
            <v>CARRERA 4 NO 5-11 CENTRO</v>
          </cell>
          <cell r="G2187">
            <v>3203183103</v>
          </cell>
        </row>
        <row r="2188">
          <cell r="E2188">
            <v>1024480813</v>
          </cell>
          <cell r="F2188" t="str">
            <v>ESE DE PAYA</v>
          </cell>
          <cell r="G2188">
            <v>0</v>
          </cell>
        </row>
        <row r="2189">
          <cell r="E2189">
            <v>1002623127</v>
          </cell>
          <cell r="F2189" t="str">
            <v>CENTRO CORRALES</v>
          </cell>
          <cell r="G2189">
            <v>3154646810</v>
          </cell>
        </row>
        <row r="2190">
          <cell r="E2190">
            <v>21939940</v>
          </cell>
          <cell r="F2190" t="str">
            <v>CALLE 19A NO 17-34</v>
          </cell>
          <cell r="G2190">
            <v>3102571778</v>
          </cell>
        </row>
        <row r="2191">
          <cell r="E2191">
            <v>39687396</v>
          </cell>
          <cell r="F2191" t="str">
            <v>CALLE 1 NO 5-10</v>
          </cell>
          <cell r="G2191">
            <v>6087357216</v>
          </cell>
        </row>
        <row r="2192">
          <cell r="E2192">
            <v>23277026</v>
          </cell>
          <cell r="F2192" t="str">
            <v>ESTACION TERPEL</v>
          </cell>
          <cell r="G2192">
            <v>3118455931</v>
          </cell>
        </row>
        <row r="2193">
          <cell r="E2193">
            <v>1000463054</v>
          </cell>
          <cell r="F2193" t="str">
            <v>CALLE 166 NO 49-20</v>
          </cell>
          <cell r="G2193">
            <v>3133048930</v>
          </cell>
        </row>
        <row r="2194">
          <cell r="E2194">
            <v>1056957928</v>
          </cell>
          <cell r="F2194" t="str">
            <v>CALLE 11 NO 3-04</v>
          </cell>
          <cell r="G2194">
            <v>3132412581</v>
          </cell>
        </row>
        <row r="2195">
          <cell r="E2195">
            <v>74359412</v>
          </cell>
          <cell r="F2195" t="str">
            <v>CALLE 14A NO 22-36</v>
          </cell>
          <cell r="G2195">
            <v>3115235746</v>
          </cell>
        </row>
        <row r="2196">
          <cell r="E2196">
            <v>1049631557</v>
          </cell>
          <cell r="F2196" t="str">
            <v>CALLE 24 NO 5-60</v>
          </cell>
          <cell r="G2196">
            <v>3128752460</v>
          </cell>
        </row>
        <row r="2197">
          <cell r="E2197">
            <v>23596665</v>
          </cell>
          <cell r="F2197" t="str">
            <v>CALLE 4 NO 4-15</v>
          </cell>
          <cell r="G2197">
            <v>3134346676</v>
          </cell>
        </row>
        <row r="2198">
          <cell r="E2198">
            <v>1140870062</v>
          </cell>
          <cell r="F2198" t="str">
            <v>CARRERA 65 NO 49-38</v>
          </cell>
          <cell r="G2198">
            <v>3105027206</v>
          </cell>
        </row>
        <row r="2199">
          <cell r="E2199">
            <v>1006556086</v>
          </cell>
          <cell r="F2199" t="str">
            <v>CENTRO LABRANZAGRANDE</v>
          </cell>
          <cell r="G2199">
            <v>3143756885</v>
          </cell>
        </row>
        <row r="2200">
          <cell r="E2200">
            <v>1057583927</v>
          </cell>
          <cell r="F2200" t="str">
            <v>CALLE 7 SUR NO 13-46</v>
          </cell>
          <cell r="G2200">
            <v>3227602028</v>
          </cell>
        </row>
        <row r="2201">
          <cell r="E2201">
            <v>1053615973</v>
          </cell>
          <cell r="F2201" t="str">
            <v>ESE SALUD AQUITANIA</v>
          </cell>
          <cell r="G2201">
            <v>3124899587</v>
          </cell>
        </row>
        <row r="2202">
          <cell r="E2202">
            <v>33448910</v>
          </cell>
          <cell r="F2202" t="str">
            <v>CARRERA 10 NO 21-1</v>
          </cell>
          <cell r="G2202">
            <v>3015824257</v>
          </cell>
        </row>
        <row r="2203">
          <cell r="E2203">
            <v>40015513</v>
          </cell>
          <cell r="F2203" t="str">
            <v>CRA 4A NO 8-09</v>
          </cell>
          <cell r="G2203">
            <v>3135136665</v>
          </cell>
        </row>
        <row r="2204">
          <cell r="E2204">
            <v>1118541409</v>
          </cell>
          <cell r="F2204" t="str">
            <v>CALLE 3 NO 3-86</v>
          </cell>
          <cell r="G2204">
            <v>3203102368</v>
          </cell>
        </row>
        <row r="2205">
          <cell r="E2205">
            <v>1055551680</v>
          </cell>
          <cell r="F2205" t="str">
            <v>VEREDA SAN MARTIN SP DE BORBUR</v>
          </cell>
          <cell r="G2205">
            <v>3144754853</v>
          </cell>
        </row>
        <row r="2206">
          <cell r="E2206">
            <v>80267608</v>
          </cell>
          <cell r="F2206" t="str">
            <v>URBANIZACION SAN MARCOS</v>
          </cell>
          <cell r="G2206">
            <v>3212366102</v>
          </cell>
        </row>
        <row r="2207">
          <cell r="E2207">
            <v>4207899</v>
          </cell>
          <cell r="F2207" t="str">
            <v>CARRERA 22 NO 27-49</v>
          </cell>
          <cell r="G2207">
            <v>3118482582</v>
          </cell>
        </row>
        <row r="2208">
          <cell r="E2208">
            <v>1046400682</v>
          </cell>
          <cell r="F2208" t="str">
            <v>CARRERA 4 NO 8A-66</v>
          </cell>
          <cell r="G2208">
            <v>3006577496</v>
          </cell>
        </row>
        <row r="2209">
          <cell r="E2209">
            <v>1057016643</v>
          </cell>
          <cell r="F2209" t="str">
            <v>LABRANZAGRANDE CENTRO</v>
          </cell>
          <cell r="G2209">
            <v>3227587535</v>
          </cell>
        </row>
        <row r="2210">
          <cell r="E2210">
            <v>1057590219</v>
          </cell>
          <cell r="F2210" t="str">
            <v>CALLE 31 BIS NO 8-02</v>
          </cell>
          <cell r="G2210">
            <v>3166774483</v>
          </cell>
        </row>
        <row r="2211">
          <cell r="E2211">
            <v>1049657733</v>
          </cell>
          <cell r="F2211" t="str">
            <v>CARRERA 10A NO. 54-30</v>
          </cell>
          <cell r="G2211">
            <v>3133642467</v>
          </cell>
        </row>
        <row r="2212">
          <cell r="E2212">
            <v>1053558511</v>
          </cell>
          <cell r="F2212" t="str">
            <v>CALLE 8 NO 1A-64</v>
          </cell>
          <cell r="G2212">
            <v>3138516993</v>
          </cell>
        </row>
        <row r="2213">
          <cell r="E2213">
            <v>23946216</v>
          </cell>
          <cell r="F2213" t="str">
            <v>CARRERA 7 NO 5-76</v>
          </cell>
          <cell r="G2213">
            <v>3133963509</v>
          </cell>
        </row>
        <row r="2214">
          <cell r="E2214">
            <v>1140822685</v>
          </cell>
          <cell r="F2214" t="str">
            <v>CALLE 7 NO 23 4</v>
          </cell>
          <cell r="G2214">
            <v>3213179535</v>
          </cell>
        </row>
        <row r="2215">
          <cell r="E2215">
            <v>40037791</v>
          </cell>
          <cell r="F2215" t="str">
            <v>PUENTE DE BOYACA</v>
          </cell>
          <cell r="G2215">
            <v>3114823500</v>
          </cell>
        </row>
        <row r="2216">
          <cell r="E2216">
            <v>46677589</v>
          </cell>
          <cell r="F2216" t="str">
            <v>CALLE 3A NO 7-22</v>
          </cell>
          <cell r="G2216">
            <v>3138717345</v>
          </cell>
        </row>
        <row r="2217">
          <cell r="E2217">
            <v>47441028</v>
          </cell>
          <cell r="F2217" t="str">
            <v>CARRERA 8 NO 5-55 LABRANZAGRANDE</v>
          </cell>
          <cell r="G2217">
            <v>3114596947</v>
          </cell>
        </row>
        <row r="2218">
          <cell r="E2218">
            <v>46360935</v>
          </cell>
          <cell r="F2218" t="str">
            <v>CRA 14 NO 3A-47</v>
          </cell>
          <cell r="G2218">
            <v>3202645091</v>
          </cell>
        </row>
        <row r="2219">
          <cell r="E2219">
            <v>1014177657</v>
          </cell>
          <cell r="F2219" t="str">
            <v>CARRERA 5 NO 5-32</v>
          </cell>
          <cell r="G2219">
            <v>3107538111</v>
          </cell>
        </row>
        <row r="2220">
          <cell r="E2220">
            <v>74358684</v>
          </cell>
          <cell r="F2220" t="str">
            <v>CARRERA 9 NO 10-150 INT 12C</v>
          </cell>
          <cell r="G2220">
            <v>3118076878</v>
          </cell>
        </row>
        <row r="2221">
          <cell r="E2221">
            <v>33481388</v>
          </cell>
          <cell r="F2221" t="str">
            <v>CENTRO</v>
          </cell>
          <cell r="G2221">
            <v>3138217418</v>
          </cell>
        </row>
        <row r="2222">
          <cell r="E2222">
            <v>23855936</v>
          </cell>
          <cell r="F2222" t="str">
            <v>CALLE 19 NO 22-25</v>
          </cell>
          <cell r="G2222">
            <v>3114410385</v>
          </cell>
        </row>
        <row r="2223">
          <cell r="E2223">
            <v>74130861</v>
          </cell>
          <cell r="F2223" t="str">
            <v>CARRERA 24 NO 21-33</v>
          </cell>
          <cell r="G2223">
            <v>3114485807</v>
          </cell>
        </row>
        <row r="2224">
          <cell r="E2224">
            <v>1118551030</v>
          </cell>
          <cell r="F2224" t="str">
            <v>CARRERA 31 NO 30-15</v>
          </cell>
          <cell r="G2224">
            <v>6342543</v>
          </cell>
        </row>
        <row r="2225">
          <cell r="E2225">
            <v>23972746</v>
          </cell>
          <cell r="F2225" t="str">
            <v>CALLE 2 NO 4-11</v>
          </cell>
          <cell r="G2225">
            <v>3108717251</v>
          </cell>
        </row>
        <row r="2226">
          <cell r="E2226">
            <v>1052836067</v>
          </cell>
          <cell r="F2226" t="str">
            <v>CARRERA 9 NO 3-31 AQUITANIA</v>
          </cell>
          <cell r="G2226">
            <v>3207599346</v>
          </cell>
        </row>
        <row r="2227">
          <cell r="E2227">
            <v>1047035620</v>
          </cell>
          <cell r="F2227" t="str">
            <v>CENTRO PAYA</v>
          </cell>
          <cell r="G2227">
            <v>3226430694</v>
          </cell>
        </row>
        <row r="2228">
          <cell r="E2228">
            <v>1007617353</v>
          </cell>
          <cell r="F2228" t="str">
            <v>CARRERA 4 NO 2-61</v>
          </cell>
          <cell r="G2228">
            <v>3143651367</v>
          </cell>
        </row>
        <row r="2229">
          <cell r="E2229">
            <v>1057606553</v>
          </cell>
          <cell r="F2229" t="str">
            <v>CENTRO PISBA</v>
          </cell>
          <cell r="G2229">
            <v>3118822659</v>
          </cell>
        </row>
        <row r="2230">
          <cell r="E2230">
            <v>47438120</v>
          </cell>
          <cell r="F2230" t="str">
            <v>BARRIO BELLO HORIZONTE</v>
          </cell>
          <cell r="G2230">
            <v>3115673590</v>
          </cell>
        </row>
        <row r="2231">
          <cell r="E2231">
            <v>7167542</v>
          </cell>
          <cell r="F2231" t="str">
            <v>KM 5 VIA TUNJA PAIPA</v>
          </cell>
          <cell r="G2231">
            <v>3106282802</v>
          </cell>
        </row>
        <row r="2232">
          <cell r="E2232">
            <v>71374524</v>
          </cell>
          <cell r="F2232" t="str">
            <v>CARRERA 24 NO 3-03</v>
          </cell>
          <cell r="G2232">
            <v>3104895281</v>
          </cell>
        </row>
        <row r="2233">
          <cell r="E2233">
            <v>4272442</v>
          </cell>
          <cell r="F2233" t="str">
            <v>CALLE 6 NO 5-48</v>
          </cell>
          <cell r="G2233">
            <v>7879060</v>
          </cell>
        </row>
        <row r="2234">
          <cell r="E2234">
            <v>7210557</v>
          </cell>
          <cell r="F2234" t="str">
            <v>CALLE 11 NO 11-90</v>
          </cell>
          <cell r="G2234">
            <v>7700504</v>
          </cell>
        </row>
        <row r="2235">
          <cell r="E2235">
            <v>1019030237</v>
          </cell>
          <cell r="F2235" t="str">
            <v>CARRERA 8 NO 1A-16</v>
          </cell>
          <cell r="G2235">
            <v>3102933188</v>
          </cell>
        </row>
        <row r="2236">
          <cell r="E2236">
            <v>4140023</v>
          </cell>
          <cell r="F2236" t="str">
            <v>CASA 25 B SAN JOSE</v>
          </cell>
          <cell r="G2236">
            <v>3208221676</v>
          </cell>
        </row>
        <row r="2237">
          <cell r="E2237">
            <v>1002556870</v>
          </cell>
          <cell r="F2237" t="str">
            <v>CARRERA 2 NO 2-76</v>
          </cell>
          <cell r="G2237">
            <v>3187447066</v>
          </cell>
        </row>
        <row r="2238">
          <cell r="E2238">
            <v>1053613709</v>
          </cell>
          <cell r="F2238" t="str">
            <v>CALLE 25 # 19-51</v>
          </cell>
          <cell r="G2238">
            <v>0</v>
          </cell>
        </row>
        <row r="2239">
          <cell r="E2239">
            <v>900843288</v>
          </cell>
          <cell r="F2239" t="str">
            <v>CARRERA 12A NO 10-29 SOTANO</v>
          </cell>
          <cell r="G2239">
            <v>3214681402</v>
          </cell>
        </row>
        <row r="2240">
          <cell r="E2240">
            <v>46682260</v>
          </cell>
          <cell r="F2240" t="str">
            <v>CALLE 25 NO 20-29</v>
          </cell>
          <cell r="G2240">
            <v>7850276</v>
          </cell>
        </row>
        <row r="2241">
          <cell r="E2241">
            <v>52321781</v>
          </cell>
          <cell r="F2241" t="str">
            <v>CALLE 25 NO 20-46</v>
          </cell>
          <cell r="G2241">
            <v>3105669083</v>
          </cell>
        </row>
        <row r="2242">
          <cell r="E2242">
            <v>46680873</v>
          </cell>
          <cell r="F2242" t="str">
            <v>CALLE 25 NO 22-38</v>
          </cell>
          <cell r="G2242">
            <v>7850468</v>
          </cell>
        </row>
        <row r="2243">
          <cell r="E2243">
            <v>1053610031</v>
          </cell>
          <cell r="F2243" t="str">
            <v>CALLE 25 NO 20-09</v>
          </cell>
          <cell r="G2243">
            <v>7851448</v>
          </cell>
        </row>
        <row r="2244">
          <cell r="E2244">
            <v>40013666</v>
          </cell>
          <cell r="F2244" t="str">
            <v>CRA 23 NO 25 30</v>
          </cell>
          <cell r="G2244">
            <v>3115925852</v>
          </cell>
        </row>
        <row r="2245">
          <cell r="E2245">
            <v>1049654335</v>
          </cell>
          <cell r="F2245" t="str">
            <v>CALLE 28 NO 25 35 TUNJA</v>
          </cell>
          <cell r="G2245">
            <v>3105578545</v>
          </cell>
        </row>
        <row r="2246">
          <cell r="E2246">
            <v>24176894</v>
          </cell>
          <cell r="F2246" t="str">
            <v>CENTRO</v>
          </cell>
          <cell r="G2246">
            <v>7327546</v>
          </cell>
        </row>
        <row r="2247">
          <cell r="E2247">
            <v>72325942</v>
          </cell>
          <cell r="F2247" t="str">
            <v>VEREDA CAICEDOS</v>
          </cell>
          <cell r="G2247">
            <v>3115520263</v>
          </cell>
        </row>
        <row r="2248">
          <cell r="E2248">
            <v>23856061</v>
          </cell>
          <cell r="F2248" t="str">
            <v>AVENIDA LIBERTADORES NO 21-27</v>
          </cell>
          <cell r="G2248">
            <v>0</v>
          </cell>
        </row>
        <row r="2249">
          <cell r="E2249">
            <v>80029921</v>
          </cell>
          <cell r="F2249" t="str">
            <v>CARRERA 4 NO 3-75</v>
          </cell>
          <cell r="G2249">
            <v>3228090856</v>
          </cell>
        </row>
        <row r="2250">
          <cell r="E2250">
            <v>1053665018</v>
          </cell>
          <cell r="F2250" t="str">
            <v>AV SANTANDER NO 11-17 PR</v>
          </cell>
          <cell r="G2250">
            <v>3147501170</v>
          </cell>
        </row>
        <row r="2251">
          <cell r="E2251">
            <v>1049646160</v>
          </cell>
          <cell r="F2251" t="str">
            <v>CARRERA 3 NO 2-2</v>
          </cell>
          <cell r="G2251">
            <v>3134215413</v>
          </cell>
        </row>
        <row r="2252">
          <cell r="E2252">
            <v>1058038152</v>
          </cell>
          <cell r="F2252" t="str">
            <v>CENTRO TOPAGA</v>
          </cell>
          <cell r="G2252">
            <v>3124240289</v>
          </cell>
        </row>
        <row r="2253">
          <cell r="E2253">
            <v>23790633</v>
          </cell>
          <cell r="F2253" t="str">
            <v>CARRERA 8 NO 14-26</v>
          </cell>
          <cell r="G2253">
            <v>3208849934</v>
          </cell>
        </row>
        <row r="2254">
          <cell r="E2254">
            <v>74861783</v>
          </cell>
          <cell r="F2254" t="str">
            <v>CARRERA 3 NO 01-90</v>
          </cell>
          <cell r="G2254">
            <v>3144448827</v>
          </cell>
        </row>
        <row r="2255">
          <cell r="E2255">
            <v>1057570112</v>
          </cell>
          <cell r="F2255" t="str">
            <v>CALLE 4 NO 2-09</v>
          </cell>
          <cell r="G2255">
            <v>3204779267</v>
          </cell>
        </row>
        <row r="2256">
          <cell r="E2256">
            <v>1057466130</v>
          </cell>
          <cell r="F2256" t="str">
            <v>VEREDA CAICEDOS</v>
          </cell>
          <cell r="G2256">
            <v>3219780846</v>
          </cell>
        </row>
        <row r="2257">
          <cell r="E2257">
            <v>1002457883</v>
          </cell>
          <cell r="F2257" t="str">
            <v>CARRERA 5 NO 5-24 TASCO</v>
          </cell>
          <cell r="G2257">
            <v>7879110</v>
          </cell>
        </row>
        <row r="2258">
          <cell r="E2258">
            <v>46362202</v>
          </cell>
          <cell r="F2258" t="str">
            <v>CRA 7 NO 1-19</v>
          </cell>
          <cell r="G2258">
            <v>3143077979</v>
          </cell>
        </row>
        <row r="2259">
          <cell r="E2259">
            <v>4170867</v>
          </cell>
          <cell r="F2259" t="str">
            <v>CALLE 18 NO 7-71</v>
          </cell>
          <cell r="G2259">
            <v>7281814</v>
          </cell>
        </row>
        <row r="2260">
          <cell r="E2260">
            <v>4221897</v>
          </cell>
          <cell r="F2260" t="str">
            <v>CARRERA 7 NO 7-21</v>
          </cell>
          <cell r="G2260">
            <v>7327546</v>
          </cell>
        </row>
        <row r="2261">
          <cell r="E2261">
            <v>1057463999</v>
          </cell>
          <cell r="F2261" t="str">
            <v>CALLE 8 NO 7-60</v>
          </cell>
          <cell r="G2261">
            <v>7794681</v>
          </cell>
        </row>
        <row r="2262">
          <cell r="E2262">
            <v>1030593755</v>
          </cell>
          <cell r="F2262" t="str">
            <v>CALLE 8 NO 7-60 AQUITANIA</v>
          </cell>
          <cell r="G2262">
            <v>7794755</v>
          </cell>
        </row>
        <row r="2263">
          <cell r="E2263">
            <v>1057463256</v>
          </cell>
          <cell r="F2263" t="str">
            <v>CARRERA 5 NO 4-19</v>
          </cell>
          <cell r="G2263">
            <v>3212882122</v>
          </cell>
        </row>
        <row r="2264">
          <cell r="E2264">
            <v>23914158</v>
          </cell>
          <cell r="F2264" t="str">
            <v>AV SANTANDER NO 11 15 PAZ DE RIO</v>
          </cell>
          <cell r="G2264">
            <v>3102221551</v>
          </cell>
        </row>
        <row r="2265">
          <cell r="E2265">
            <v>24182789</v>
          </cell>
          <cell r="F2265" t="str">
            <v>CALLE 8 NO 6-43</v>
          </cell>
          <cell r="G2265">
            <v>3132643712</v>
          </cell>
        </row>
        <row r="2266">
          <cell r="E2266">
            <v>46370669</v>
          </cell>
          <cell r="F2266" t="str">
            <v>CALLE 62 NO 11-15</v>
          </cell>
          <cell r="G2266" t="str">
            <v>3104661040_x000D_
,</v>
          </cell>
        </row>
        <row r="2267">
          <cell r="E2267">
            <v>46374727</v>
          </cell>
          <cell r="F2267" t="str">
            <v>CALLE 13A NO 25-17</v>
          </cell>
          <cell r="G2267">
            <v>3123055257</v>
          </cell>
        </row>
        <row r="2268">
          <cell r="E2268">
            <v>1057464040</v>
          </cell>
          <cell r="F2268" t="str">
            <v>CRA 9 NO 46-67</v>
          </cell>
          <cell r="G2268">
            <v>7327546</v>
          </cell>
        </row>
        <row r="2269">
          <cell r="E2269">
            <v>1007142631</v>
          </cell>
          <cell r="F2269" t="str">
            <v>VEREDA GUACAMAYAS</v>
          </cell>
          <cell r="G2269">
            <v>3213651312</v>
          </cell>
        </row>
        <row r="2270">
          <cell r="E2270">
            <v>1002743032</v>
          </cell>
          <cell r="F2270" t="str">
            <v>CARRERA 4 NO 6-51 TOPAGA</v>
          </cell>
          <cell r="G2270">
            <v>3209727267</v>
          </cell>
        </row>
        <row r="2271">
          <cell r="E2271">
            <v>1051472880</v>
          </cell>
          <cell r="F2271" t="str">
            <v>CALLE 7 NO 3-35_x000D_
CALLE 7 NO 3-35</v>
          </cell>
          <cell r="G2271">
            <v>3114538034</v>
          </cell>
        </row>
        <row r="2272">
          <cell r="E2272">
            <v>7173495</v>
          </cell>
          <cell r="F2272" t="str">
            <v>CRA 2E NO 71-74</v>
          </cell>
          <cell r="G2272">
            <v>3133198235</v>
          </cell>
        </row>
        <row r="2273">
          <cell r="E2273">
            <v>33377323</v>
          </cell>
          <cell r="F2273" t="str">
            <v>CARRERA 3 NO 32-25</v>
          </cell>
          <cell r="G2273">
            <v>3008533481</v>
          </cell>
        </row>
        <row r="2274">
          <cell r="E2274">
            <v>1053684397</v>
          </cell>
          <cell r="F2274" t="str">
            <v>CALLE 4 NO 19-9</v>
          </cell>
          <cell r="G2274">
            <v>3143982918</v>
          </cell>
        </row>
        <row r="2275">
          <cell r="E2275">
            <v>1056613358</v>
          </cell>
          <cell r="F2275" t="str">
            <v>CALLE 5 NO 5-69</v>
          </cell>
          <cell r="G2275">
            <v>3213060146</v>
          </cell>
        </row>
        <row r="2276">
          <cell r="E2276">
            <v>1053664109</v>
          </cell>
          <cell r="F2276" t="str">
            <v>BARRIO PLAZUELA TASCO</v>
          </cell>
          <cell r="G2276">
            <v>3202602237</v>
          </cell>
        </row>
        <row r="2277">
          <cell r="E2277">
            <v>1052382495</v>
          </cell>
          <cell r="F2277" t="str">
            <v>CALLE 4A NO 13-79</v>
          </cell>
          <cell r="G2277">
            <v>3202195689</v>
          </cell>
        </row>
        <row r="2278">
          <cell r="E2278">
            <v>1057573830</v>
          </cell>
          <cell r="F2278" t="str">
            <v>CALLE 14 NO 6A-22</v>
          </cell>
          <cell r="G2278">
            <v>3118625656</v>
          </cell>
        </row>
        <row r="2279">
          <cell r="E2279">
            <v>1057590746</v>
          </cell>
          <cell r="F2279" t="str">
            <v>CARRERA 11 NO 27-62</v>
          </cell>
          <cell r="G2279">
            <v>3112507437</v>
          </cell>
        </row>
        <row r="2280">
          <cell r="E2280">
            <v>826003782</v>
          </cell>
          <cell r="F2280" t="str">
            <v>PARROQUISA S M ARCANGEL</v>
          </cell>
          <cell r="G2280">
            <v>7850067</v>
          </cell>
        </row>
        <row r="2281">
          <cell r="E2281">
            <v>24100414</v>
          </cell>
          <cell r="F2281" t="str">
            <v>CALLE 5 NO 8-66</v>
          </cell>
          <cell r="G2281">
            <v>3214548276</v>
          </cell>
        </row>
        <row r="2282">
          <cell r="E2282">
            <v>24149563</v>
          </cell>
          <cell r="F2282" t="str">
            <v>CRA 5 NO 4-02</v>
          </cell>
          <cell r="G2282">
            <v>3143874586</v>
          </cell>
        </row>
        <row r="2283">
          <cell r="E2283">
            <v>860503159</v>
          </cell>
          <cell r="F2283" t="str">
            <v>CARRERA 12 NO 12-44</v>
          </cell>
          <cell r="G2283">
            <v>2905466</v>
          </cell>
        </row>
        <row r="2284">
          <cell r="E2284">
            <v>23944978</v>
          </cell>
          <cell r="F2284" t="str">
            <v>CARRERA 14A NO 8-57</v>
          </cell>
          <cell r="G2284">
            <v>3133673600</v>
          </cell>
        </row>
        <row r="2285">
          <cell r="E2285">
            <v>23581709</v>
          </cell>
          <cell r="F2285" t="str">
            <v>CALLE 8 NO 3-06</v>
          </cell>
          <cell r="G2285">
            <v>3157561508</v>
          </cell>
        </row>
        <row r="2286">
          <cell r="E2286">
            <v>1007826130</v>
          </cell>
          <cell r="F2286" t="str">
            <v>CARRERA 7 NO 8-40</v>
          </cell>
          <cell r="G2286">
            <v>3106155297</v>
          </cell>
        </row>
        <row r="2287">
          <cell r="E2287">
            <v>46377752</v>
          </cell>
          <cell r="F2287" t="str">
            <v>CARRERA 9 NO 3-19</v>
          </cell>
          <cell r="G2287">
            <v>3118848646</v>
          </cell>
        </row>
        <row r="2288">
          <cell r="E2288">
            <v>1054121329</v>
          </cell>
          <cell r="F2288" t="str">
            <v>CARRERA 3 NO 7-65</v>
          </cell>
          <cell r="G2288">
            <v>3146367497</v>
          </cell>
        </row>
        <row r="2289">
          <cell r="E2289">
            <v>46382657</v>
          </cell>
          <cell r="F2289" t="str">
            <v>CALLE 4 NO 1-64 B SAN ANTONIO</v>
          </cell>
          <cell r="G2289">
            <v>3115449371</v>
          </cell>
        </row>
        <row r="2290">
          <cell r="E2290">
            <v>74322313</v>
          </cell>
          <cell r="F2290" t="str">
            <v>CALLE 24 NO 17-44</v>
          </cell>
          <cell r="G2290">
            <v>7852310</v>
          </cell>
        </row>
        <row r="2291">
          <cell r="E2291">
            <v>9518765</v>
          </cell>
          <cell r="F2291" t="str">
            <v>CRA 10 NO 5-82</v>
          </cell>
          <cell r="G2291">
            <v>3118635445</v>
          </cell>
        </row>
        <row r="2292">
          <cell r="E2292">
            <v>1007305538</v>
          </cell>
          <cell r="F2292" t="str">
            <v>CALLE 25 NO 21-14</v>
          </cell>
          <cell r="G2292">
            <v>3112794165</v>
          </cell>
        </row>
        <row r="2293">
          <cell r="E2293">
            <v>4272112</v>
          </cell>
          <cell r="F2293" t="str">
            <v>ESE DE TASCO</v>
          </cell>
          <cell r="G2293">
            <v>3132894086</v>
          </cell>
        </row>
        <row r="2294">
          <cell r="E2294">
            <v>24149921</v>
          </cell>
          <cell r="F2294" t="str">
            <v>URB EL BREVO</v>
          </cell>
          <cell r="G2294">
            <v>3203433710</v>
          </cell>
        </row>
        <row r="2295">
          <cell r="E2295">
            <v>900334605</v>
          </cell>
          <cell r="F2295" t="str">
            <v>CALLE 15 NO 17-54</v>
          </cell>
          <cell r="G2295">
            <v>7628230</v>
          </cell>
        </row>
        <row r="2296">
          <cell r="E2296">
            <v>1015442072</v>
          </cell>
          <cell r="F2296" t="str">
            <v>CENTRO COMERIAL IWOCA</v>
          </cell>
          <cell r="G2296">
            <v>3214324867</v>
          </cell>
        </row>
        <row r="2297">
          <cell r="E2297">
            <v>1053615391</v>
          </cell>
          <cell r="F2297" t="str">
            <v>CALLE 27 NO 17-66</v>
          </cell>
          <cell r="G2297">
            <v>3222294211</v>
          </cell>
        </row>
        <row r="2298">
          <cell r="E2298">
            <v>1051474341</v>
          </cell>
          <cell r="F2298" t="str">
            <v>CARRERA 10 NO 7-16</v>
          </cell>
          <cell r="G2298">
            <v>3112296538</v>
          </cell>
        </row>
        <row r="2299">
          <cell r="E2299">
            <v>9399856</v>
          </cell>
          <cell r="F2299" t="str">
            <v>CARA 1 SUR B. MONQUIRA</v>
          </cell>
          <cell r="G2299">
            <v>3106665363</v>
          </cell>
        </row>
        <row r="2300">
          <cell r="E2300">
            <v>7705312</v>
          </cell>
          <cell r="F2300" t="str">
            <v>CENTRO</v>
          </cell>
          <cell r="G2300">
            <v>3212041910</v>
          </cell>
        </row>
        <row r="2301">
          <cell r="E2301">
            <v>23770531</v>
          </cell>
          <cell r="F2301" t="str">
            <v>CENTRO</v>
          </cell>
          <cell r="G2301">
            <v>3212041910</v>
          </cell>
        </row>
        <row r="2302">
          <cell r="E2302">
            <v>1049628770</v>
          </cell>
          <cell r="F2302" t="str">
            <v>CALLE 74 NO 5-30</v>
          </cell>
          <cell r="G2302">
            <v>3218294138</v>
          </cell>
        </row>
        <row r="2303">
          <cell r="E2303">
            <v>24049619</v>
          </cell>
          <cell r="F2303" t="str">
            <v>CRA 6 NO 9-03</v>
          </cell>
          <cell r="G2303">
            <v>3118234852</v>
          </cell>
        </row>
        <row r="2304">
          <cell r="E2304">
            <v>1002413950</v>
          </cell>
          <cell r="F2304" t="str">
            <v>VEREDA DAITO AQUITANIA</v>
          </cell>
          <cell r="G2304">
            <v>3143767935</v>
          </cell>
        </row>
        <row r="2305">
          <cell r="E2305">
            <v>1057583648</v>
          </cell>
          <cell r="F2305" t="str">
            <v>CALLE 14 NO 8-41</v>
          </cell>
          <cell r="G2305">
            <v>3132598984</v>
          </cell>
        </row>
        <row r="2306">
          <cell r="E2306">
            <v>1016019091</v>
          </cell>
          <cell r="F2306" t="str">
            <v>CRA 99BIS NO 23H-49 INT 4</v>
          </cell>
          <cell r="G2306">
            <v>3214262468</v>
          </cell>
        </row>
        <row r="2307">
          <cell r="E2307">
            <v>1002682557</v>
          </cell>
          <cell r="F2307" t="str">
            <v>CENTRO UMBITA</v>
          </cell>
          <cell r="G2307">
            <v>3114535750</v>
          </cell>
        </row>
        <row r="2308">
          <cell r="E2308">
            <v>7176769</v>
          </cell>
          <cell r="F2308" t="str">
            <v>PUENTE DE BOYACA</v>
          </cell>
          <cell r="G2308">
            <v>3187578383</v>
          </cell>
        </row>
        <row r="2309">
          <cell r="E2309">
            <v>7185432</v>
          </cell>
          <cell r="F2309" t="str">
            <v>CRA 8 NO 20-91</v>
          </cell>
          <cell r="G2309">
            <v>3108123223</v>
          </cell>
        </row>
        <row r="2310">
          <cell r="E2310">
            <v>1052400414</v>
          </cell>
          <cell r="F2310" t="str">
            <v>BARRIO EL BOSQUE PAIPA</v>
          </cell>
          <cell r="G2310">
            <v>0</v>
          </cell>
        </row>
        <row r="2311">
          <cell r="E2311">
            <v>9523269</v>
          </cell>
          <cell r="F2311" t="str">
            <v>CENTRO PISBA BOYACA</v>
          </cell>
          <cell r="G2311">
            <v>0</v>
          </cell>
        </row>
        <row r="2312">
          <cell r="E2312">
            <v>1053538525</v>
          </cell>
          <cell r="F2312" t="str">
            <v>CENTRO DE SALUD PISBA</v>
          </cell>
          <cell r="G2312">
            <v>0</v>
          </cell>
        </row>
        <row r="2313">
          <cell r="E2313">
            <v>86069422</v>
          </cell>
          <cell r="F2313" t="str">
            <v>CRA 14 NO 31 F64 SUR</v>
          </cell>
          <cell r="G2313">
            <v>7794681</v>
          </cell>
        </row>
        <row r="2314">
          <cell r="E2314">
            <v>9521229</v>
          </cell>
          <cell r="F2314" t="str">
            <v>CARRERA 14 NO 7A-26 APTO 201</v>
          </cell>
          <cell r="G2314">
            <v>3123818950</v>
          </cell>
        </row>
        <row r="2315">
          <cell r="E2315">
            <v>1057581868</v>
          </cell>
          <cell r="F2315" t="str">
            <v>CARRERA 5 NO 2-35</v>
          </cell>
          <cell r="G2315">
            <v>3105839025</v>
          </cell>
        </row>
        <row r="2316">
          <cell r="E2316">
            <v>74080710</v>
          </cell>
          <cell r="F2316" t="str">
            <v>CARRERA 14 NO 7A-25</v>
          </cell>
          <cell r="G2316">
            <v>3124797732</v>
          </cell>
        </row>
        <row r="2317">
          <cell r="E2317">
            <v>7172844</v>
          </cell>
          <cell r="F2317" t="str">
            <v>TR 17C NO 32A-20</v>
          </cell>
          <cell r="G2317">
            <v>3112904457</v>
          </cell>
        </row>
        <row r="2318">
          <cell r="E2318">
            <v>1057893373</v>
          </cell>
          <cell r="F2318" t="str">
            <v>CARRERA 4 NO 2A 60</v>
          </cell>
          <cell r="G2318">
            <v>3104341076</v>
          </cell>
        </row>
        <row r="2319">
          <cell r="E2319">
            <v>1002522926</v>
          </cell>
          <cell r="F2319" t="str">
            <v>CARRERA 6 NO 34-53</v>
          </cell>
          <cell r="G2319">
            <v>3213616782</v>
          </cell>
        </row>
        <row r="2320">
          <cell r="E2320">
            <v>1117545432</v>
          </cell>
          <cell r="F2320" t="str">
            <v>CENTRO SAN LUIS DE GACENO</v>
          </cell>
          <cell r="G2320">
            <v>3115196122</v>
          </cell>
        </row>
        <row r="2321">
          <cell r="E2321">
            <v>1055942005</v>
          </cell>
          <cell r="F2321" t="str">
            <v>CENTRO LABRANZAGRANDE</v>
          </cell>
          <cell r="G2321">
            <v>3132805263</v>
          </cell>
        </row>
        <row r="2322">
          <cell r="E2322">
            <v>1052314595</v>
          </cell>
          <cell r="F2322" t="str">
            <v>CALLE 8 NO 9-18</v>
          </cell>
          <cell r="G2322">
            <v>3136789517</v>
          </cell>
        </row>
        <row r="2323">
          <cell r="E2323">
            <v>80089287</v>
          </cell>
          <cell r="F2323" t="str">
            <v>CENTRO PISBA</v>
          </cell>
          <cell r="G2323">
            <v>3008252811</v>
          </cell>
        </row>
        <row r="2324">
          <cell r="E2324">
            <v>1057586362</v>
          </cell>
          <cell r="F2324" t="str">
            <v>VEREDA DAITA</v>
          </cell>
          <cell r="G2324">
            <v>3102261248</v>
          </cell>
        </row>
        <row r="2325">
          <cell r="E2325">
            <v>23810658</v>
          </cell>
          <cell r="F2325" t="str">
            <v>VEREDA VENENGO</v>
          </cell>
          <cell r="G2325">
            <v>3112569209</v>
          </cell>
        </row>
        <row r="2326">
          <cell r="E2326">
            <v>74376392</v>
          </cell>
          <cell r="F2326" t="str">
            <v>CALLE 3 NO 6-85</v>
          </cell>
          <cell r="G2326">
            <v>3138498398</v>
          </cell>
        </row>
        <row r="2327">
          <cell r="E2327">
            <v>23946354</v>
          </cell>
          <cell r="F2327" t="str">
            <v>CENTRO AQUITANIA</v>
          </cell>
          <cell r="G2327">
            <v>3115054489</v>
          </cell>
        </row>
        <row r="2328">
          <cell r="E2328">
            <v>17189604</v>
          </cell>
          <cell r="F2328" t="str">
            <v>CALLE 5 NO 9-36</v>
          </cell>
          <cell r="G2328">
            <v>3115888131</v>
          </cell>
        </row>
        <row r="2329">
          <cell r="E2329">
            <v>1058352182</v>
          </cell>
          <cell r="F2329" t="str">
            <v>CARRERA 18 NO 1-90</v>
          </cell>
          <cell r="G2329">
            <v>3106762889</v>
          </cell>
        </row>
        <row r="2330">
          <cell r="E2330">
            <v>1051473850</v>
          </cell>
          <cell r="F2330" t="str">
            <v>CALLE 13 NO 12-68 AQUITANIA</v>
          </cell>
          <cell r="G2330">
            <v>3143643386</v>
          </cell>
        </row>
        <row r="2331">
          <cell r="E2331">
            <v>1058431306</v>
          </cell>
          <cell r="F2331" t="str">
            <v>CARRERA 5 NO 5-24</v>
          </cell>
          <cell r="G2331">
            <v>7879110</v>
          </cell>
        </row>
        <row r="2332">
          <cell r="E2332">
            <v>1052412387</v>
          </cell>
          <cell r="F2332" t="str">
            <v>CARRERA 7 No 6-68</v>
          </cell>
          <cell r="G2332">
            <v>7874398</v>
          </cell>
        </row>
        <row r="2333">
          <cell r="E2333">
            <v>46372634</v>
          </cell>
          <cell r="F2333" t="str">
            <v>CENTRO AQUITANIA</v>
          </cell>
          <cell r="G2333">
            <v>3115092850</v>
          </cell>
        </row>
        <row r="2334">
          <cell r="E2334">
            <v>9398319</v>
          </cell>
          <cell r="F2334" t="str">
            <v>VEREDA TOQUILLA AQUITANIA</v>
          </cell>
          <cell r="G2334">
            <v>3124165924</v>
          </cell>
        </row>
        <row r="2335">
          <cell r="E2335">
            <v>74189808</v>
          </cell>
          <cell r="F2335" t="str">
            <v>CALLE 5 NO 4-54</v>
          </cell>
          <cell r="G2335">
            <v>7794680</v>
          </cell>
        </row>
        <row r="2336">
          <cell r="E2336">
            <v>1057571022</v>
          </cell>
          <cell r="F2336" t="str">
            <v>CARRERA 12 A BIS NO 46-03</v>
          </cell>
          <cell r="G2336">
            <v>3233200455</v>
          </cell>
        </row>
        <row r="2337">
          <cell r="E2337">
            <v>1057579947</v>
          </cell>
          <cell r="F2337" t="str">
            <v>CALLE 3 NO 4-03 GAMEZA</v>
          </cell>
          <cell r="G2337">
            <v>3219619917</v>
          </cell>
        </row>
        <row r="2338">
          <cell r="E2338">
            <v>51754930</v>
          </cell>
          <cell r="F2338" t="str">
            <v>CRA 11A NO 17-40</v>
          </cell>
          <cell r="G2338">
            <v>3112915534</v>
          </cell>
        </row>
        <row r="2339">
          <cell r="E2339">
            <v>46452529</v>
          </cell>
          <cell r="F2339" t="str">
            <v>CRA 8 NO 66-51</v>
          </cell>
          <cell r="G2339">
            <v>3116531056</v>
          </cell>
        </row>
        <row r="2340">
          <cell r="E2340">
            <v>23942766</v>
          </cell>
          <cell r="F2340" t="str">
            <v>SECTOR PRIMAVERA AQUITANIA</v>
          </cell>
          <cell r="G2340">
            <v>3132267581</v>
          </cell>
        </row>
        <row r="2341">
          <cell r="E2341">
            <v>52317908</v>
          </cell>
          <cell r="F2341" t="str">
            <v>CARRERA 79D NO 7A-59</v>
          </cell>
          <cell r="G2341">
            <v>3103788257</v>
          </cell>
        </row>
        <row r="2342">
          <cell r="E2342">
            <v>23866330</v>
          </cell>
          <cell r="F2342" t="str">
            <v>CRA 7A NO 9-55</v>
          </cell>
          <cell r="G2342">
            <v>3123749855</v>
          </cell>
        </row>
        <row r="2343">
          <cell r="E2343">
            <v>74270022</v>
          </cell>
          <cell r="F2343" t="str">
            <v>CARRERA 15 NO 4-21</v>
          </cell>
          <cell r="G2343">
            <v>3123365555</v>
          </cell>
        </row>
        <row r="2344">
          <cell r="E2344">
            <v>47435589</v>
          </cell>
          <cell r="F2344" t="str">
            <v>BARRIO SAN GREGORIO</v>
          </cell>
          <cell r="G2344">
            <v>3134321948</v>
          </cell>
        </row>
        <row r="2345">
          <cell r="E2345">
            <v>47438489</v>
          </cell>
          <cell r="F2345" t="str">
            <v>ESE DE PAYA</v>
          </cell>
          <cell r="G2345">
            <v>3203013472</v>
          </cell>
        </row>
        <row r="2346">
          <cell r="E2346">
            <v>1057598993</v>
          </cell>
          <cell r="F2346" t="str">
            <v>CARRERA 10B BIS NO 43-06</v>
          </cell>
          <cell r="G2346">
            <v>3138420911</v>
          </cell>
        </row>
        <row r="2347">
          <cell r="E2347">
            <v>1018475439</v>
          </cell>
          <cell r="F2347" t="str">
            <v>CARRERA 3 NO 6-10 AQUITANIA</v>
          </cell>
          <cell r="G2347">
            <v>3219641501</v>
          </cell>
        </row>
        <row r="2348">
          <cell r="E2348">
            <v>1002604683</v>
          </cell>
          <cell r="F2348" t="str">
            <v>CENTRO QUIPAMA</v>
          </cell>
          <cell r="G2348">
            <v>3117565245</v>
          </cell>
        </row>
        <row r="2349">
          <cell r="E2349">
            <v>74184279</v>
          </cell>
          <cell r="F2349" t="str">
            <v>CALLE 14 NO 10-85</v>
          </cell>
          <cell r="G2349">
            <v>3176810907</v>
          </cell>
        </row>
        <row r="2350">
          <cell r="E2350">
            <v>1018471754</v>
          </cell>
          <cell r="F2350" t="str">
            <v>CALLE 3 NO 10-135</v>
          </cell>
          <cell r="G2350">
            <v>3112634202</v>
          </cell>
        </row>
        <row r="2351">
          <cell r="E2351">
            <v>1002415060</v>
          </cell>
          <cell r="F2351" t="str">
            <v>CALLE 7 NO 9-50</v>
          </cell>
          <cell r="G2351">
            <v>3107642880</v>
          </cell>
        </row>
        <row r="2352">
          <cell r="E2352">
            <v>46387395</v>
          </cell>
          <cell r="F2352" t="str">
            <v>CENTRO AQUITANIA</v>
          </cell>
          <cell r="G2352">
            <v>0</v>
          </cell>
        </row>
        <row r="2353">
          <cell r="E2353">
            <v>1058038810</v>
          </cell>
          <cell r="F2353" t="str">
            <v>VEREDA SAN JOSE TOPAGA</v>
          </cell>
          <cell r="G2353">
            <v>3107130267</v>
          </cell>
        </row>
        <row r="2354">
          <cell r="E2354">
            <v>1051474577</v>
          </cell>
          <cell r="F2354" t="str">
            <v>CALLE 4 NO 10-88</v>
          </cell>
          <cell r="G2354">
            <v>3212476210</v>
          </cell>
        </row>
        <row r="2355">
          <cell r="E2355">
            <v>13850094</v>
          </cell>
          <cell r="F2355" t="str">
            <v>VEREDA PEREZ _x000D_
VEREDA PEREZ</v>
          </cell>
          <cell r="G2355">
            <v>3148691275</v>
          </cell>
        </row>
        <row r="2356">
          <cell r="E2356">
            <v>93452284</v>
          </cell>
          <cell r="F2356" t="str">
            <v>CARRERA 8 NO 5-49</v>
          </cell>
          <cell r="G2356">
            <v>3143933357</v>
          </cell>
        </row>
        <row r="2357">
          <cell r="E2357">
            <v>33435118</v>
          </cell>
          <cell r="F2357" t="str">
            <v>CALLE 1 NO 1A-0 QUIPAMA</v>
          </cell>
          <cell r="G2357">
            <v>3229008528</v>
          </cell>
        </row>
        <row r="2358">
          <cell r="E2358">
            <v>24182969</v>
          </cell>
          <cell r="F2358" t="str">
            <v>CALLE 5 NO 5-12</v>
          </cell>
          <cell r="G2358">
            <v>3143791935</v>
          </cell>
        </row>
        <row r="2359">
          <cell r="E2359">
            <v>52744772</v>
          </cell>
          <cell r="F2359" t="str">
            <v>DIAG 5 NO 7-35</v>
          </cell>
          <cell r="G2359">
            <v>3116442254</v>
          </cell>
        </row>
        <row r="2360">
          <cell r="E2360">
            <v>1051475135</v>
          </cell>
          <cell r="F2360" t="str">
            <v>CARRERA 17 NO 8-35</v>
          </cell>
          <cell r="G2360">
            <v>3167533073</v>
          </cell>
        </row>
        <row r="2361">
          <cell r="E2361">
            <v>46383107</v>
          </cell>
          <cell r="F2361" t="str">
            <v>CALLE 3 NO 10-135</v>
          </cell>
          <cell r="G2361">
            <v>3024762823</v>
          </cell>
        </row>
        <row r="2362">
          <cell r="E2362">
            <v>9532772</v>
          </cell>
          <cell r="F2362" t="str">
            <v>CALLE 5C NO 11A-22</v>
          </cell>
          <cell r="G2362">
            <v>320388860</v>
          </cell>
        </row>
        <row r="2363">
          <cell r="E2363">
            <v>1002414970</v>
          </cell>
          <cell r="F2363" t="str">
            <v>VEREDA VARGAS AQUITANIA</v>
          </cell>
          <cell r="G2363">
            <v>3015539354</v>
          </cell>
        </row>
        <row r="2364">
          <cell r="E2364">
            <v>52875852</v>
          </cell>
          <cell r="F2364" t="str">
            <v>CARRERA 5 NO 6 07 UMBITA</v>
          </cell>
          <cell r="G2364">
            <v>3503642643</v>
          </cell>
        </row>
        <row r="2365">
          <cell r="E2365">
            <v>1057593210</v>
          </cell>
          <cell r="F2365" t="str">
            <v>CARRERA 11C NO 5A-15 AQUITANIA</v>
          </cell>
          <cell r="G2365">
            <v>3204075598</v>
          </cell>
        </row>
        <row r="2366">
          <cell r="E2366">
            <v>1051476538</v>
          </cell>
          <cell r="F2366" t="str">
            <v>KILOMETRO 1 VIA AQUITANIA SOGAMOSO</v>
          </cell>
          <cell r="G2366">
            <v>3203593163</v>
          </cell>
        </row>
        <row r="2367">
          <cell r="E2367">
            <v>1015421358</v>
          </cell>
          <cell r="F2367" t="str">
            <v>CARRERA 11 NO 17-66</v>
          </cell>
          <cell r="G2367">
            <v>3193485874</v>
          </cell>
        </row>
        <row r="2368">
          <cell r="E2368">
            <v>46369972</v>
          </cell>
          <cell r="F2368" t="str">
            <v>DIAGONAL 15 NO 17 41</v>
          </cell>
          <cell r="G2368">
            <v>3158657615</v>
          </cell>
        </row>
        <row r="2369">
          <cell r="E2369">
            <v>46454109</v>
          </cell>
          <cell r="F2369" t="str">
            <v>VEREDA GUARCA</v>
          </cell>
          <cell r="G2369">
            <v>3214024068</v>
          </cell>
        </row>
        <row r="2370">
          <cell r="E2370">
            <v>1018478068</v>
          </cell>
          <cell r="F2370" t="str">
            <v>CARRERA 5 NO. 2-35</v>
          </cell>
          <cell r="G2370">
            <v>3166179306</v>
          </cell>
        </row>
        <row r="2371">
          <cell r="E2371">
            <v>57271148</v>
          </cell>
          <cell r="F2371" t="str">
            <v>CALLE 13 NO 10A-29</v>
          </cell>
          <cell r="G2371">
            <v>3046217547</v>
          </cell>
        </row>
        <row r="2372">
          <cell r="E2372">
            <v>23556209</v>
          </cell>
          <cell r="F2372" t="str">
            <v>CALLE 25 NO 23-08</v>
          </cell>
          <cell r="G2372">
            <v>3124512816</v>
          </cell>
        </row>
        <row r="2373">
          <cell r="E2373">
            <v>9527074</v>
          </cell>
          <cell r="F2373" t="str">
            <v>CENTRO LABRANZAGRANDE</v>
          </cell>
          <cell r="G2373">
            <v>3102963861</v>
          </cell>
        </row>
        <row r="2374">
          <cell r="E2374">
            <v>23647130</v>
          </cell>
          <cell r="F2374" t="str">
            <v>ESE D EIZA BOAYAC</v>
          </cell>
          <cell r="G2374">
            <v>3133674443</v>
          </cell>
        </row>
        <row r="2375">
          <cell r="E2375">
            <v>41725836</v>
          </cell>
          <cell r="F2375" t="str">
            <v>CALLE 2B NO 3-41</v>
          </cell>
          <cell r="G2375">
            <v>3114424690</v>
          </cell>
        </row>
        <row r="2376">
          <cell r="E2376">
            <v>1055312648</v>
          </cell>
          <cell r="F2376" t="str">
            <v>CARRERA 1 NO 8-184</v>
          </cell>
          <cell r="G2376">
            <v>3214921440</v>
          </cell>
        </row>
        <row r="2377">
          <cell r="E2377">
            <v>24166721</v>
          </cell>
          <cell r="F2377" t="str">
            <v>CRA 7 NO 1-19</v>
          </cell>
          <cell r="G2377">
            <v>3124850101</v>
          </cell>
        </row>
        <row r="2378">
          <cell r="E2378">
            <v>1057570858</v>
          </cell>
          <cell r="G2378">
            <v>0</v>
          </cell>
        </row>
        <row r="2379">
          <cell r="E2379">
            <v>1055314839</v>
          </cell>
          <cell r="F2379" t="str">
            <v>VEREDA LA VEGA</v>
          </cell>
          <cell r="G2379">
            <v>3102740052</v>
          </cell>
        </row>
        <row r="2380">
          <cell r="E2380">
            <v>4255506</v>
          </cell>
          <cell r="F2380" t="str">
            <v>BARRIO SAN CAYETANO</v>
          </cell>
          <cell r="G2380">
            <v>3214096602</v>
          </cell>
        </row>
        <row r="2381">
          <cell r="E2381">
            <v>23946504</v>
          </cell>
          <cell r="F2381" t="str">
            <v>VDA. DE PEREZ</v>
          </cell>
          <cell r="G2381">
            <v>3213393801</v>
          </cell>
        </row>
        <row r="2382">
          <cell r="E2382">
            <v>1000381340</v>
          </cell>
          <cell r="F2382" t="str">
            <v>CARRERA 4 NO 2 29</v>
          </cell>
          <cell r="G2382">
            <v>3234860586</v>
          </cell>
        </row>
        <row r="2383">
          <cell r="E2383">
            <v>1057602108</v>
          </cell>
          <cell r="F2383" t="str">
            <v>VEREDA PEDREGAL BAJO SOGAMOSO</v>
          </cell>
          <cell r="G2383">
            <v>3203501624</v>
          </cell>
        </row>
        <row r="2384">
          <cell r="E2384">
            <v>1014241967</v>
          </cell>
          <cell r="F2384" t="str">
            <v>CALLE 70 NO 96-57</v>
          </cell>
          <cell r="G2384">
            <v>3118487420</v>
          </cell>
        </row>
        <row r="2385">
          <cell r="E2385">
            <v>1049630721</v>
          </cell>
          <cell r="F2385" t="str">
            <v>CALLE 5C NO 12-04</v>
          </cell>
          <cell r="G2385">
            <v>3115344750</v>
          </cell>
        </row>
        <row r="2386">
          <cell r="E2386">
            <v>37722394</v>
          </cell>
          <cell r="F2386" t="str">
            <v>GACHANTIVA CENTRO</v>
          </cell>
          <cell r="G2386">
            <v>3126600217</v>
          </cell>
        </row>
        <row r="2387">
          <cell r="E2387">
            <v>1057600425</v>
          </cell>
          <cell r="F2387" t="str">
            <v>CALLE 7 NO 10-44 SOGAMOSO</v>
          </cell>
          <cell r="G2387">
            <v>3208459246</v>
          </cell>
        </row>
        <row r="2388">
          <cell r="E2388">
            <v>4219030</v>
          </cell>
          <cell r="F2388" t="str">
            <v>CARRERA 3 NO 4-124</v>
          </cell>
          <cell r="G2388">
            <v>7790004</v>
          </cell>
        </row>
        <row r="2389">
          <cell r="E2389">
            <v>1007196289</v>
          </cell>
          <cell r="F2389" t="str">
            <v>CENTRO PAYA</v>
          </cell>
          <cell r="G2389">
            <v>3219599956</v>
          </cell>
        </row>
        <row r="2390">
          <cell r="E2390">
            <v>23946257</v>
          </cell>
          <cell r="F2390" t="str">
            <v>TR. 7 NO 12-18</v>
          </cell>
          <cell r="G2390">
            <v>3144478697</v>
          </cell>
        </row>
        <row r="2391">
          <cell r="E2391">
            <v>74326035</v>
          </cell>
          <cell r="F2391" t="str">
            <v>CALLE 6 NO 9-21</v>
          </cell>
          <cell r="G2391">
            <v>3102382017</v>
          </cell>
        </row>
        <row r="2392">
          <cell r="E2392">
            <v>74326469</v>
          </cell>
          <cell r="F2392" t="str">
            <v>CALLE 6 NO 9-21</v>
          </cell>
          <cell r="G2392">
            <v>3124681402</v>
          </cell>
        </row>
        <row r="2393">
          <cell r="E2393">
            <v>38247565</v>
          </cell>
          <cell r="F2393" t="str">
            <v>CALLE 2 NO 15-24</v>
          </cell>
          <cell r="G2393">
            <v>3006635297</v>
          </cell>
        </row>
        <row r="2394">
          <cell r="E2394">
            <v>46384681</v>
          </cell>
          <cell r="F2394" t="str">
            <v>CRA 10 NO 9-10</v>
          </cell>
          <cell r="G2394">
            <v>3112495394</v>
          </cell>
        </row>
        <row r="2395">
          <cell r="E2395">
            <v>1002365850</v>
          </cell>
          <cell r="F2395" t="str">
            <v>CALLE 5C NO 11A-15 AQUITANIA</v>
          </cell>
          <cell r="G2395">
            <v>3015767369</v>
          </cell>
        </row>
        <row r="2396">
          <cell r="E2396">
            <v>1055553024</v>
          </cell>
          <cell r="F2396" t="str">
            <v>VEREDA COSCUEZ SPB</v>
          </cell>
          <cell r="G2396">
            <v>3228297280</v>
          </cell>
        </row>
        <row r="2397">
          <cell r="E2397">
            <v>1049639348</v>
          </cell>
          <cell r="F2397" t="str">
            <v>CARRERA 5B NO. 13-14</v>
          </cell>
          <cell r="G2397">
            <v>3124879982</v>
          </cell>
        </row>
        <row r="2398">
          <cell r="E2398">
            <v>1052313446</v>
          </cell>
          <cell r="F2398" t="str">
            <v>CRA 2 SUR NO 8-10</v>
          </cell>
          <cell r="G2398">
            <v>3203550754</v>
          </cell>
        </row>
        <row r="2399">
          <cell r="E2399">
            <v>46375078</v>
          </cell>
          <cell r="F2399" t="str">
            <v>CARRERA 5 NO 3-09 PAYA</v>
          </cell>
          <cell r="G2399">
            <v>0</v>
          </cell>
        </row>
        <row r="2400">
          <cell r="E2400">
            <v>1032380285</v>
          </cell>
          <cell r="F2400" t="str">
            <v>CALLE 8 NO 7-60</v>
          </cell>
          <cell r="G2400">
            <v>7794681</v>
          </cell>
        </row>
        <row r="2401">
          <cell r="E2401">
            <v>9530388</v>
          </cell>
          <cell r="F2401" t="str">
            <v>CARRERA 3 NO 4-124</v>
          </cell>
          <cell r="G2401">
            <v>3138477615</v>
          </cell>
        </row>
        <row r="2402">
          <cell r="E2402">
            <v>1058430407</v>
          </cell>
          <cell r="F2402" t="str">
            <v>BARRIO EL CASTILO</v>
          </cell>
          <cell r="G2402">
            <v>3132432462</v>
          </cell>
        </row>
        <row r="2403">
          <cell r="E2403">
            <v>1002313777</v>
          </cell>
          <cell r="F2403" t="str">
            <v>CALLE 8 NO 6-28</v>
          </cell>
          <cell r="G2403">
            <v>3229423345</v>
          </cell>
        </row>
        <row r="2404">
          <cell r="E2404">
            <v>1058324738</v>
          </cell>
          <cell r="F2404" t="str">
            <v>BARRIO COLOMBIA CASA 81 STA MARIA</v>
          </cell>
          <cell r="G2404">
            <v>3138028338</v>
          </cell>
        </row>
        <row r="2405">
          <cell r="E2405">
            <v>1193570691</v>
          </cell>
          <cell r="F2405" t="str">
            <v>CENTRO DE SALUD PAYA</v>
          </cell>
          <cell r="G2405">
            <v>3045747725</v>
          </cell>
        </row>
        <row r="2406">
          <cell r="E2406">
            <v>7126896</v>
          </cell>
          <cell r="F2406" t="str">
            <v>CALLE 6 NO 8-62 AQUITANIA</v>
          </cell>
          <cell r="G2406">
            <v>3123587878</v>
          </cell>
        </row>
        <row r="2407">
          <cell r="E2407">
            <v>1010011248</v>
          </cell>
          <cell r="F2407" t="str">
            <v>VEREDA HATOLAGUNA</v>
          </cell>
          <cell r="G2407">
            <v>3132769202</v>
          </cell>
        </row>
        <row r="2408">
          <cell r="E2408">
            <v>1055227127</v>
          </cell>
          <cell r="F2408" t="str">
            <v>CARRERA 4 NO 7-40</v>
          </cell>
          <cell r="G2408">
            <v>3202064483</v>
          </cell>
        </row>
        <row r="2409">
          <cell r="E2409">
            <v>1054090302</v>
          </cell>
          <cell r="F2409" t="str">
            <v>SENDEROS DE LA VILLA</v>
          </cell>
          <cell r="G2409">
            <v>3138174779</v>
          </cell>
        </row>
        <row r="2410">
          <cell r="E2410">
            <v>1049632318</v>
          </cell>
          <cell r="F2410" t="str">
            <v>CARRERA 7 NO 7-72</v>
          </cell>
          <cell r="G2410">
            <v>7874016</v>
          </cell>
        </row>
        <row r="2411">
          <cell r="E2411">
            <v>46377462</v>
          </cell>
          <cell r="F2411" t="str">
            <v>VEREDA HATOVIEJO AQUITANIA</v>
          </cell>
          <cell r="G2411">
            <v>3115989585</v>
          </cell>
        </row>
        <row r="2412">
          <cell r="E2412">
            <v>1051472329</v>
          </cell>
          <cell r="F2412" t="str">
            <v>CALLE 7 NO 8-53</v>
          </cell>
          <cell r="G2412">
            <v>3105701800</v>
          </cell>
        </row>
        <row r="2413">
          <cell r="E2413">
            <v>1051477475</v>
          </cell>
          <cell r="F2413" t="str">
            <v>CARRERA 11B NO 9-44 AQUITANI</v>
          </cell>
          <cell r="G2413">
            <v>3202889417</v>
          </cell>
        </row>
        <row r="2414">
          <cell r="E2414">
            <v>1053609519</v>
          </cell>
          <cell r="F2414" t="str">
            <v>CALLE 25 NO 12-39</v>
          </cell>
          <cell r="G2414">
            <v>3133314372</v>
          </cell>
        </row>
        <row r="2415">
          <cell r="E2415">
            <v>80059207</v>
          </cell>
          <cell r="F2415" t="str">
            <v>CALLE 3A 53B 49</v>
          </cell>
          <cell r="G2415">
            <v>3102672270</v>
          </cell>
        </row>
        <row r="2416">
          <cell r="E2416">
            <v>1057587770</v>
          </cell>
          <cell r="F2416" t="str">
            <v>CARRERA 17 NO 21B-09 SOGAMOSO</v>
          </cell>
          <cell r="G2416">
            <v>3156332428</v>
          </cell>
        </row>
        <row r="2417">
          <cell r="E2417">
            <v>1051477014</v>
          </cell>
          <cell r="F2417" t="str">
            <v>CALLE 9 NO 14-30 SOGAMOSO</v>
          </cell>
          <cell r="G2417">
            <v>3137257045</v>
          </cell>
        </row>
        <row r="2418">
          <cell r="E2418">
            <v>1002727236</v>
          </cell>
          <cell r="F2418" t="str">
            <v>VEREDA HATO VIEJO LABRANZAGRANDE</v>
          </cell>
          <cell r="G2418">
            <v>3123768602</v>
          </cell>
        </row>
        <row r="2419">
          <cell r="E2419">
            <v>74130114</v>
          </cell>
          <cell r="F2419" t="str">
            <v>CARRERA 22 NO 26-51</v>
          </cell>
          <cell r="G2419">
            <v>3114779627</v>
          </cell>
        </row>
        <row r="2420">
          <cell r="E2420">
            <v>79959105</v>
          </cell>
          <cell r="F2420" t="str">
            <v>CALLE 1 NO 114-1 QUIPAMA</v>
          </cell>
          <cell r="G2420">
            <v>3219422741</v>
          </cell>
        </row>
        <row r="2421">
          <cell r="E2421">
            <v>23489938</v>
          </cell>
          <cell r="F2421" t="str">
            <v>CARRERA 9 NO 17-23</v>
          </cell>
          <cell r="G2421">
            <v>3112583824</v>
          </cell>
        </row>
        <row r="2422">
          <cell r="E2422">
            <v>46380339</v>
          </cell>
          <cell r="F2422" t="str">
            <v>CARRERA 11 NO 1-153 SUR</v>
          </cell>
          <cell r="G2422">
            <v>3134602650</v>
          </cell>
        </row>
        <row r="2423">
          <cell r="E2423">
            <v>21101744</v>
          </cell>
          <cell r="F2423" t="str">
            <v>CALLE 7 NO 4-65</v>
          </cell>
          <cell r="G2423">
            <v>3112973161</v>
          </cell>
        </row>
        <row r="2424">
          <cell r="E2424">
            <v>1049612523</v>
          </cell>
          <cell r="F2424" t="str">
            <v>CASA 2 CRA 6E NO 64B 44</v>
          </cell>
          <cell r="G2424">
            <v>3203685199</v>
          </cell>
        </row>
        <row r="2425">
          <cell r="E2425">
            <v>80242338</v>
          </cell>
          <cell r="F2425" t="str">
            <v>CARRERA 11A NO 19-88</v>
          </cell>
          <cell r="G2425">
            <v>3016456789</v>
          </cell>
        </row>
        <row r="2426">
          <cell r="E2426">
            <v>1052380321</v>
          </cell>
          <cell r="F2426" t="str">
            <v>CARRERA 29 NO 12-47</v>
          </cell>
          <cell r="G2426">
            <v>3226330093</v>
          </cell>
        </row>
        <row r="2427">
          <cell r="E2427">
            <v>23438401</v>
          </cell>
          <cell r="F2427" t="str">
            <v>CENTRO SOCOTA</v>
          </cell>
          <cell r="G2427">
            <v>3204364033</v>
          </cell>
        </row>
        <row r="2428">
          <cell r="E2428">
            <v>1052404886</v>
          </cell>
          <cell r="F2428" t="str">
            <v>CARRERA 10C NO 33-55</v>
          </cell>
          <cell r="G2428">
            <v>3124425239</v>
          </cell>
        </row>
        <row r="2429">
          <cell r="E2429">
            <v>7176587</v>
          </cell>
          <cell r="F2429" t="str">
            <v>LOCAL 097 UNICENTRO</v>
          </cell>
          <cell r="G2429">
            <v>7454094</v>
          </cell>
        </row>
        <row r="2430">
          <cell r="E2430">
            <v>46384300</v>
          </cell>
          <cell r="F2430" t="str">
            <v>CARRERA 1C NO 2-35 SAMACA</v>
          </cell>
          <cell r="G2430">
            <v>3203350420</v>
          </cell>
        </row>
        <row r="2431">
          <cell r="E2431">
            <v>23324883</v>
          </cell>
          <cell r="F2431" t="str">
            <v>CRA 4 NO 8-41</v>
          </cell>
          <cell r="G2431">
            <v>3118276602</v>
          </cell>
        </row>
        <row r="2432">
          <cell r="E2432">
            <v>33445826</v>
          </cell>
          <cell r="F2432" t="str">
            <v>CALLE 11 NO 19-14</v>
          </cell>
          <cell r="G2432">
            <v>3144119231</v>
          </cell>
        </row>
        <row r="2433">
          <cell r="E2433">
            <v>24183221</v>
          </cell>
          <cell r="F2433" t="str">
            <v>CALLE 4 NO 3-09</v>
          </cell>
          <cell r="G2433">
            <v>3203926352</v>
          </cell>
        </row>
        <row r="2434">
          <cell r="E2434">
            <v>1054090483</v>
          </cell>
          <cell r="F2434" t="str">
            <v>CARRERA 13 NO 15-62 DUITAMA</v>
          </cell>
          <cell r="G2434">
            <v>3203181845</v>
          </cell>
        </row>
        <row r="2435">
          <cell r="E2435">
            <v>1053610442</v>
          </cell>
          <cell r="F2435" t="str">
            <v>CARRERA 21 NO 27-98</v>
          </cell>
          <cell r="G2435">
            <v>3204011985</v>
          </cell>
        </row>
        <row r="2436">
          <cell r="E2436">
            <v>23855681</v>
          </cell>
          <cell r="F2436" t="str">
            <v>CALLE 25 NO 18-49</v>
          </cell>
          <cell r="G2436">
            <v>7853981</v>
          </cell>
        </row>
        <row r="2437">
          <cell r="E2437">
            <v>1002332210</v>
          </cell>
          <cell r="F2437" t="str">
            <v>CARRERA 14 NO 2SUR 46</v>
          </cell>
          <cell r="G2437">
            <v>3112162644</v>
          </cell>
        </row>
        <row r="2438">
          <cell r="E2438">
            <v>1019054114</v>
          </cell>
          <cell r="F2438" t="str">
            <v>CALLE 151 NO 53-37</v>
          </cell>
          <cell r="G2438">
            <v>3163175220</v>
          </cell>
        </row>
        <row r="2439">
          <cell r="E2439">
            <v>9399676</v>
          </cell>
          <cell r="F2439" t="str">
            <v>CARRERA 3 NO 9-59</v>
          </cell>
          <cell r="G2439">
            <v>3118431813</v>
          </cell>
        </row>
        <row r="2440">
          <cell r="E2440">
            <v>46360885</v>
          </cell>
          <cell r="F2440" t="str">
            <v>CRA 10 NO 8-13</v>
          </cell>
          <cell r="G2440">
            <v>3212865333</v>
          </cell>
        </row>
        <row r="2441">
          <cell r="E2441">
            <v>7126293</v>
          </cell>
          <cell r="F2441" t="str">
            <v>CENTRO AQUITANIA</v>
          </cell>
          <cell r="G2441">
            <v>3123655590</v>
          </cell>
        </row>
        <row r="2442">
          <cell r="E2442">
            <v>6776088</v>
          </cell>
          <cell r="F2442" t="str">
            <v>CALLE 8 NO 7-10 LABRANZAGRABDE</v>
          </cell>
          <cell r="G2442">
            <v>3132327915</v>
          </cell>
        </row>
        <row r="2443">
          <cell r="E2443">
            <v>74857567</v>
          </cell>
          <cell r="F2443" t="str">
            <v>CENTRO PISBA</v>
          </cell>
          <cell r="G2443">
            <v>3118249638</v>
          </cell>
        </row>
        <row r="2444">
          <cell r="E2444">
            <v>1056613048</v>
          </cell>
          <cell r="F2444" t="str">
            <v>CARRERA 4 NO 4-86</v>
          </cell>
          <cell r="G2444">
            <v>3102959652</v>
          </cell>
        </row>
        <row r="2445">
          <cell r="E2445">
            <v>1054091599</v>
          </cell>
          <cell r="F2445" t="str">
            <v>TRANSVERSAL 10 NO 7-91</v>
          </cell>
          <cell r="G2445">
            <v>3173815470</v>
          </cell>
        </row>
        <row r="2446">
          <cell r="E2446">
            <v>901609244</v>
          </cell>
          <cell r="F2446" t="str">
            <v>CALLE 25 NO 18-43</v>
          </cell>
          <cell r="G2446">
            <v>3153475103</v>
          </cell>
        </row>
        <row r="2447">
          <cell r="E2447">
            <v>23351798</v>
          </cell>
          <cell r="F2447" t="str">
            <v>CENTRO SOCOTA</v>
          </cell>
          <cell r="G2447">
            <v>3138644846</v>
          </cell>
        </row>
        <row r="2448">
          <cell r="E2448">
            <v>1049641997</v>
          </cell>
          <cell r="F2448" t="str">
            <v>CALLE 2 NO 4-11</v>
          </cell>
          <cell r="G2448">
            <v>3213267477</v>
          </cell>
        </row>
        <row r="2449">
          <cell r="E2449">
            <v>811029476</v>
          </cell>
          <cell r="F2449" t="str">
            <v>CALLE 34 NO 66A-34</v>
          </cell>
          <cell r="G2449">
            <v>3008760215</v>
          </cell>
        </row>
        <row r="2450">
          <cell r="E2450">
            <v>32937500</v>
          </cell>
          <cell r="F2450" t="str">
            <v>BARRIO LOS ALPES</v>
          </cell>
          <cell r="G2450">
            <v>3188055679</v>
          </cell>
        </row>
        <row r="2451">
          <cell r="E2451">
            <v>1056954141</v>
          </cell>
          <cell r="F2451" t="str">
            <v>VEREDA PUENTE DE PIEDRA</v>
          </cell>
          <cell r="G2451">
            <v>3124541793</v>
          </cell>
        </row>
        <row r="2452">
          <cell r="E2452">
            <v>1002461544</v>
          </cell>
          <cell r="F2452" t="str">
            <v>CALLE 3 NO 5-50</v>
          </cell>
          <cell r="G2452">
            <v>86248025</v>
          </cell>
        </row>
        <row r="2453">
          <cell r="E2453">
            <v>46671361</v>
          </cell>
          <cell r="F2453" t="str">
            <v>CALLE 18B NO. 5-75</v>
          </cell>
          <cell r="G2453">
            <v>3115821046</v>
          </cell>
        </row>
        <row r="2454">
          <cell r="E2454">
            <v>1057571500</v>
          </cell>
          <cell r="F2454" t="str">
            <v>CENTRO AQUITANIA</v>
          </cell>
          <cell r="G2454">
            <v>7794681</v>
          </cell>
        </row>
        <row r="2455">
          <cell r="E2455">
            <v>33365595</v>
          </cell>
          <cell r="F2455" t="str">
            <v>CENTO VENTAQUEMAD</v>
          </cell>
          <cell r="G2455">
            <v>3132018474</v>
          </cell>
        </row>
        <row r="2456">
          <cell r="E2456">
            <v>800144331</v>
          </cell>
          <cell r="F2456" t="str">
            <v>CRA 15 NO 14-58</v>
          </cell>
          <cell r="G2456">
            <v>7601610</v>
          </cell>
        </row>
        <row r="2457">
          <cell r="E2457">
            <v>74261286</v>
          </cell>
          <cell r="F2457" t="str">
            <v>CALLE 2 NO 3-11 SAN PB</v>
          </cell>
          <cell r="G2457">
            <v>3135857888</v>
          </cell>
        </row>
        <row r="2458">
          <cell r="E2458">
            <v>12400509</v>
          </cell>
          <cell r="F2458" t="str">
            <v>MZ F CASA 2B SENDEROS DE LA VILLA</v>
          </cell>
          <cell r="G2458">
            <v>4161718550</v>
          </cell>
        </row>
        <row r="2459">
          <cell r="E2459">
            <v>23316240</v>
          </cell>
          <cell r="F2459" t="str">
            <v>CALLE 3 NO 6-21</v>
          </cell>
          <cell r="G2459">
            <v>7327546</v>
          </cell>
        </row>
        <row r="2460">
          <cell r="E2460">
            <v>1116799435</v>
          </cell>
          <cell r="F2460" t="str">
            <v>CARRERA 39A NO 10-13</v>
          </cell>
          <cell r="G2460">
            <v>3106118999</v>
          </cell>
        </row>
        <row r="2461">
          <cell r="E2461">
            <v>1051478213</v>
          </cell>
          <cell r="F2461" t="str">
            <v>CALLE 7 NO 7-75 AQUITANIA</v>
          </cell>
          <cell r="G2461">
            <v>3138183231</v>
          </cell>
        </row>
        <row r="2462">
          <cell r="E2462">
            <v>23623296</v>
          </cell>
          <cell r="F2462" t="str">
            <v>CARRERA 2 NO 12-58</v>
          </cell>
          <cell r="G2462">
            <v>3142971322</v>
          </cell>
        </row>
        <row r="2463">
          <cell r="E2463">
            <v>65586933</v>
          </cell>
          <cell r="F2463" t="str">
            <v>CARRERA 14B NO 5-45</v>
          </cell>
          <cell r="G2463">
            <v>3142815185</v>
          </cell>
        </row>
        <row r="2464">
          <cell r="E2464">
            <v>20923033</v>
          </cell>
          <cell r="F2464" t="str">
            <v>CALLE 5 NO 6-88</v>
          </cell>
          <cell r="G2464">
            <v>3115570476</v>
          </cell>
        </row>
        <row r="2465">
          <cell r="E2465">
            <v>24149799</v>
          </cell>
          <cell r="F2465" t="str">
            <v>CARRERA 5 NO 5-24</v>
          </cell>
          <cell r="G2465">
            <v>7879110</v>
          </cell>
        </row>
        <row r="2466">
          <cell r="E2466">
            <v>241497999</v>
          </cell>
          <cell r="F2466" t="str">
            <v>CARRERA 5 5-24</v>
          </cell>
          <cell r="G2466">
            <v>7879110</v>
          </cell>
        </row>
        <row r="2467">
          <cell r="E2467">
            <v>830112317</v>
          </cell>
          <cell r="F2467" t="str">
            <v>C COMERCIAL VIVA TUNJA</v>
          </cell>
          <cell r="G2467">
            <v>32692223473</v>
          </cell>
        </row>
        <row r="2468">
          <cell r="E2468">
            <v>900483339</v>
          </cell>
          <cell r="F2468" t="str">
            <v>CLL 26 22 25 OF 203</v>
          </cell>
          <cell r="G2468">
            <v>7853443</v>
          </cell>
        </row>
        <row r="2469">
          <cell r="E2469">
            <v>900510953</v>
          </cell>
          <cell r="F2469" t="str">
            <v>TR 15 NO 31-79</v>
          </cell>
          <cell r="G2469">
            <v>7626677</v>
          </cell>
        </row>
        <row r="2470">
          <cell r="E2470">
            <v>800138188</v>
          </cell>
          <cell r="F2470" t="str">
            <v>CRA 14 NO 15-16</v>
          </cell>
          <cell r="G2470">
            <v>7621790</v>
          </cell>
        </row>
        <row r="2471">
          <cell r="E2471">
            <v>901543211</v>
          </cell>
          <cell r="F2471" t="str">
            <v>CALLE 44 CARRERA 46 16</v>
          </cell>
          <cell r="G2471">
            <v>3173721910</v>
          </cell>
        </row>
        <row r="2472">
          <cell r="E2472">
            <v>900651398</v>
          </cell>
          <cell r="F2472" t="str">
            <v>CALLE 3SUR NO 11B 28</v>
          </cell>
          <cell r="G2472">
            <v>2892852</v>
          </cell>
        </row>
        <row r="2473">
          <cell r="E2473">
            <v>7219252</v>
          </cell>
          <cell r="F2473" t="str">
            <v>CARRERA 17 # 18-20</v>
          </cell>
          <cell r="G2473">
            <v>7627220</v>
          </cell>
        </row>
        <row r="2474">
          <cell r="E2474">
            <v>700091780</v>
          </cell>
          <cell r="F2474" t="str">
            <v>CALLE 18 NO 16-60</v>
          </cell>
          <cell r="G2474">
            <v>3204934352</v>
          </cell>
        </row>
        <row r="2475">
          <cell r="E2475">
            <v>46366703</v>
          </cell>
          <cell r="F2475" t="str">
            <v>PARQUE CENTRAL</v>
          </cell>
          <cell r="G2475">
            <v>7879110</v>
          </cell>
        </row>
        <row r="2476">
          <cell r="E2476">
            <v>1012330228</v>
          </cell>
          <cell r="F2476" t="str">
            <v>CALLE 45 NO 1341 L. C5</v>
          </cell>
          <cell r="G2476">
            <v>3164101765</v>
          </cell>
        </row>
        <row r="2477">
          <cell r="E2477">
            <v>23913769</v>
          </cell>
          <cell r="F2477" t="str">
            <v>CENTRO BELEN</v>
          </cell>
          <cell r="G2477">
            <v>3183667166</v>
          </cell>
        </row>
        <row r="2478">
          <cell r="E2478">
            <v>1057573704</v>
          </cell>
          <cell r="F2478" t="str">
            <v>KM 10 VIA A PESCA</v>
          </cell>
          <cell r="G2478">
            <v>3107927778</v>
          </cell>
        </row>
        <row r="2479">
          <cell r="E2479">
            <v>1002458784</v>
          </cell>
          <cell r="F2479" t="str">
            <v>CARRERA 13 NO 24B-78 PAIPA</v>
          </cell>
          <cell r="G2479">
            <v>3118744820</v>
          </cell>
        </row>
        <row r="2480">
          <cell r="E2480">
            <v>826002693</v>
          </cell>
          <cell r="F2480" t="str">
            <v>CARRERA 4 No. 4-07</v>
          </cell>
          <cell r="G2480">
            <v>7777185</v>
          </cell>
        </row>
        <row r="2481">
          <cell r="E2481">
            <v>1058431237</v>
          </cell>
          <cell r="F2481" t="str">
            <v>CENTRO TASCO</v>
          </cell>
          <cell r="G2481">
            <v>3133119408</v>
          </cell>
        </row>
        <row r="2482">
          <cell r="E2482">
            <v>46363440</v>
          </cell>
          <cell r="F2482" t="str">
            <v>CALLE 24 NO 20-07</v>
          </cell>
          <cell r="G2482">
            <v>3125946338</v>
          </cell>
        </row>
        <row r="2483">
          <cell r="E2483">
            <v>23966087</v>
          </cell>
          <cell r="F2483" t="str">
            <v>CALLE 9 NO 3-71</v>
          </cell>
          <cell r="G2483">
            <v>3123367636</v>
          </cell>
        </row>
        <row r="2484">
          <cell r="E2484">
            <v>1057464402</v>
          </cell>
          <cell r="F2484" t="str">
            <v>CARRERA 7 NO 7-21</v>
          </cell>
          <cell r="G2484">
            <v>7327546</v>
          </cell>
        </row>
        <row r="2485">
          <cell r="E2485">
            <v>51932638</v>
          </cell>
          <cell r="F2485" t="str">
            <v>CALLE 27 NO 12-90</v>
          </cell>
          <cell r="G2485">
            <v>3205059130</v>
          </cell>
        </row>
        <row r="2486">
          <cell r="E2486">
            <v>24218282</v>
          </cell>
          <cell r="F2486" t="str">
            <v>VEREDA PUENTE DE PIEDRA</v>
          </cell>
          <cell r="G2486">
            <v>3112243985</v>
          </cell>
        </row>
        <row r="2487">
          <cell r="E2487">
            <v>40040013</v>
          </cell>
          <cell r="F2487" t="str">
            <v>CALLE 24 NO 22-30</v>
          </cell>
          <cell r="G2487">
            <v>0</v>
          </cell>
        </row>
        <row r="2488">
          <cell r="E2488">
            <v>72326581</v>
          </cell>
          <cell r="F2488" t="str">
            <v>CRA 6 NO 9-17</v>
          </cell>
          <cell r="G2488">
            <v>3124813347</v>
          </cell>
        </row>
        <row r="2489">
          <cell r="E2489">
            <v>9535744</v>
          </cell>
          <cell r="F2489" t="str">
            <v>CALLE 4 NO 5-76</v>
          </cell>
          <cell r="G2489">
            <v>3103398888</v>
          </cell>
        </row>
        <row r="2490">
          <cell r="E2490">
            <v>23963487</v>
          </cell>
          <cell r="F2490" t="str">
            <v>CALLE 9 NO 4-05</v>
          </cell>
          <cell r="G2490">
            <v>7327326</v>
          </cell>
        </row>
        <row r="2491">
          <cell r="E2491">
            <v>529662</v>
          </cell>
          <cell r="F2491" t="str">
            <v>CARRERA 5A NO 41-44 APTO 201</v>
          </cell>
          <cell r="G2491">
            <v>3017327198</v>
          </cell>
        </row>
        <row r="2492">
          <cell r="E2492">
            <v>1057585574</v>
          </cell>
          <cell r="F2492" t="str">
            <v>CALLE 7 NO 5-108</v>
          </cell>
          <cell r="G2492">
            <v>3212179586</v>
          </cell>
        </row>
        <row r="2493">
          <cell r="E2493">
            <v>1057597145</v>
          </cell>
          <cell r="F2493" t="str">
            <v>CARRERA 4 NO 2-13 PAYA</v>
          </cell>
          <cell r="G2493">
            <v>3182343118</v>
          </cell>
        </row>
        <row r="2494">
          <cell r="E2494">
            <v>9527888</v>
          </cell>
          <cell r="F2494" t="str">
            <v>CALLE 17 NO 5-108</v>
          </cell>
          <cell r="G2494">
            <v>3115803442</v>
          </cell>
        </row>
        <row r="2495">
          <cell r="E2495">
            <v>51562663</v>
          </cell>
          <cell r="G2495">
            <v>0</v>
          </cell>
        </row>
        <row r="2496">
          <cell r="E2496">
            <v>1042213048</v>
          </cell>
          <cell r="F2496" t="str">
            <v>CARRERA 5 NO 7-10</v>
          </cell>
          <cell r="G2496">
            <v>3104225329</v>
          </cell>
        </row>
        <row r="2497">
          <cell r="E2497">
            <v>1049621694</v>
          </cell>
          <cell r="F2497" t="str">
            <v>CARRERA 3 NO 3-49</v>
          </cell>
          <cell r="G2497">
            <v>3112232494</v>
          </cell>
        </row>
        <row r="2498">
          <cell r="E2498">
            <v>1007751205</v>
          </cell>
          <cell r="F2498" t="str">
            <v>CALLE 5 NO 6-76</v>
          </cell>
          <cell r="G2498">
            <v>3133408490</v>
          </cell>
        </row>
        <row r="2499">
          <cell r="E2499">
            <v>19181685</v>
          </cell>
          <cell r="F2499" t="str">
            <v>CARRERA 43 NO 24-04</v>
          </cell>
          <cell r="G2499">
            <v>0</v>
          </cell>
        </row>
        <row r="2500">
          <cell r="E2500">
            <v>7218759</v>
          </cell>
          <cell r="F2500" t="str">
            <v>CALLE 5 NO 12-32</v>
          </cell>
          <cell r="G2500">
            <v>77904681</v>
          </cell>
        </row>
        <row r="2501">
          <cell r="E2501">
            <v>1057605168</v>
          </cell>
          <cell r="F2501" t="str">
            <v>CARRERA 20 NO 11-10</v>
          </cell>
          <cell r="G2501">
            <v>3142170325</v>
          </cell>
        </row>
        <row r="2502">
          <cell r="E2502">
            <v>20923427</v>
          </cell>
          <cell r="F2502" t="str">
            <v>CALLE 6 NO 9-09</v>
          </cell>
          <cell r="G2502">
            <v>3125073656</v>
          </cell>
        </row>
        <row r="2503">
          <cell r="E2503">
            <v>52729437</v>
          </cell>
          <cell r="F2503" t="str">
            <v>CALLE 35 NO 10B-147</v>
          </cell>
          <cell r="G2503">
            <v>3003543435</v>
          </cell>
        </row>
        <row r="2504">
          <cell r="E2504">
            <v>79824210</v>
          </cell>
          <cell r="F2504" t="str">
            <v>TRANSVERSAL 4 NO. 46-66</v>
          </cell>
          <cell r="G2504">
            <v>3114743152</v>
          </cell>
        </row>
        <row r="2505">
          <cell r="E2505">
            <v>37338461</v>
          </cell>
          <cell r="F2505" t="str">
            <v>CENTRO SAN LUIS GACENO</v>
          </cell>
          <cell r="G2505">
            <v>3138686865</v>
          </cell>
        </row>
        <row r="2506">
          <cell r="E2506">
            <v>52397031</v>
          </cell>
          <cell r="F2506" t="str">
            <v>VEREDA BOJIRQUE</v>
          </cell>
          <cell r="G2506">
            <v>3104828691</v>
          </cell>
        </row>
        <row r="2507">
          <cell r="E2507">
            <v>1046426373</v>
          </cell>
          <cell r="F2507" t="str">
            <v>LABRANZAGRANDE CENTRO</v>
          </cell>
          <cell r="G2507">
            <v>3219894490</v>
          </cell>
        </row>
        <row r="2508">
          <cell r="E2508">
            <v>7179183</v>
          </cell>
          <cell r="F2508" t="str">
            <v>CARRERA 2NO 47-109</v>
          </cell>
          <cell r="G2508">
            <v>3007008500</v>
          </cell>
        </row>
        <row r="2509">
          <cell r="E2509">
            <v>901243351</v>
          </cell>
          <cell r="F2509" t="str">
            <v>EDS TERPEL AQUITANIA</v>
          </cell>
          <cell r="G2509">
            <v>0</v>
          </cell>
        </row>
        <row r="2510">
          <cell r="E2510">
            <v>1052415102</v>
          </cell>
          <cell r="F2510" t="str">
            <v>CALLE 6E SUR NO 6-25</v>
          </cell>
          <cell r="G2510">
            <v>3017996358</v>
          </cell>
        </row>
        <row r="2511">
          <cell r="E2511">
            <v>890200722</v>
          </cell>
          <cell r="F2511" t="str">
            <v>CALLE 13 NO 10-80</v>
          </cell>
          <cell r="G2511">
            <v>376520183</v>
          </cell>
        </row>
        <row r="2512">
          <cell r="E2512">
            <v>1030525896</v>
          </cell>
          <cell r="F2512" t="str">
            <v>C.C. BOULEVAR TUNJA</v>
          </cell>
          <cell r="G2512">
            <v>3135786168</v>
          </cell>
        </row>
        <row r="2513">
          <cell r="E2513">
            <v>1057462721</v>
          </cell>
          <cell r="F2513" t="str">
            <v>CALLE 6 NO 8-27</v>
          </cell>
          <cell r="G2513">
            <v>3204387181</v>
          </cell>
        </row>
        <row r="2514">
          <cell r="E2514">
            <v>1052379715</v>
          </cell>
          <cell r="F2514" t="str">
            <v>CALLE 9 NO 8-20 NOBSA</v>
          </cell>
          <cell r="G2514">
            <v>3224123437</v>
          </cell>
        </row>
        <row r="2515">
          <cell r="E2515">
            <v>3163246</v>
          </cell>
          <cell r="F2515" t="str">
            <v>CALLE 10 NO 28-56</v>
          </cell>
          <cell r="G2515">
            <v>3105822476</v>
          </cell>
        </row>
        <row r="2516">
          <cell r="E2516">
            <v>1049651284</v>
          </cell>
          <cell r="F2516" t="str">
            <v>CARRERA 0A ESTE NO 74-32</v>
          </cell>
          <cell r="G2516">
            <v>3123531609</v>
          </cell>
        </row>
        <row r="2517">
          <cell r="E2517">
            <v>1051474513</v>
          </cell>
          <cell r="F2517" t="str">
            <v>ESE SALUD AQUITANIA</v>
          </cell>
          <cell r="G2517">
            <v>3215257930</v>
          </cell>
        </row>
        <row r="2518">
          <cell r="E2518">
            <v>1041235052</v>
          </cell>
          <cell r="F2518" t="str">
            <v>CALLE 15 NO 17-22</v>
          </cell>
          <cell r="G2518">
            <v>0</v>
          </cell>
        </row>
        <row r="2519">
          <cell r="E2519">
            <v>23423882</v>
          </cell>
          <cell r="F2519" t="str">
            <v>CALLE 2 NO 3-13</v>
          </cell>
          <cell r="G2519">
            <v>3182823847</v>
          </cell>
        </row>
        <row r="2520">
          <cell r="E2520">
            <v>1051472480</v>
          </cell>
          <cell r="F2520" t="str">
            <v>BARRIO CATALUÑA AQUITANIA</v>
          </cell>
          <cell r="G2520">
            <v>3223334457</v>
          </cell>
        </row>
        <row r="2521">
          <cell r="E2521">
            <v>1057465511</v>
          </cell>
          <cell r="F2521" t="str">
            <v>CARRERA 7 NO 5-04</v>
          </cell>
          <cell r="G2521">
            <v>3144900585</v>
          </cell>
        </row>
        <row r="2522">
          <cell r="E2522">
            <v>7182571</v>
          </cell>
          <cell r="F2522" t="str">
            <v>CARRERA 5 NO 5-24</v>
          </cell>
          <cell r="G2522">
            <v>3123477385</v>
          </cell>
        </row>
        <row r="2523">
          <cell r="E2523">
            <v>46382596</v>
          </cell>
          <cell r="F2523" t="str">
            <v>VEREDA CHAMEZA MENOR</v>
          </cell>
          <cell r="G2523">
            <v>3188825245</v>
          </cell>
        </row>
        <row r="2524">
          <cell r="E2524">
            <v>1055314204</v>
          </cell>
          <cell r="F2524" t="str">
            <v>KILOMETRO 7,5 DUITAMA NOBSA</v>
          </cell>
          <cell r="G2524">
            <v>3168653463</v>
          </cell>
        </row>
        <row r="2525">
          <cell r="E2525">
            <v>1056507170</v>
          </cell>
          <cell r="F2525" t="str">
            <v>CENTRO SAN PABLO DE B</v>
          </cell>
          <cell r="G2525">
            <v>3126222404</v>
          </cell>
        </row>
        <row r="2526">
          <cell r="E2526">
            <v>1051522053</v>
          </cell>
          <cell r="F2526" t="str">
            <v>URB BOCHICA CASA 13</v>
          </cell>
          <cell r="G2526">
            <v>3118132183</v>
          </cell>
        </row>
        <row r="2527">
          <cell r="E2527">
            <v>40047399</v>
          </cell>
          <cell r="G2527">
            <v>0</v>
          </cell>
        </row>
        <row r="2528">
          <cell r="E2528">
            <v>77187125</v>
          </cell>
          <cell r="F2528" t="str">
            <v>CARRERA 8 NO 5-49</v>
          </cell>
          <cell r="G2528">
            <v>3224622751</v>
          </cell>
        </row>
        <row r="2529">
          <cell r="E2529">
            <v>46382767</v>
          </cell>
          <cell r="F2529" t="str">
            <v>CALLE 2 SUR NO 19 28</v>
          </cell>
          <cell r="G2529">
            <v>3227114801</v>
          </cell>
        </row>
        <row r="2530">
          <cell r="E2530">
            <v>7187525</v>
          </cell>
          <cell r="F2530" t="str">
            <v>CARRERA 3 NO 32-20 APTO 704</v>
          </cell>
          <cell r="G2530">
            <v>3023894969</v>
          </cell>
        </row>
        <row r="2531">
          <cell r="E2531">
            <v>71875525</v>
          </cell>
          <cell r="F2531" t="str">
            <v>CARRERA 3 NO 32-20</v>
          </cell>
          <cell r="G2531">
            <v>3208500623</v>
          </cell>
        </row>
        <row r="2532">
          <cell r="E2532">
            <v>1114230</v>
          </cell>
          <cell r="F2532" t="str">
            <v>CALLE 8 NO 3-31</v>
          </cell>
          <cell r="G2532">
            <v>7874016</v>
          </cell>
        </row>
        <row r="2533">
          <cell r="E2533">
            <v>1052400010</v>
          </cell>
          <cell r="F2533" t="str">
            <v>CALLE 2 NO 7-12</v>
          </cell>
          <cell r="G2533">
            <v>3143589864</v>
          </cell>
        </row>
        <row r="2534">
          <cell r="E2534">
            <v>891800062</v>
          </cell>
          <cell r="F2534" t="str">
            <v>DIAGONAL 23 NO 69-11</v>
          </cell>
          <cell r="G2534">
            <v>0</v>
          </cell>
        </row>
        <row r="2535">
          <cell r="E2535">
            <v>1054252506</v>
          </cell>
          <cell r="F2535" t="str">
            <v>CENTRO SOCOTA</v>
          </cell>
          <cell r="G2535">
            <v>3123606513</v>
          </cell>
        </row>
        <row r="2536">
          <cell r="E2536">
            <v>46452625</v>
          </cell>
          <cell r="F2536" t="str">
            <v>CARRERA 19 NO 23-33</v>
          </cell>
          <cell r="G2536">
            <v>3114706863</v>
          </cell>
        </row>
        <row r="2537">
          <cell r="E2537">
            <v>1056506896</v>
          </cell>
          <cell r="F2537" t="str">
            <v>CARRERA 4 NO 2-74</v>
          </cell>
          <cell r="G2537">
            <v>3219914731</v>
          </cell>
        </row>
        <row r="2538">
          <cell r="E2538">
            <v>844004197</v>
          </cell>
          <cell r="F2538" t="str">
            <v>CARRERA 27 NO 19-09</v>
          </cell>
          <cell r="G2538">
            <v>6324018</v>
          </cell>
        </row>
        <row r="2539">
          <cell r="E2539">
            <v>830096513</v>
          </cell>
          <cell r="F2539" t="str">
            <v>CRA 10 NO 27-04</v>
          </cell>
          <cell r="G2539">
            <v>7448314</v>
          </cell>
        </row>
        <row r="2540">
          <cell r="E2540">
            <v>900259348</v>
          </cell>
          <cell r="F2540" t="str">
            <v>CARRERA 17A NO 23A-05</v>
          </cell>
          <cell r="G2540">
            <v>3208585284</v>
          </cell>
        </row>
        <row r="2541">
          <cell r="E2541">
            <v>1053343825</v>
          </cell>
          <cell r="F2541" t="str">
            <v>ESE DE SAN PABLO D EBORBUR</v>
          </cell>
          <cell r="G2541">
            <v>0</v>
          </cell>
        </row>
        <row r="2542">
          <cell r="E2542">
            <v>1056954667</v>
          </cell>
          <cell r="F2542" t="str">
            <v>CENTRO VENTAQUEMADA</v>
          </cell>
          <cell r="G2542">
            <v>3208209545</v>
          </cell>
        </row>
        <row r="2543">
          <cell r="E2543">
            <v>88257209</v>
          </cell>
          <cell r="F2543" t="str">
            <v>CARRERA 7 NO 5-14</v>
          </cell>
          <cell r="G2543">
            <v>3144599592</v>
          </cell>
        </row>
        <row r="2544">
          <cell r="E2544">
            <v>1039469199</v>
          </cell>
          <cell r="F2544" t="str">
            <v>CENTRO SAN LUIS DE GACENO</v>
          </cell>
          <cell r="G2544">
            <v>3023627733</v>
          </cell>
        </row>
        <row r="2545">
          <cell r="E2545">
            <v>72022887</v>
          </cell>
          <cell r="F2545" t="str">
            <v>COLINAS DEL ZUE APTO 203</v>
          </cell>
          <cell r="G2545">
            <v>3003014604</v>
          </cell>
        </row>
        <row r="2546">
          <cell r="E2546">
            <v>1030527566</v>
          </cell>
          <cell r="F2546" t="str">
            <v>CARRERA 7 NO 5-48</v>
          </cell>
          <cell r="G2546">
            <v>3143271355</v>
          </cell>
        </row>
        <row r="2547">
          <cell r="E2547">
            <v>901277822</v>
          </cell>
          <cell r="F2547" t="str">
            <v>CALLE 12 NO 11-04 PISO 2</v>
          </cell>
          <cell r="G2547">
            <v>3202773606</v>
          </cell>
        </row>
        <row r="2548">
          <cell r="E2548">
            <v>23857464</v>
          </cell>
          <cell r="F2548" t="str">
            <v>CALLE 25 NO 17-38</v>
          </cell>
          <cell r="G2548">
            <v>7850384</v>
          </cell>
        </row>
        <row r="2549">
          <cell r="E2549">
            <v>74321293</v>
          </cell>
          <cell r="F2549" t="str">
            <v>CARRERA 10 NO 4-25</v>
          </cell>
          <cell r="G2549">
            <v>3144446544</v>
          </cell>
        </row>
        <row r="2550">
          <cell r="E2550">
            <v>900226169</v>
          </cell>
          <cell r="F2550" t="str">
            <v>FINCA LOS LAGOS</v>
          </cell>
          <cell r="G2550">
            <v>3123497044</v>
          </cell>
        </row>
        <row r="2551">
          <cell r="E2551">
            <v>900323107</v>
          </cell>
          <cell r="F2551" t="str">
            <v>CALLE 13 NO 10-27</v>
          </cell>
          <cell r="G2551">
            <v>7725252</v>
          </cell>
        </row>
        <row r="2552">
          <cell r="E2552">
            <v>46681599</v>
          </cell>
          <cell r="F2552" t="str">
            <v>ORILLAS LAGO SOCHAGOTA</v>
          </cell>
          <cell r="G2552">
            <v>3212182566</v>
          </cell>
        </row>
        <row r="2553">
          <cell r="E2553">
            <v>1057596226</v>
          </cell>
          <cell r="F2553" t="str">
            <v>CARRERA 9A NO 22-32 SOGAMOSO</v>
          </cell>
          <cell r="G2553">
            <v>6089028298</v>
          </cell>
        </row>
        <row r="2554">
          <cell r="E2554">
            <v>1053605840</v>
          </cell>
          <cell r="F2554" t="str">
            <v>KM 4 VIA PAIPA PANTANO DE VARGAS</v>
          </cell>
          <cell r="G2554">
            <v>3132699678</v>
          </cell>
        </row>
        <row r="2555">
          <cell r="E2555">
            <v>1056954477</v>
          </cell>
          <cell r="F2555" t="str">
            <v>KM 99 BOGOTA TUNJA</v>
          </cell>
          <cell r="G2555">
            <v>0</v>
          </cell>
        </row>
        <row r="2556">
          <cell r="E2556">
            <v>74130594</v>
          </cell>
          <cell r="F2556" t="str">
            <v>ORILLAS LAGO SOCHAGOTA</v>
          </cell>
          <cell r="G2556">
            <v>7853415</v>
          </cell>
        </row>
        <row r="2557">
          <cell r="E2557">
            <v>901857193</v>
          </cell>
          <cell r="F2557" t="str">
            <v>CALLE 6 NO 6-11</v>
          </cell>
          <cell r="G2557">
            <v>3103101931</v>
          </cell>
        </row>
        <row r="2558">
          <cell r="E2558">
            <v>46365583</v>
          </cell>
          <cell r="F2558" t="str">
            <v>VEREDA TOQUILLA</v>
          </cell>
          <cell r="G2558">
            <v>3125806036</v>
          </cell>
        </row>
        <row r="2559">
          <cell r="E2559">
            <v>4264426</v>
          </cell>
          <cell r="F2559" t="str">
            <v>SISGA VIA MACHETA</v>
          </cell>
          <cell r="G2559">
            <v>3143536715</v>
          </cell>
        </row>
        <row r="2560">
          <cell r="E2560">
            <v>1015405442</v>
          </cell>
          <cell r="F2560" t="str">
            <v>CALLE 22B NO 56-63</v>
          </cell>
          <cell r="G2560">
            <v>3045452400</v>
          </cell>
        </row>
        <row r="2561">
          <cell r="E2561">
            <v>1036605204</v>
          </cell>
          <cell r="F2561" t="str">
            <v>CENTRO PAYA</v>
          </cell>
          <cell r="G2561">
            <v>3045581088</v>
          </cell>
        </row>
        <row r="2562">
          <cell r="E2562">
            <v>900945087</v>
          </cell>
          <cell r="F2562" t="str">
            <v>TV 29 NO. 18-09</v>
          </cell>
          <cell r="G2562">
            <v>3178954145</v>
          </cell>
        </row>
        <row r="2563">
          <cell r="E2563">
            <v>1000158307</v>
          </cell>
          <cell r="F2563" t="str">
            <v>CENTRO TINJACA</v>
          </cell>
          <cell r="G2563">
            <v>3185400715</v>
          </cell>
        </row>
        <row r="2564">
          <cell r="E2564">
            <v>1002328775</v>
          </cell>
          <cell r="F2564" t="str">
            <v>BARRIO CASTELLANA</v>
          </cell>
          <cell r="G2564">
            <v>3108648947</v>
          </cell>
        </row>
        <row r="2565">
          <cell r="E2565">
            <v>23690596</v>
          </cell>
          <cell r="F2565" t="str">
            <v>VRDA ROBLE BAJO</v>
          </cell>
          <cell r="G2565">
            <v>3134056386</v>
          </cell>
        </row>
        <row r="2566">
          <cell r="E2566">
            <v>1056482870</v>
          </cell>
          <cell r="F2566" t="str">
            <v>CALLE 11 3-65</v>
          </cell>
          <cell r="G2566">
            <v>3142795317</v>
          </cell>
        </row>
        <row r="2567">
          <cell r="E2567">
            <v>23689981</v>
          </cell>
          <cell r="F2567" t="str">
            <v>CRA 10 B LA PALMA</v>
          </cell>
          <cell r="G2567">
            <v>3208614958</v>
          </cell>
        </row>
        <row r="2568">
          <cell r="E2568">
            <v>1054093762</v>
          </cell>
          <cell r="F2568" t="str">
            <v>CALLE 11 NO 2-55</v>
          </cell>
          <cell r="G2568">
            <v>3134993670</v>
          </cell>
        </row>
        <row r="2569">
          <cell r="E2569">
            <v>1052020713</v>
          </cell>
          <cell r="F2569" t="str">
            <v>SECTOR PATIOS BLANCOS FLORESTA</v>
          </cell>
          <cell r="G2569">
            <v>3118722686</v>
          </cell>
        </row>
        <row r="2570">
          <cell r="E2570">
            <v>23809924</v>
          </cell>
          <cell r="F2570" t="str">
            <v>CARRERA 3 NO 7-11</v>
          </cell>
          <cell r="G2570">
            <v>3132830302</v>
          </cell>
        </row>
        <row r="2571">
          <cell r="E2571">
            <v>1052836179</v>
          </cell>
          <cell r="F2571" t="str">
            <v>ESE SALUD AQUITANIA</v>
          </cell>
          <cell r="G2571">
            <v>3024726322</v>
          </cell>
        </row>
        <row r="2572">
          <cell r="E2572">
            <v>4272149</v>
          </cell>
          <cell r="F2572" t="str">
            <v>CENTRO DUITAMA</v>
          </cell>
          <cell r="G2572">
            <v>0</v>
          </cell>
        </row>
        <row r="2573">
          <cell r="E2573">
            <v>1057600742</v>
          </cell>
          <cell r="F2573" t="str">
            <v>CARRERA 3 NO 7-49 SOCOTA</v>
          </cell>
          <cell r="G2573">
            <v>3203010780</v>
          </cell>
        </row>
        <row r="2574">
          <cell r="E2574">
            <v>1103674079</v>
          </cell>
          <cell r="F2574" t="str">
            <v>BARRIO LA PLAYA</v>
          </cell>
          <cell r="G2574">
            <v>3112737206</v>
          </cell>
        </row>
        <row r="2575">
          <cell r="E2575">
            <v>46372824</v>
          </cell>
          <cell r="F2575" t="str">
            <v>CARRERA 12 NO 18-06 SOGAMOSO</v>
          </cell>
          <cell r="G2575">
            <v>3112205197</v>
          </cell>
        </row>
        <row r="2576">
          <cell r="E2576">
            <v>52520634</v>
          </cell>
          <cell r="F2576" t="str">
            <v>CRA 8 NO 1-86</v>
          </cell>
          <cell r="G2576">
            <v>3203423019</v>
          </cell>
        </row>
        <row r="2577">
          <cell r="E2577">
            <v>1077142088</v>
          </cell>
          <cell r="F2577" t="str">
            <v>CALLE 5 NO 5 23</v>
          </cell>
          <cell r="G2577">
            <v>3115079246</v>
          </cell>
        </row>
        <row r="2578">
          <cell r="E2578">
            <v>33377809</v>
          </cell>
          <cell r="F2578" t="str">
            <v>CASA 10 B VILLA ROSITA</v>
          </cell>
          <cell r="G2578">
            <v>3229360220</v>
          </cell>
        </row>
        <row r="2579">
          <cell r="E2579">
            <v>52446419</v>
          </cell>
          <cell r="F2579" t="str">
            <v>BARRIO PLAYA SOCOTA</v>
          </cell>
          <cell r="G2579">
            <v>3103196002</v>
          </cell>
        </row>
        <row r="2580">
          <cell r="E2580">
            <v>46457060</v>
          </cell>
          <cell r="F2580" t="str">
            <v>CALLE 9A NO 13 69B</v>
          </cell>
          <cell r="G2580">
            <v>3115269845</v>
          </cell>
        </row>
        <row r="2581">
          <cell r="E2581">
            <v>46368763</v>
          </cell>
          <cell r="F2581" t="str">
            <v>CARRERA 25A NO 14-19</v>
          </cell>
          <cell r="G2581">
            <v>3115733450</v>
          </cell>
        </row>
        <row r="2582">
          <cell r="E2582">
            <v>1098808950</v>
          </cell>
          <cell r="F2582" t="str">
            <v>CENTRO DE SALUD TASCO</v>
          </cell>
          <cell r="G2582">
            <v>7879110</v>
          </cell>
        </row>
        <row r="2583">
          <cell r="E2583">
            <v>23927067</v>
          </cell>
          <cell r="F2583" t="str">
            <v>CALLE 18 NO 15-31</v>
          </cell>
          <cell r="G2583">
            <v>3132927439</v>
          </cell>
        </row>
        <row r="2584">
          <cell r="E2584">
            <v>1051474085</v>
          </cell>
          <cell r="F2584" t="str">
            <v>CENTRO AQUITANIA</v>
          </cell>
          <cell r="G2584">
            <v>3173721246</v>
          </cell>
        </row>
        <row r="2585">
          <cell r="E2585">
            <v>80083624</v>
          </cell>
          <cell r="F2585" t="str">
            <v>CARRERA 19 NO 25-32</v>
          </cell>
          <cell r="G2585">
            <v>3229151009</v>
          </cell>
        </row>
        <row r="2586">
          <cell r="E2586">
            <v>1052386949</v>
          </cell>
          <cell r="F2586" t="str">
            <v>CRA 4 NO 8-41</v>
          </cell>
          <cell r="G2586">
            <v>3115661115</v>
          </cell>
        </row>
        <row r="2587">
          <cell r="E2587">
            <v>46383147</v>
          </cell>
          <cell r="F2587" t="str">
            <v>ESE DE PAYA</v>
          </cell>
          <cell r="G2587">
            <v>3133972933</v>
          </cell>
        </row>
        <row r="2588">
          <cell r="E2588">
            <v>7125779</v>
          </cell>
          <cell r="F2588" t="str">
            <v>CALLE 10B NO 5-13 AQUITANIA</v>
          </cell>
          <cell r="G2588">
            <v>3114597983</v>
          </cell>
        </row>
        <row r="2589">
          <cell r="E2589">
            <v>1049637947</v>
          </cell>
          <cell r="F2589" t="str">
            <v>CARRERA 9C NO 59-27</v>
          </cell>
          <cell r="G2589">
            <v>3142270790</v>
          </cell>
        </row>
        <row r="2590">
          <cell r="E2590">
            <v>46666569</v>
          </cell>
          <cell r="F2590" t="str">
            <v>FLORESTA CLUB</v>
          </cell>
          <cell r="G2590">
            <v>3107900384</v>
          </cell>
        </row>
        <row r="2591">
          <cell r="E2591">
            <v>1051472266</v>
          </cell>
          <cell r="F2591" t="str">
            <v>CARRERA 4 NO 5 54</v>
          </cell>
          <cell r="G2591">
            <v>3224600183</v>
          </cell>
        </row>
        <row r="2592">
          <cell r="E2592">
            <v>23770374</v>
          </cell>
          <cell r="F2592" t="str">
            <v>CARRERA 6 NO 7-40</v>
          </cell>
          <cell r="G2592">
            <v>3143617764</v>
          </cell>
        </row>
        <row r="2593">
          <cell r="E2593">
            <v>1051475525</v>
          </cell>
          <cell r="F2593" t="str">
            <v>CALLE 129 NO 54-75 INT 13 AP 402</v>
          </cell>
          <cell r="G2593">
            <v>3203667933</v>
          </cell>
        </row>
        <row r="2594">
          <cell r="E2594">
            <v>1054801717</v>
          </cell>
          <cell r="F2594" t="str">
            <v>CARRERA 3 NO 6-15</v>
          </cell>
          <cell r="G2594">
            <v>3153787158</v>
          </cell>
        </row>
        <row r="2595">
          <cell r="E2595">
            <v>1053512302</v>
          </cell>
          <cell r="F2595" t="str">
            <v>CARRERA 5 NO 3-17</v>
          </cell>
          <cell r="G2595">
            <v>3123663281</v>
          </cell>
        </row>
        <row r="2596">
          <cell r="E2596">
            <v>1119889727</v>
          </cell>
          <cell r="F2596" t="str">
            <v>CALLE 26 NO 23</v>
          </cell>
          <cell r="G2596">
            <v>3143561780</v>
          </cell>
        </row>
        <row r="2597">
          <cell r="E2597">
            <v>1118531382</v>
          </cell>
          <cell r="F2597" t="str">
            <v>CARRERA 11F NO 56A-18</v>
          </cell>
          <cell r="G2597">
            <v>3138169737</v>
          </cell>
        </row>
        <row r="2598">
          <cell r="E2598">
            <v>1052399075</v>
          </cell>
          <cell r="F2598" t="str">
            <v>CARRERA 3 NO 2-06</v>
          </cell>
          <cell r="G2598">
            <v>3212960027</v>
          </cell>
        </row>
        <row r="2599">
          <cell r="E2599">
            <v>1052397782</v>
          </cell>
          <cell r="F2599" t="str">
            <v>CARRERA 11 NO 5-39</v>
          </cell>
          <cell r="G2599">
            <v>3124201952</v>
          </cell>
        </row>
        <row r="2600">
          <cell r="E2600">
            <v>1054092174</v>
          </cell>
          <cell r="F2600" t="str">
            <v>VEREDA E ESPINAL</v>
          </cell>
          <cell r="G2600">
            <v>3177007428</v>
          </cell>
        </row>
        <row r="2601">
          <cell r="E2601">
            <v>1057596040</v>
          </cell>
          <cell r="F2601" t="str">
            <v>CARRERA 2 NO 6935</v>
          </cell>
          <cell r="G2601">
            <v>3134109888</v>
          </cell>
        </row>
        <row r="2602">
          <cell r="E2602">
            <v>46387377</v>
          </cell>
          <cell r="F2602" t="str">
            <v>VEREDA SAN JOSE TOPAGA</v>
          </cell>
          <cell r="G2602">
            <v>3206620217</v>
          </cell>
        </row>
        <row r="2603">
          <cell r="E2603">
            <v>4136985</v>
          </cell>
          <cell r="F2603" t="str">
            <v>CARRERA 4 NO 3-85 IZA</v>
          </cell>
          <cell r="G2603">
            <v>3115462684</v>
          </cell>
        </row>
        <row r="2604">
          <cell r="E2604">
            <v>1018480655</v>
          </cell>
          <cell r="F2604" t="str">
            <v>CARRERA 9 NO 1-22 SOGAMOSO</v>
          </cell>
          <cell r="G2604">
            <v>3194659169</v>
          </cell>
        </row>
        <row r="2605">
          <cell r="E2605">
            <v>4136625</v>
          </cell>
          <cell r="F2605" t="str">
            <v>CARRERA 6 NO 4-02 AQUITANIA</v>
          </cell>
          <cell r="G2605">
            <v>3125868416</v>
          </cell>
        </row>
        <row r="2606">
          <cell r="E2606">
            <v>24099492</v>
          </cell>
          <cell r="F2606" t="str">
            <v>CALLE 2 NO 5-06</v>
          </cell>
          <cell r="G2606">
            <v>3219519400</v>
          </cell>
        </row>
        <row r="2607">
          <cell r="E2607">
            <v>1052312095</v>
          </cell>
          <cell r="F2607" t="str">
            <v>CALLE 4A NO 12-16</v>
          </cell>
          <cell r="G2607">
            <v>3133508187</v>
          </cell>
        </row>
        <row r="2608">
          <cell r="E2608">
            <v>1051473460</v>
          </cell>
          <cell r="F2608" t="str">
            <v>CALLE 9 NO 6-11</v>
          </cell>
          <cell r="G2608">
            <v>3132223851</v>
          </cell>
        </row>
        <row r="2609">
          <cell r="E2609">
            <v>1051472372</v>
          </cell>
          <cell r="F2609" t="str">
            <v>CARRERA 7 NO 5-76</v>
          </cell>
          <cell r="G2609">
            <v>3144402843</v>
          </cell>
        </row>
        <row r="2610">
          <cell r="E2610">
            <v>1057579900</v>
          </cell>
          <cell r="F2610" t="str">
            <v>CENTRO</v>
          </cell>
          <cell r="G2610">
            <v>3176826063</v>
          </cell>
        </row>
        <row r="2611">
          <cell r="E2611">
            <v>1030537198</v>
          </cell>
          <cell r="F2611" t="str">
            <v>CENTRO SAN PABLO DE BORBUR</v>
          </cell>
          <cell r="G2611">
            <v>3219349550</v>
          </cell>
        </row>
        <row r="2612">
          <cell r="E2612">
            <v>9534739</v>
          </cell>
          <cell r="F2612" t="str">
            <v>CRA 6A NO 2A-109</v>
          </cell>
          <cell r="G2612">
            <v>3103143896</v>
          </cell>
        </row>
        <row r="2613">
          <cell r="E2613">
            <v>1057575262</v>
          </cell>
          <cell r="F2613" t="str">
            <v>CARRERA 5 NO 5-24</v>
          </cell>
          <cell r="G2613">
            <v>3186056969</v>
          </cell>
        </row>
        <row r="2614">
          <cell r="E2614">
            <v>24219054</v>
          </cell>
          <cell r="F2614" t="str">
            <v>VEREDA SIATA</v>
          </cell>
          <cell r="G2614">
            <v>3132792179</v>
          </cell>
        </row>
        <row r="2615">
          <cell r="E2615">
            <v>24217585</v>
          </cell>
          <cell r="F2615" t="str">
            <v>CALLE 5 NO 6-88</v>
          </cell>
          <cell r="G2615">
            <v>3102463805</v>
          </cell>
        </row>
        <row r="2616">
          <cell r="E2616">
            <v>33367386</v>
          </cell>
          <cell r="F2616" t="str">
            <v>CARRERA 7 NO 9-57</v>
          </cell>
          <cell r="G2616">
            <v>3102772974</v>
          </cell>
        </row>
        <row r="2617">
          <cell r="E2617">
            <v>1056803083</v>
          </cell>
          <cell r="F2617" t="str">
            <v>VEREDA RINCON SANTO SAMACA</v>
          </cell>
          <cell r="G2617">
            <v>3134777161</v>
          </cell>
        </row>
        <row r="2618">
          <cell r="E2618">
            <v>31711714</v>
          </cell>
          <cell r="F2618" t="str">
            <v>CRA 18 NO 6-43</v>
          </cell>
          <cell r="G2618">
            <v>3143751188</v>
          </cell>
        </row>
        <row r="2619">
          <cell r="E2619">
            <v>1054252772</v>
          </cell>
          <cell r="F2619" t="str">
            <v>VEREDA EL MORRO SOCOTA</v>
          </cell>
          <cell r="G2619">
            <v>3227223615</v>
          </cell>
        </row>
        <row r="2620">
          <cell r="E2620">
            <v>37706494</v>
          </cell>
          <cell r="F2620" t="str">
            <v>MAZ 15 CASA 17 COOSERVICIOS</v>
          </cell>
          <cell r="G2620">
            <v>0</v>
          </cell>
        </row>
        <row r="2621">
          <cell r="E2621">
            <v>37860907</v>
          </cell>
          <cell r="F2621" t="str">
            <v>CENTRO PAZ DE RIO</v>
          </cell>
          <cell r="G2621">
            <v>3103546257</v>
          </cell>
        </row>
        <row r="2622">
          <cell r="E2622">
            <v>4217025</v>
          </cell>
          <cell r="F2622" t="str">
            <v>CARRERA 9 NO 6-40</v>
          </cell>
          <cell r="G2622">
            <v>3212875912</v>
          </cell>
        </row>
        <row r="2623">
          <cell r="E2623">
            <v>74302383</v>
          </cell>
          <cell r="F2623" t="str">
            <v>CRA 1 NO 6-38</v>
          </cell>
          <cell r="G2623">
            <v>3218242630</v>
          </cell>
        </row>
        <row r="2624">
          <cell r="E2624">
            <v>1057574752</v>
          </cell>
          <cell r="F2624" t="str">
            <v>VDA TOQUILLA</v>
          </cell>
          <cell r="G2624">
            <v>3214407941</v>
          </cell>
        </row>
        <row r="2625">
          <cell r="E2625">
            <v>1014205184</v>
          </cell>
          <cell r="F2625" t="str">
            <v>VEREDA CENTRO ABAJO</v>
          </cell>
          <cell r="G2625">
            <v>3134357480</v>
          </cell>
        </row>
        <row r="2626">
          <cell r="E2626">
            <v>7126166</v>
          </cell>
          <cell r="F2626" t="str">
            <v>CENTRO AQUITANIA</v>
          </cell>
          <cell r="G2626">
            <v>3223286663</v>
          </cell>
        </row>
        <row r="2627">
          <cell r="E2627">
            <v>9534963</v>
          </cell>
          <cell r="F2627" t="str">
            <v>CRA 23 NO 10-29</v>
          </cell>
          <cell r="G2627">
            <v>3114752369</v>
          </cell>
        </row>
        <row r="2628">
          <cell r="E2628">
            <v>1057590611</v>
          </cell>
          <cell r="F2628" t="str">
            <v>CARRERA 16 NO 2-27</v>
          </cell>
          <cell r="G2628">
            <v>3202046849</v>
          </cell>
        </row>
        <row r="2629">
          <cell r="E2629">
            <v>23946093</v>
          </cell>
          <cell r="F2629" t="str">
            <v>CARRERA 5 NO 9-43</v>
          </cell>
          <cell r="G2629">
            <v>3188523891</v>
          </cell>
        </row>
        <row r="2630">
          <cell r="E2630">
            <v>1049613628</v>
          </cell>
          <cell r="F2630" t="str">
            <v>CALLE 3 NO 10-125</v>
          </cell>
          <cell r="G2630">
            <v>3214710937</v>
          </cell>
        </row>
        <row r="2631">
          <cell r="E2631">
            <v>33376944</v>
          </cell>
          <cell r="F2631" t="str">
            <v>CRA 15 NO 2331</v>
          </cell>
          <cell r="G2631">
            <v>3132451580</v>
          </cell>
        </row>
        <row r="2632">
          <cell r="E2632">
            <v>1049606385</v>
          </cell>
          <cell r="F2632" t="str">
            <v>KILOMETRO 1 VIA TUNJA SORACA</v>
          </cell>
          <cell r="G2632">
            <v>3134157551</v>
          </cell>
        </row>
        <row r="2633">
          <cell r="E2633">
            <v>1118200374</v>
          </cell>
          <cell r="F2633" t="str">
            <v>CALLE 8 NO 3-33</v>
          </cell>
          <cell r="G2633">
            <v>3166024533</v>
          </cell>
        </row>
        <row r="2634">
          <cell r="E2634">
            <v>900997411</v>
          </cell>
          <cell r="F2634" t="str">
            <v>CARRERA 21 NO 7-82</v>
          </cell>
          <cell r="G2634">
            <v>3102925214</v>
          </cell>
        </row>
        <row r="2635">
          <cell r="E2635">
            <v>52326065</v>
          </cell>
          <cell r="F2635" t="str">
            <v>ESE DE PAYA</v>
          </cell>
          <cell r="G2635">
            <v>3182218327</v>
          </cell>
        </row>
        <row r="2636">
          <cell r="E2636">
            <v>20492490</v>
          </cell>
          <cell r="F2636" t="str">
            <v>CARRERA 8 NO 1-71 SUR</v>
          </cell>
          <cell r="G2636">
            <v>6088562132</v>
          </cell>
        </row>
        <row r="2637">
          <cell r="E2637">
            <v>4264808</v>
          </cell>
          <cell r="F2637" t="str">
            <v>CARRERA 12 NO 11-75 SOGAMOSO</v>
          </cell>
          <cell r="G2637">
            <v>6087761215</v>
          </cell>
        </row>
        <row r="2638">
          <cell r="E2638">
            <v>74334414</v>
          </cell>
          <cell r="F2638" t="str">
            <v>CALLE 8 NO 7-01</v>
          </cell>
          <cell r="G2638">
            <v>3134592271</v>
          </cell>
        </row>
        <row r="2639">
          <cell r="E2639">
            <v>9536255</v>
          </cell>
          <cell r="F2639" t="str">
            <v>CENTRO VENTAQUEMADA</v>
          </cell>
          <cell r="G2639">
            <v>3193731268</v>
          </cell>
        </row>
        <row r="2640">
          <cell r="E2640">
            <v>1052400530</v>
          </cell>
          <cell r="F2640" t="str">
            <v>CALLE 8 NO 7-60</v>
          </cell>
          <cell r="G2640">
            <v>7794136</v>
          </cell>
        </row>
        <row r="2641">
          <cell r="E2641">
            <v>23323391</v>
          </cell>
          <cell r="F2641" t="str">
            <v>CRA 3 NO 10-18</v>
          </cell>
          <cell r="G2641">
            <v>3144465991</v>
          </cell>
        </row>
        <row r="2642">
          <cell r="E2642">
            <v>1056506130</v>
          </cell>
          <cell r="F2642" t="str">
            <v>ESE SAN PABLO DE BORBUR</v>
          </cell>
          <cell r="G2642">
            <v>3133122460</v>
          </cell>
        </row>
        <row r="2643">
          <cell r="E2643">
            <v>4246033</v>
          </cell>
          <cell r="F2643" t="str">
            <v>CRA 34 NO 19-112</v>
          </cell>
          <cell r="G2643">
            <v>3142983107</v>
          </cell>
        </row>
        <row r="2644">
          <cell r="E2644">
            <v>74360782</v>
          </cell>
          <cell r="F2644" t="str">
            <v>CARRERA 23A NO 29-01</v>
          </cell>
          <cell r="G2644">
            <v>0</v>
          </cell>
        </row>
        <row r="2645">
          <cell r="E2645">
            <v>1030587526</v>
          </cell>
          <cell r="F2645" t="str">
            <v>CALLE 51 NO 79-10</v>
          </cell>
          <cell r="G2645">
            <v>3228741034</v>
          </cell>
        </row>
        <row r="2646">
          <cell r="E2646">
            <v>1057575023</v>
          </cell>
          <cell r="F2646" t="str">
            <v>VEREDA GUANTO GAMEZA</v>
          </cell>
          <cell r="G2646">
            <v>3144291059</v>
          </cell>
        </row>
        <row r="2647">
          <cell r="E2647">
            <v>1057892508</v>
          </cell>
          <cell r="F2647" t="str">
            <v>CARRERA 1C NO 3-15</v>
          </cell>
          <cell r="G2647">
            <v>3134030582</v>
          </cell>
        </row>
        <row r="2648">
          <cell r="E2648">
            <v>1053586312</v>
          </cell>
          <cell r="F2648" t="str">
            <v>CALLE 4 NO 10-17</v>
          </cell>
          <cell r="G2648">
            <v>3213987129</v>
          </cell>
        </row>
        <row r="2649">
          <cell r="E2649">
            <v>24148945</v>
          </cell>
          <cell r="F2649" t="str">
            <v>CALLE 8 NO 7-60</v>
          </cell>
          <cell r="G2649">
            <v>7794681</v>
          </cell>
        </row>
        <row r="2650">
          <cell r="E2650">
            <v>1057609711</v>
          </cell>
          <cell r="F2650" t="str">
            <v>BARRIO SAN ISIDRO</v>
          </cell>
          <cell r="G2650">
            <v>3103526386</v>
          </cell>
        </row>
        <row r="2651">
          <cell r="E2651">
            <v>1054092186</v>
          </cell>
          <cell r="F2651" t="str">
            <v>CARRERA 13 NO 8-81</v>
          </cell>
          <cell r="G2651">
            <v>3143947966</v>
          </cell>
        </row>
        <row r="2652">
          <cell r="E2652">
            <v>79764895</v>
          </cell>
          <cell r="F2652" t="str">
            <v>CASA 24 B 6 B TOMAS ROLDAN TOPAGA</v>
          </cell>
          <cell r="G2652">
            <v>3118641776</v>
          </cell>
        </row>
        <row r="2653">
          <cell r="E2653">
            <v>1073250192</v>
          </cell>
          <cell r="F2653" t="str">
            <v>CARRERA 2 NO 6-28</v>
          </cell>
          <cell r="G2653">
            <v>3235135766</v>
          </cell>
        </row>
        <row r="2654">
          <cell r="E2654">
            <v>1051474812</v>
          </cell>
          <cell r="F2654" t="str">
            <v>ESE SALUD AQUITANIA</v>
          </cell>
          <cell r="G2654">
            <v>3142277462</v>
          </cell>
        </row>
        <row r="2655">
          <cell r="E2655">
            <v>1049634281</v>
          </cell>
          <cell r="F2655" t="str">
            <v>CARRERA 6 NO 10-60</v>
          </cell>
          <cell r="G2655">
            <v>3107957634</v>
          </cell>
        </row>
        <row r="2656">
          <cell r="E2656">
            <v>1002727472</v>
          </cell>
          <cell r="F2656" t="str">
            <v>CALLE 16 SUR NO 9-51</v>
          </cell>
          <cell r="G2656">
            <v>3223673240</v>
          </cell>
        </row>
        <row r="2657">
          <cell r="E2657">
            <v>1071162991</v>
          </cell>
          <cell r="F2657" t="str">
            <v>CENTRO CIENEGA</v>
          </cell>
          <cell r="G2657">
            <v>3118579606</v>
          </cell>
        </row>
        <row r="2658">
          <cell r="E2658">
            <v>33369554</v>
          </cell>
          <cell r="F2658" t="str">
            <v>CARRERA 15 NO 1A-07</v>
          </cell>
          <cell r="G2658">
            <v>3164106570</v>
          </cell>
        </row>
        <row r="2659">
          <cell r="E2659">
            <v>40049376</v>
          </cell>
          <cell r="F2659" t="str">
            <v>CRA 17 NO1-92</v>
          </cell>
          <cell r="G2659">
            <v>3103118932</v>
          </cell>
        </row>
        <row r="2660">
          <cell r="E2660">
            <v>1032497515</v>
          </cell>
          <cell r="F2660" t="str">
            <v>ESE DE TASCO</v>
          </cell>
          <cell r="G2660">
            <v>0</v>
          </cell>
        </row>
        <row r="2661">
          <cell r="E2661">
            <v>23810389</v>
          </cell>
          <cell r="F2661" t="str">
            <v>VEREDA DICHO</v>
          </cell>
          <cell r="G2661">
            <v>3213355819</v>
          </cell>
        </row>
        <row r="2662">
          <cell r="E2662">
            <v>1053585209</v>
          </cell>
          <cell r="F2662" t="str">
            <v>VEREDA CHAMEZA</v>
          </cell>
          <cell r="G2662">
            <v>3118366322</v>
          </cell>
        </row>
        <row r="2663">
          <cell r="E2663">
            <v>40033898</v>
          </cell>
          <cell r="F2663" t="str">
            <v>MZ 15 CASA 17 COOSERVICIOS</v>
          </cell>
          <cell r="G2663">
            <v>7451010</v>
          </cell>
        </row>
        <row r="2664">
          <cell r="E2664">
            <v>46361064</v>
          </cell>
          <cell r="F2664" t="str">
            <v>CALLE 6 NO 5-84</v>
          </cell>
          <cell r="G2664">
            <v>3132857734</v>
          </cell>
        </row>
        <row r="2665">
          <cell r="E2665">
            <v>9534148</v>
          </cell>
          <cell r="F2665" t="str">
            <v>SOGAMOSOSA CENTRO</v>
          </cell>
          <cell r="G2665">
            <v>3005625034</v>
          </cell>
        </row>
        <row r="2666">
          <cell r="E2666">
            <v>1049605391</v>
          </cell>
          <cell r="F2666" t="str">
            <v>DG 38 NO 18-75 TUNJA</v>
          </cell>
          <cell r="G2666">
            <v>3112223256</v>
          </cell>
        </row>
        <row r="2667">
          <cell r="E2667">
            <v>23945872</v>
          </cell>
          <cell r="F2667" t="str">
            <v>CALLE 12 NO 7-70</v>
          </cell>
          <cell r="G2667">
            <v>3106897005</v>
          </cell>
        </row>
        <row r="2668">
          <cell r="E2668">
            <v>1049623410</v>
          </cell>
          <cell r="F2668" t="str">
            <v>DIAGONAL 69 NO 1A 24 SOGAMOSO</v>
          </cell>
          <cell r="G2668">
            <v>3182788568</v>
          </cell>
        </row>
        <row r="2669">
          <cell r="E2669">
            <v>1051954074</v>
          </cell>
          <cell r="F2669" t="str">
            <v>ESE DE SACHICA</v>
          </cell>
          <cell r="G2669">
            <v>3217055310</v>
          </cell>
        </row>
        <row r="2670">
          <cell r="E2670">
            <v>1013650898</v>
          </cell>
          <cell r="F2670" t="str">
            <v>CARRERA 6 NO 7-62</v>
          </cell>
          <cell r="G2670">
            <v>3212878520</v>
          </cell>
        </row>
        <row r="2671">
          <cell r="E2671">
            <v>1049657151</v>
          </cell>
          <cell r="F2671" t="str">
            <v>CENTRO SOCOTA</v>
          </cell>
          <cell r="G2671">
            <v>3204092947</v>
          </cell>
        </row>
        <row r="2672">
          <cell r="E2672">
            <v>7169229</v>
          </cell>
          <cell r="F2672" t="str">
            <v>CALLE 36 NO 16C-58</v>
          </cell>
          <cell r="G2672">
            <v>3144434031</v>
          </cell>
        </row>
        <row r="2673">
          <cell r="E2673">
            <v>20923942</v>
          </cell>
          <cell r="F2673" t="str">
            <v>CALLE 5 NO 6-88</v>
          </cell>
          <cell r="G2673">
            <v>3144099150</v>
          </cell>
        </row>
        <row r="2674">
          <cell r="E2674">
            <v>1052391306</v>
          </cell>
          <cell r="F2674" t="str">
            <v>CRA 25 NO 21-33</v>
          </cell>
          <cell r="G2674">
            <v>3143010561</v>
          </cell>
        </row>
        <row r="2675">
          <cell r="E2675">
            <v>46370244</v>
          </cell>
          <cell r="F2675" t="str">
            <v>CALLE 8 NO 7-60</v>
          </cell>
          <cell r="G2675">
            <v>7794681</v>
          </cell>
        </row>
        <row r="2676">
          <cell r="E2676">
            <v>46383305</v>
          </cell>
          <cell r="F2676" t="str">
            <v>CARRERA 23A NO 7A-10 SOGAMOSO</v>
          </cell>
          <cell r="G2676">
            <v>3142153208</v>
          </cell>
        </row>
        <row r="2677">
          <cell r="E2677">
            <v>52790816</v>
          </cell>
          <cell r="F2677" t="str">
            <v>CARRERA 28 NO 12 50</v>
          </cell>
          <cell r="G2677">
            <v>0</v>
          </cell>
        </row>
        <row r="2678">
          <cell r="E2678">
            <v>23795441</v>
          </cell>
          <cell r="F2678" t="str">
            <v>CALLE 8 NO 13-18</v>
          </cell>
          <cell r="G2678">
            <v>3132496479</v>
          </cell>
        </row>
        <row r="2679">
          <cell r="E2679">
            <v>23582298</v>
          </cell>
          <cell r="F2679" t="str">
            <v>CALLE 44D NO 45-45</v>
          </cell>
          <cell r="G2679">
            <v>3003675095</v>
          </cell>
        </row>
        <row r="2680">
          <cell r="E2680">
            <v>1049616194</v>
          </cell>
          <cell r="F2680" t="str">
            <v>CALLE 55B NO 8B 16</v>
          </cell>
          <cell r="G2680">
            <v>3186013058</v>
          </cell>
        </row>
        <row r="2681">
          <cell r="E2681">
            <v>1053341100</v>
          </cell>
          <cell r="F2681" t="str">
            <v>ESE SALUD NOBSA</v>
          </cell>
          <cell r="G2681">
            <v>0</v>
          </cell>
        </row>
        <row r="2682">
          <cell r="E2682">
            <v>20923931</v>
          </cell>
          <cell r="F2682" t="str">
            <v>CALLE 6 NO 6-13</v>
          </cell>
          <cell r="G2682">
            <v>3102568634</v>
          </cell>
        </row>
        <row r="2683">
          <cell r="E2683">
            <v>63254959</v>
          </cell>
          <cell r="F2683" t="str">
            <v>CALLE 48 NO 11B-57</v>
          </cell>
          <cell r="G2683">
            <v>3163996119</v>
          </cell>
        </row>
        <row r="2684">
          <cell r="E2684">
            <v>4068193</v>
          </cell>
          <cell r="F2684" t="str">
            <v>CARRERA 4 NO 4-4</v>
          </cell>
          <cell r="G2684">
            <v>3134745853</v>
          </cell>
        </row>
        <row r="2685">
          <cell r="E2685">
            <v>23324959</v>
          </cell>
          <cell r="F2685" t="str">
            <v>CARRERA 3 NO 8A-82</v>
          </cell>
          <cell r="G2685">
            <v>3133887997</v>
          </cell>
        </row>
        <row r="2686">
          <cell r="E2686">
            <v>1071330279</v>
          </cell>
          <cell r="F2686" t="str">
            <v>CALLE 5 NO 6-88</v>
          </cell>
          <cell r="G2686">
            <v>3118559106</v>
          </cell>
        </row>
        <row r="2687">
          <cell r="E2687">
            <v>46377649</v>
          </cell>
          <cell r="F2687" t="str">
            <v>CARRERA 5 NO 1-18</v>
          </cell>
          <cell r="G2687">
            <v>3124316949</v>
          </cell>
        </row>
        <row r="2688">
          <cell r="E2688">
            <v>46375230</v>
          </cell>
          <cell r="F2688" t="str">
            <v>CALLE 9 NO 23-32</v>
          </cell>
          <cell r="G2688">
            <v>3124668720</v>
          </cell>
        </row>
        <row r="2689">
          <cell r="E2689">
            <v>1057608111</v>
          </cell>
          <cell r="F2689" t="str">
            <v>CENTRO AQUITANIA</v>
          </cell>
          <cell r="G2689">
            <v>3148238474</v>
          </cell>
        </row>
        <row r="2690">
          <cell r="E2690">
            <v>1002536277</v>
          </cell>
          <cell r="F2690" t="str">
            <v>BARRIO PARAISO</v>
          </cell>
          <cell r="G2690">
            <v>3214742933</v>
          </cell>
        </row>
        <row r="2691">
          <cell r="E2691">
            <v>33480282</v>
          </cell>
          <cell r="F2691" t="str">
            <v>CARRERA 5 NO 8-61</v>
          </cell>
          <cell r="G2691">
            <v>3108118585</v>
          </cell>
        </row>
        <row r="2692">
          <cell r="E2692">
            <v>23965790</v>
          </cell>
          <cell r="F2692" t="str">
            <v>PRIMAVERA I MANZANA D CASA 6</v>
          </cell>
          <cell r="G2692">
            <v>3133177254</v>
          </cell>
        </row>
        <row r="2693">
          <cell r="E2693">
            <v>74379088</v>
          </cell>
          <cell r="F2693" t="str">
            <v>CENTRO DE SALUD DE NOBSA</v>
          </cell>
          <cell r="G2693">
            <v>3112634207</v>
          </cell>
        </row>
        <row r="2694">
          <cell r="E2694">
            <v>1118571651</v>
          </cell>
          <cell r="F2694" t="str">
            <v>CALLE 8 NO 10-34</v>
          </cell>
          <cell r="G2694">
            <v>3223780097</v>
          </cell>
        </row>
        <row r="2695">
          <cell r="E2695">
            <v>1193541356</v>
          </cell>
          <cell r="F2695" t="str">
            <v>CALLE 2 NO 23-15 SOGAMOSO</v>
          </cell>
          <cell r="G2695">
            <v>3208907814</v>
          </cell>
        </row>
        <row r="2696">
          <cell r="E2696">
            <v>1049616336</v>
          </cell>
          <cell r="F2696" t="str">
            <v>CALLE 7A NO 12-16</v>
          </cell>
          <cell r="G2696">
            <v>3103435684</v>
          </cell>
        </row>
        <row r="2697">
          <cell r="E2697">
            <v>1057892578</v>
          </cell>
          <cell r="F2697" t="str">
            <v>CALLE 1 NO 5-10</v>
          </cell>
          <cell r="G2697">
            <v>7357216</v>
          </cell>
        </row>
        <row r="2698">
          <cell r="E2698">
            <v>46376049</v>
          </cell>
          <cell r="F2698" t="str">
            <v>CALLE 4 NO 1-53</v>
          </cell>
          <cell r="G2698">
            <v>3213164651</v>
          </cell>
        </row>
        <row r="2699">
          <cell r="E2699">
            <v>52182460</v>
          </cell>
          <cell r="F2699" t="str">
            <v>VEREDA SAN JUDAS TADEO</v>
          </cell>
          <cell r="G2699">
            <v>3105725308</v>
          </cell>
        </row>
        <row r="2700">
          <cell r="E2700">
            <v>46374515</v>
          </cell>
          <cell r="F2700" t="str">
            <v>CARRERA 4 NO 1-47</v>
          </cell>
          <cell r="G2700">
            <v>3202249264</v>
          </cell>
        </row>
        <row r="2701">
          <cell r="E2701">
            <v>23582850</v>
          </cell>
          <cell r="F2701" t="str">
            <v>CALLE 5 NO 5-12</v>
          </cell>
          <cell r="G2701">
            <v>6087797061</v>
          </cell>
        </row>
        <row r="2702">
          <cell r="E2702">
            <v>52214899</v>
          </cell>
          <cell r="F2702" t="str">
            <v>CARRERA 5 NO 2-35</v>
          </cell>
          <cell r="G2702">
            <v>7366002</v>
          </cell>
        </row>
        <row r="2703">
          <cell r="E2703">
            <v>1019153348</v>
          </cell>
          <cell r="F2703" t="str">
            <v>CARRERA 5 NO 5-24</v>
          </cell>
          <cell r="G2703">
            <v>6087879110</v>
          </cell>
        </row>
        <row r="2704">
          <cell r="E2704">
            <v>47395978</v>
          </cell>
          <cell r="F2704" t="str">
            <v>CALLE 46 NO 12B-37</v>
          </cell>
          <cell r="G2704">
            <v>3218054731</v>
          </cell>
        </row>
        <row r="2705">
          <cell r="E2705">
            <v>1051589557</v>
          </cell>
          <cell r="F2705" t="str">
            <v>CARRERA 12 NO 4-61SUR</v>
          </cell>
          <cell r="G2705">
            <v>3123368686</v>
          </cell>
        </row>
        <row r="2706">
          <cell r="E2706">
            <v>1015993284</v>
          </cell>
          <cell r="F2706" t="str">
            <v>COSCOVITA JORDAN SOCOTA</v>
          </cell>
          <cell r="G2706">
            <v>3132887212</v>
          </cell>
        </row>
        <row r="2707">
          <cell r="E2707">
            <v>1054252534</v>
          </cell>
          <cell r="F2707" t="str">
            <v>CARRERA 4 NO 51-05</v>
          </cell>
          <cell r="G2707">
            <v>3215504992</v>
          </cell>
        </row>
        <row r="2708">
          <cell r="E2708">
            <v>46387283</v>
          </cell>
          <cell r="F2708" t="str">
            <v>CALLE 7A NO 14A 34</v>
          </cell>
          <cell r="G2708">
            <v>3202643773</v>
          </cell>
        </row>
        <row r="2709">
          <cell r="E2709">
            <v>24183166</v>
          </cell>
          <cell r="F2709" t="str">
            <v>CALLE 2 NO 3-02</v>
          </cell>
          <cell r="G2709">
            <v>3103246126</v>
          </cell>
        </row>
        <row r="2710">
          <cell r="E2710">
            <v>1051474471</v>
          </cell>
          <cell r="F2710" t="str">
            <v>CALLE 4 NO 17-22</v>
          </cell>
          <cell r="G2710">
            <v>3138197038</v>
          </cell>
        </row>
        <row r="2711">
          <cell r="E2711">
            <v>1052313074</v>
          </cell>
          <cell r="F2711" t="str">
            <v>CARRERA 4 NO 9-53</v>
          </cell>
          <cell r="G2711">
            <v>3202849103</v>
          </cell>
        </row>
        <row r="2712">
          <cell r="E2712">
            <v>1053302674</v>
          </cell>
          <cell r="F2712" t="str">
            <v>CARRERA 4 NO 8-68</v>
          </cell>
          <cell r="G2712">
            <v>3168682307</v>
          </cell>
        </row>
        <row r="2713">
          <cell r="E2713">
            <v>23912627</v>
          </cell>
          <cell r="F2713" t="str">
            <v>CARRERA 7 NO 2-114</v>
          </cell>
          <cell r="G2713">
            <v>3138166695</v>
          </cell>
        </row>
        <row r="2714">
          <cell r="E2714">
            <v>40039773</v>
          </cell>
          <cell r="F2714" t="str">
            <v>CENTRO SAN PABLO DE BORBUR</v>
          </cell>
          <cell r="G2714">
            <v>3124292446</v>
          </cell>
        </row>
        <row r="2715">
          <cell r="E2715">
            <v>23857703</v>
          </cell>
          <cell r="F2715" t="str">
            <v>CARRERA 19 NO 25-49</v>
          </cell>
          <cell r="G2715">
            <v>7850380</v>
          </cell>
        </row>
        <row r="2716">
          <cell r="E2716">
            <v>40041203</v>
          </cell>
          <cell r="F2716" t="str">
            <v>CARRERA 2A NO 78B-03</v>
          </cell>
          <cell r="G2716">
            <v>3016157982</v>
          </cell>
        </row>
        <row r="2717">
          <cell r="E2717">
            <v>1002459183</v>
          </cell>
          <cell r="F2717" t="str">
            <v>CALLE 18 NO 42A 42 DUITAMA</v>
          </cell>
          <cell r="G2717">
            <v>3103286785</v>
          </cell>
        </row>
        <row r="2718">
          <cell r="E2718">
            <v>41576094</v>
          </cell>
          <cell r="F2718" t="str">
            <v>CALLE 4C NO 55-13</v>
          </cell>
          <cell r="G2718">
            <v>3123329680</v>
          </cell>
        </row>
        <row r="2719">
          <cell r="E2719">
            <v>1118561768</v>
          </cell>
          <cell r="F2719" t="str">
            <v>AVENIDA DE LA CULTURA NO 10-62</v>
          </cell>
          <cell r="G2719">
            <v>3219236476</v>
          </cell>
        </row>
        <row r="2720">
          <cell r="E2720">
            <v>1002261709</v>
          </cell>
          <cell r="F2720" t="str">
            <v>CENTRO BETEITIVA</v>
          </cell>
          <cell r="G2720">
            <v>3208455754</v>
          </cell>
        </row>
        <row r="2721">
          <cell r="E2721">
            <v>24219521</v>
          </cell>
          <cell r="F2721" t="str">
            <v>VEREDA PUENTE DE PIEDRA</v>
          </cell>
          <cell r="G2721">
            <v>3114531507</v>
          </cell>
        </row>
        <row r="2722">
          <cell r="E2722">
            <v>46383566</v>
          </cell>
          <cell r="F2722" t="str">
            <v>CALLE 46 NO 11-84</v>
          </cell>
          <cell r="G2722">
            <v>3124129293</v>
          </cell>
        </row>
        <row r="2723">
          <cell r="E2723">
            <v>1002623579</v>
          </cell>
          <cell r="F2723" t="str">
            <v>CENTRO DE SALUD SAN PABLO DE BORBUR</v>
          </cell>
          <cell r="G2723">
            <v>0</v>
          </cell>
        </row>
        <row r="2724">
          <cell r="E2724">
            <v>40389928</v>
          </cell>
          <cell r="F2724" t="str">
            <v>CALLE 3 NO 13-20</v>
          </cell>
          <cell r="G2724">
            <v>3142977329</v>
          </cell>
        </row>
        <row r="2725">
          <cell r="E2725">
            <v>1002414806</v>
          </cell>
          <cell r="F2725" t="str">
            <v>VEREDA DE PEREZ AQUITANIA</v>
          </cell>
          <cell r="G2725">
            <v>3136381144</v>
          </cell>
        </row>
        <row r="2726">
          <cell r="E2726">
            <v>23945336</v>
          </cell>
          <cell r="F2726" t="str">
            <v>MISCELANIA Y PAPELERIA AQUITANIA</v>
          </cell>
          <cell r="G2726">
            <v>0</v>
          </cell>
        </row>
        <row r="2727">
          <cell r="E2727">
            <v>40366084</v>
          </cell>
          <cell r="F2727" t="str">
            <v>CALLE 16 NO 6-41</v>
          </cell>
          <cell r="G2727">
            <v>3114600529</v>
          </cell>
        </row>
        <row r="2728">
          <cell r="E2728">
            <v>1057590702</v>
          </cell>
          <cell r="F2728" t="str">
            <v>CALLE 24 NO 22-35</v>
          </cell>
          <cell r="G2728">
            <v>3142428786</v>
          </cell>
        </row>
        <row r="2729">
          <cell r="E2729">
            <v>1057596534</v>
          </cell>
          <cell r="F2729" t="str">
            <v>CALLE 56 NO 11-82 SOGAMOSO</v>
          </cell>
          <cell r="G2729">
            <v>3103329069</v>
          </cell>
        </row>
        <row r="2730">
          <cell r="E2730">
            <v>1056505527</v>
          </cell>
          <cell r="F2730" t="str">
            <v>CARRERA 2 NO 2-22 SPB</v>
          </cell>
          <cell r="G2730">
            <v>3165595078</v>
          </cell>
        </row>
        <row r="2731">
          <cell r="E2731">
            <v>1010205006</v>
          </cell>
          <cell r="F2731" t="str">
            <v>CARRERA 10 NO 26-56 APTO 301</v>
          </cell>
          <cell r="G2731">
            <v>3164499380</v>
          </cell>
        </row>
        <row r="2732">
          <cell r="E2732">
            <v>1057579221</v>
          </cell>
          <cell r="F2732" t="str">
            <v>ESE DE PAYA</v>
          </cell>
          <cell r="G2732">
            <v>3138711081</v>
          </cell>
        </row>
        <row r="2733">
          <cell r="E2733">
            <v>23556850</v>
          </cell>
          <cell r="F2733" t="str">
            <v>CRA 12 NO 17-57</v>
          </cell>
          <cell r="G2733">
            <v>3105625526</v>
          </cell>
        </row>
        <row r="2734">
          <cell r="E2734">
            <v>1056955795</v>
          </cell>
          <cell r="F2734" t="str">
            <v>CARRERA 5 NO 3-06</v>
          </cell>
          <cell r="G2734">
            <v>3132481052</v>
          </cell>
        </row>
        <row r="2735">
          <cell r="E2735">
            <v>1052398038</v>
          </cell>
          <cell r="F2735" t="str">
            <v>CALLE 4 NO 4-41</v>
          </cell>
          <cell r="G2735">
            <v>3134453676</v>
          </cell>
        </row>
        <row r="2736">
          <cell r="E2736">
            <v>1052312059</v>
          </cell>
          <cell r="F2736" t="str">
            <v>CALLE 4 NO 6-62</v>
          </cell>
          <cell r="G2736">
            <v>3105528810</v>
          </cell>
        </row>
        <row r="2737">
          <cell r="E2737">
            <v>1032411388</v>
          </cell>
          <cell r="F2737" t="str">
            <v>TRANSVERSAL 7 NO 10-04 AQUITANIA</v>
          </cell>
          <cell r="G2737">
            <v>3208758845</v>
          </cell>
        </row>
        <row r="2738">
          <cell r="E2738">
            <v>1053538382</v>
          </cell>
          <cell r="F2738" t="str">
            <v>VEREDA TOQUILLA IZA</v>
          </cell>
          <cell r="G2738">
            <v>3208163461</v>
          </cell>
        </row>
        <row r="2739">
          <cell r="E2739">
            <v>1115940428</v>
          </cell>
          <cell r="F2739" t="str">
            <v>CENTRO PISBA</v>
          </cell>
          <cell r="G2739">
            <v>3118405329</v>
          </cell>
        </row>
        <row r="2740">
          <cell r="E2740">
            <v>23269663</v>
          </cell>
          <cell r="F2740" t="str">
            <v>CALE 7 NO 03-05</v>
          </cell>
          <cell r="G2740">
            <v>7327546</v>
          </cell>
        </row>
        <row r="2741">
          <cell r="E2741">
            <v>1093779006</v>
          </cell>
          <cell r="F2741" t="str">
            <v>VEREDA EL BOSQUE</v>
          </cell>
          <cell r="G2741">
            <v>3102230484</v>
          </cell>
        </row>
        <row r="2742">
          <cell r="E2742">
            <v>46350264</v>
          </cell>
          <cell r="F2742" t="str">
            <v>CARRERA 12 NO 11-28</v>
          </cell>
          <cell r="G2742">
            <v>7717949</v>
          </cell>
        </row>
        <row r="2743">
          <cell r="E2743">
            <v>107094533</v>
          </cell>
          <cell r="G2743">
            <v>0</v>
          </cell>
        </row>
        <row r="2744">
          <cell r="E2744">
            <v>1050956587</v>
          </cell>
          <cell r="F2744" t="str">
            <v>PISBA CENTRO</v>
          </cell>
          <cell r="G2744">
            <v>3126509958</v>
          </cell>
        </row>
        <row r="2745">
          <cell r="E2745">
            <v>1032439449</v>
          </cell>
          <cell r="F2745" t="str">
            <v>CARRERA 7 NO 25A-20</v>
          </cell>
          <cell r="G2745">
            <v>3133415656</v>
          </cell>
        </row>
        <row r="2746">
          <cell r="E2746">
            <v>52250586</v>
          </cell>
          <cell r="F2746" t="str">
            <v>CARRERA 5 NO 7-54</v>
          </cell>
          <cell r="G2746">
            <v>3124907170</v>
          </cell>
        </row>
        <row r="2747">
          <cell r="E2747">
            <v>1049646498</v>
          </cell>
          <cell r="F2747" t="str">
            <v>BARRIO METROPOLIS CASA 72 P DE RIO</v>
          </cell>
          <cell r="G2747">
            <v>3228151741</v>
          </cell>
        </row>
        <row r="2748">
          <cell r="E2748">
            <v>1019138933</v>
          </cell>
          <cell r="F2748" t="str">
            <v>CALLE 45 NO 11-321 SOGAMOSO</v>
          </cell>
          <cell r="G2748">
            <v>3132068343</v>
          </cell>
        </row>
        <row r="2749">
          <cell r="E2749">
            <v>1049629024</v>
          </cell>
          <cell r="F2749" t="str">
            <v>ESE SALUD AQUITANIA</v>
          </cell>
          <cell r="G2749">
            <v>7794681</v>
          </cell>
        </row>
        <row r="2750">
          <cell r="E2750">
            <v>24213008</v>
          </cell>
          <cell r="F2750" t="str">
            <v>VEREDA SISA ARRIBA</v>
          </cell>
          <cell r="G2750">
            <v>3142872297</v>
          </cell>
        </row>
        <row r="2751">
          <cell r="E2751">
            <v>24212924</v>
          </cell>
          <cell r="F2751" t="str">
            <v>CARRERA 5 NO 7-51</v>
          </cell>
          <cell r="G2751">
            <v>3138286254</v>
          </cell>
        </row>
        <row r="2752">
          <cell r="E2752">
            <v>1096222607</v>
          </cell>
          <cell r="F2752" t="str">
            <v>CALLE 25 NO 20-74</v>
          </cell>
          <cell r="G2752">
            <v>0</v>
          </cell>
        </row>
        <row r="2753">
          <cell r="E2753">
            <v>1019139324</v>
          </cell>
          <cell r="F2753" t="str">
            <v>CARRERA 7 NO 8-33 BELEN</v>
          </cell>
          <cell r="G2753">
            <v>3142455581</v>
          </cell>
        </row>
        <row r="2754">
          <cell r="E2754">
            <v>74080686</v>
          </cell>
          <cell r="F2754" t="str">
            <v>CRA 23A NO 3-30</v>
          </cell>
          <cell r="G2754">
            <v>3143336333</v>
          </cell>
        </row>
        <row r="2755">
          <cell r="E2755">
            <v>52448069</v>
          </cell>
          <cell r="F2755" t="str">
            <v>VEREDA AGUABLANCA</v>
          </cell>
          <cell r="G2755">
            <v>32057770041</v>
          </cell>
        </row>
        <row r="2756">
          <cell r="E2756">
            <v>46373190</v>
          </cell>
          <cell r="F2756" t="str">
            <v>CALLE 40 NO 10A 41</v>
          </cell>
          <cell r="G2756">
            <v>3123397138</v>
          </cell>
        </row>
        <row r="2757">
          <cell r="E2757">
            <v>47441864</v>
          </cell>
          <cell r="F2757" t="str">
            <v>CARRERA 20 NO 21-34</v>
          </cell>
          <cell r="G2757">
            <v>6322521</v>
          </cell>
        </row>
        <row r="2758">
          <cell r="E2758">
            <v>3169594</v>
          </cell>
          <cell r="F2758" t="str">
            <v>CALLE 7A NO 9-80</v>
          </cell>
          <cell r="G2758">
            <v>3138697302</v>
          </cell>
        </row>
        <row r="2759">
          <cell r="E2759">
            <v>1052398537</v>
          </cell>
          <cell r="F2759" t="str">
            <v>HOSPITAL DE SOCHA</v>
          </cell>
          <cell r="G2759">
            <v>3004158214</v>
          </cell>
        </row>
        <row r="2760">
          <cell r="E2760">
            <v>1057893345</v>
          </cell>
          <cell r="F2760" t="str">
            <v>CALLE 1 NO 5-10</v>
          </cell>
          <cell r="G2760">
            <v>3125516685</v>
          </cell>
        </row>
        <row r="2761">
          <cell r="E2761">
            <v>23973839</v>
          </cell>
          <cell r="F2761" t="str">
            <v>CENTRO RAQUIRA</v>
          </cell>
          <cell r="G2761">
            <v>3143223868</v>
          </cell>
        </row>
        <row r="2762">
          <cell r="E2762">
            <v>1002682865</v>
          </cell>
          <cell r="F2762" t="str">
            <v>CARRERA 7 NO 4 123</v>
          </cell>
          <cell r="G2762">
            <v>3102525269</v>
          </cell>
        </row>
        <row r="2763">
          <cell r="E2763">
            <v>24213384</v>
          </cell>
          <cell r="F2763" t="str">
            <v>BARRIO VILLA LICETH</v>
          </cell>
          <cell r="G2763">
            <v>3223917926</v>
          </cell>
        </row>
        <row r="2764">
          <cell r="E2764">
            <v>38239086</v>
          </cell>
          <cell r="F2764" t="str">
            <v>CENTRO</v>
          </cell>
          <cell r="G2764">
            <v>0</v>
          </cell>
        </row>
        <row r="2765">
          <cell r="E2765">
            <v>1054091051</v>
          </cell>
          <cell r="F2765" t="str">
            <v>CRA 10 NO 11-83 P2</v>
          </cell>
          <cell r="G2765">
            <v>3204761484</v>
          </cell>
        </row>
        <row r="2766">
          <cell r="E2766">
            <v>1002536568</v>
          </cell>
          <cell r="F2766" t="str">
            <v>CALLE 21 NO 15-03 SPB</v>
          </cell>
          <cell r="G2766">
            <v>3115884445</v>
          </cell>
        </row>
        <row r="2767">
          <cell r="E2767">
            <v>74370300</v>
          </cell>
          <cell r="F2767" t="str">
            <v>CARRERA 8 NO 13-40</v>
          </cell>
          <cell r="G2767">
            <v>3118587855</v>
          </cell>
        </row>
        <row r="2768">
          <cell r="E2768">
            <v>700176696</v>
          </cell>
          <cell r="F2768" t="str">
            <v>CALLE 25 NO 13 20</v>
          </cell>
          <cell r="G2768">
            <v>7850440</v>
          </cell>
        </row>
        <row r="2769">
          <cell r="E2769">
            <v>1057465071</v>
          </cell>
          <cell r="F2769" t="str">
            <v>CARRERA 4A NO 5-63</v>
          </cell>
          <cell r="G2769">
            <v>3208924707</v>
          </cell>
        </row>
        <row r="2770">
          <cell r="E2770">
            <v>1057464323</v>
          </cell>
          <cell r="F2770" t="str">
            <v>CARRERA 4 NO 5-63</v>
          </cell>
          <cell r="G2770">
            <v>3108899465</v>
          </cell>
        </row>
        <row r="2771">
          <cell r="E2771">
            <v>23647006</v>
          </cell>
          <cell r="F2771" t="str">
            <v>CARRERA 5 NO 6-111</v>
          </cell>
          <cell r="G2771">
            <v>3114685732</v>
          </cell>
        </row>
        <row r="2772">
          <cell r="E2772">
            <v>1007775912</v>
          </cell>
          <cell r="F2772" t="str">
            <v>SALUD SOGAMOSO</v>
          </cell>
          <cell r="G2772">
            <v>3207290614</v>
          </cell>
        </row>
        <row r="2773">
          <cell r="E2773">
            <v>1056957461</v>
          </cell>
          <cell r="F2773" t="str">
            <v>CARRERA 2A NO 4A-52</v>
          </cell>
          <cell r="G2773">
            <v>3105658193</v>
          </cell>
        </row>
        <row r="2774">
          <cell r="E2774">
            <v>4098927</v>
          </cell>
          <cell r="F2774" t="str">
            <v>CENTRO BELEN</v>
          </cell>
          <cell r="G2774">
            <v>3108817484</v>
          </cell>
        </row>
        <row r="2775">
          <cell r="E2775">
            <v>1056506228</v>
          </cell>
          <cell r="F2775" t="str">
            <v>VEREDA SAN MARTRIN SP DE BORBUR</v>
          </cell>
          <cell r="G2775">
            <v>3182457786</v>
          </cell>
        </row>
        <row r="2776">
          <cell r="E2776">
            <v>1056958313</v>
          </cell>
          <cell r="F2776" t="str">
            <v>CALLE 3 NO 2-91</v>
          </cell>
          <cell r="G2776">
            <v>3102790897</v>
          </cell>
        </row>
        <row r="2777">
          <cell r="E2777">
            <v>1056956421</v>
          </cell>
          <cell r="F2777" t="str">
            <v>VEREDA PARROQUIA VIEJA</v>
          </cell>
          <cell r="G2777">
            <v>3118391782</v>
          </cell>
        </row>
        <row r="2778">
          <cell r="E2778">
            <v>23966167</v>
          </cell>
          <cell r="F2778" t="str">
            <v>CRA 4 NO 8 09</v>
          </cell>
          <cell r="G2778">
            <v>3105774461</v>
          </cell>
        </row>
        <row r="2779">
          <cell r="E2779">
            <v>9535231</v>
          </cell>
          <cell r="F2779" t="str">
            <v>CENTRO VENTAQUEMADA</v>
          </cell>
          <cell r="G2779">
            <v>3183880964</v>
          </cell>
        </row>
        <row r="2780">
          <cell r="E2780">
            <v>23417766</v>
          </cell>
          <cell r="F2780" t="str">
            <v>CALLE 21A NO 11-87</v>
          </cell>
          <cell r="G2780">
            <v>0</v>
          </cell>
        </row>
        <row r="2781">
          <cell r="E2781">
            <v>1056957257</v>
          </cell>
          <cell r="F2781" t="str">
            <v>CENTRO VENTAQUEMADA</v>
          </cell>
          <cell r="G2781">
            <v>3206445445</v>
          </cell>
        </row>
        <row r="2782">
          <cell r="E2782">
            <v>40044119</v>
          </cell>
          <cell r="F2782" t="str">
            <v>CENTRO RAQUIRA</v>
          </cell>
          <cell r="G2782">
            <v>3209784040</v>
          </cell>
        </row>
        <row r="2783">
          <cell r="E2783">
            <v>80104165</v>
          </cell>
          <cell r="F2783" t="str">
            <v>CRA 25 NO 34-34</v>
          </cell>
          <cell r="G2783" t="str">
            <v>3184937000_x000D_
3184937000</v>
          </cell>
        </row>
        <row r="2784">
          <cell r="E2784">
            <v>72325373</v>
          </cell>
          <cell r="F2784" t="str">
            <v>CALLE 9 NO 4-29</v>
          </cell>
          <cell r="G2784">
            <v>3152041082</v>
          </cell>
        </row>
        <row r="2785">
          <cell r="E2785">
            <v>1056956416</v>
          </cell>
          <cell r="F2785" t="str">
            <v>VEREDA CAPELLANIA</v>
          </cell>
          <cell r="G2785">
            <v>3125106585</v>
          </cell>
        </row>
        <row r="2786">
          <cell r="E2786">
            <v>74322067</v>
          </cell>
          <cell r="F2786" t="str">
            <v>CALLE 26 NO 21-35</v>
          </cell>
          <cell r="G2786">
            <v>3156395711</v>
          </cell>
        </row>
        <row r="2787">
          <cell r="E2787">
            <v>7124977</v>
          </cell>
          <cell r="F2787" t="str">
            <v>CARRERA 2 NO 5-95</v>
          </cell>
          <cell r="G2787">
            <v>3228935833</v>
          </cell>
        </row>
        <row r="2788">
          <cell r="E2788">
            <v>23946013</v>
          </cell>
          <cell r="F2788" t="str">
            <v>CALLE 5 NO 5 43</v>
          </cell>
          <cell r="G2788">
            <v>3123857234</v>
          </cell>
        </row>
        <row r="2789">
          <cell r="E2789">
            <v>33645246</v>
          </cell>
          <cell r="F2789" t="str">
            <v>CAFETERIA MYSTIVEN</v>
          </cell>
          <cell r="G2789">
            <v>3138024991</v>
          </cell>
        </row>
        <row r="2790">
          <cell r="E2790">
            <v>74362777</v>
          </cell>
          <cell r="F2790" t="str">
            <v>ESTACION BOMBEROS</v>
          </cell>
          <cell r="G2790">
            <v>3103277722</v>
          </cell>
        </row>
        <row r="2791">
          <cell r="E2791">
            <v>1002413895</v>
          </cell>
          <cell r="F2791" t="str">
            <v>VEREDA VARGAS AQUITANIA</v>
          </cell>
          <cell r="G2791">
            <v>3204894181</v>
          </cell>
        </row>
        <row r="2792">
          <cell r="E2792">
            <v>1057463417</v>
          </cell>
          <cell r="F2792" t="str">
            <v>MZ 8 CASA 16 PRIMAVERA</v>
          </cell>
          <cell r="G2792">
            <v>3122411775</v>
          </cell>
        </row>
        <row r="2793">
          <cell r="E2793">
            <v>1051476582</v>
          </cell>
          <cell r="F2793" t="str">
            <v>CALLE 7 NO 3-67 AQUITANIA</v>
          </cell>
          <cell r="G2793">
            <v>3104053862</v>
          </cell>
        </row>
        <row r="2794">
          <cell r="E2794">
            <v>1002414252</v>
          </cell>
          <cell r="F2794" t="str">
            <v>CALLE 8 NO 5-04 AQUITANIA</v>
          </cell>
          <cell r="G2794">
            <v>3123575197</v>
          </cell>
        </row>
        <row r="2795">
          <cell r="E2795">
            <v>1073384175</v>
          </cell>
          <cell r="F2795" t="str">
            <v>CALLE 3 NO 3-61 SIMIJACA</v>
          </cell>
          <cell r="G2795">
            <v>3102001191</v>
          </cell>
        </row>
        <row r="2796">
          <cell r="E2796">
            <v>900987911</v>
          </cell>
          <cell r="F2796" t="str">
            <v>CARRERA 19 NO 19-07</v>
          </cell>
          <cell r="G2796">
            <v>3133867736</v>
          </cell>
        </row>
        <row r="2797">
          <cell r="E2797">
            <v>23691130</v>
          </cell>
          <cell r="F2797" t="str">
            <v>CALLE 12 NO 6-71</v>
          </cell>
          <cell r="G2797">
            <v>3134534327</v>
          </cell>
        </row>
        <row r="2798">
          <cell r="E2798">
            <v>23770414</v>
          </cell>
          <cell r="F2798" t="str">
            <v>CRA 4 NO 7-05</v>
          </cell>
          <cell r="G2798">
            <v>3208364785</v>
          </cell>
        </row>
        <row r="2799">
          <cell r="E2799">
            <v>23770562</v>
          </cell>
          <cell r="F2799" t="str">
            <v>CALLE 8 NO 5B-21</v>
          </cell>
          <cell r="G2799">
            <v>3112442535</v>
          </cell>
        </row>
        <row r="2800">
          <cell r="E2800">
            <v>1057581494</v>
          </cell>
          <cell r="F2800" t="str">
            <v>CARRERA 4 NO 5-73</v>
          </cell>
          <cell r="G2800">
            <v>3132527507</v>
          </cell>
        </row>
        <row r="2801">
          <cell r="E2801">
            <v>1054092213</v>
          </cell>
          <cell r="F2801" t="str">
            <v>CRA 11 NO 15-58</v>
          </cell>
          <cell r="G2801">
            <v>3143697045</v>
          </cell>
        </row>
        <row r="2802">
          <cell r="E2802">
            <v>1054093057</v>
          </cell>
          <cell r="F2802" t="str">
            <v>CALLE 11 NO 2-25</v>
          </cell>
          <cell r="G2802">
            <v>3102445247</v>
          </cell>
        </row>
        <row r="2803">
          <cell r="E2803">
            <v>23770065</v>
          </cell>
          <cell r="F2803" t="str">
            <v>CALLE 4 NO 1-89</v>
          </cell>
          <cell r="G2803">
            <v>3114470876</v>
          </cell>
        </row>
        <row r="2804">
          <cell r="E2804">
            <v>80030110</v>
          </cell>
          <cell r="F2804" t="str">
            <v>CENTRO</v>
          </cell>
          <cell r="G2804">
            <v>3115438438</v>
          </cell>
        </row>
        <row r="2805">
          <cell r="E2805">
            <v>46385050</v>
          </cell>
          <cell r="F2805" t="str">
            <v>CARRERA 10 NO 15-29 SOGAMOSO</v>
          </cell>
          <cell r="G2805">
            <v>3118604418</v>
          </cell>
        </row>
        <row r="2806">
          <cell r="E2806">
            <v>24182986</v>
          </cell>
          <cell r="F2806" t="str">
            <v>CENTRO TOPAGA</v>
          </cell>
          <cell r="G2806">
            <v>3132270173</v>
          </cell>
        </row>
        <row r="2807">
          <cell r="E2807">
            <v>74344542</v>
          </cell>
          <cell r="F2807" t="str">
            <v>CALLE 12 NO 10-58 INT 103</v>
          </cell>
          <cell r="G2807">
            <v>3232332710</v>
          </cell>
        </row>
        <row r="2808">
          <cell r="E2808">
            <v>1002534524</v>
          </cell>
          <cell r="F2808" t="str">
            <v>CARRERA 3 NO 3-31</v>
          </cell>
          <cell r="G2808">
            <v>3228156460</v>
          </cell>
        </row>
        <row r="2809">
          <cell r="E2809">
            <v>1057603674</v>
          </cell>
          <cell r="F2809" t="str">
            <v>KM 5 VIA MONGUI IZA</v>
          </cell>
          <cell r="G2809">
            <v>3124993039</v>
          </cell>
        </row>
        <row r="2810">
          <cell r="E2810">
            <v>46357333</v>
          </cell>
          <cell r="F2810" t="str">
            <v>CENTRO</v>
          </cell>
          <cell r="G2810">
            <v>0</v>
          </cell>
        </row>
        <row r="2811">
          <cell r="E2811">
            <v>46377745</v>
          </cell>
          <cell r="F2811" t="str">
            <v>CALLE 2BIS NO 14-71 SOGAMOSO</v>
          </cell>
          <cell r="G2811">
            <v>3104709360</v>
          </cell>
        </row>
        <row r="2812">
          <cell r="E2812">
            <v>1057587621</v>
          </cell>
          <cell r="F2812" t="str">
            <v>DIAGONAL 14 NO 28-34</v>
          </cell>
          <cell r="G2812">
            <v>3222229709</v>
          </cell>
        </row>
        <row r="2813">
          <cell r="E2813">
            <v>1052396079</v>
          </cell>
          <cell r="F2813" t="str">
            <v>BARRIO LIBERTADORES</v>
          </cell>
          <cell r="G2813">
            <v>3124838617</v>
          </cell>
        </row>
        <row r="2814">
          <cell r="E2814">
            <v>1053605835</v>
          </cell>
          <cell r="F2814" t="str">
            <v>VEREDA SAN ANTONIO</v>
          </cell>
          <cell r="G2814">
            <v>3106288359</v>
          </cell>
        </row>
        <row r="2815">
          <cell r="E2815">
            <v>1054678602</v>
          </cell>
          <cell r="F2815" t="str">
            <v>CARRERA 3A NO 16-165</v>
          </cell>
          <cell r="G2815">
            <v>281813</v>
          </cell>
        </row>
        <row r="2816">
          <cell r="E2816">
            <v>1057601755</v>
          </cell>
          <cell r="F2816" t="str">
            <v>CARRERA 24 NO 7-11 SOGAMOSO</v>
          </cell>
          <cell r="G2816">
            <v>3202195477</v>
          </cell>
        </row>
        <row r="2817">
          <cell r="E2817">
            <v>1058274553</v>
          </cell>
          <cell r="F2817" t="str">
            <v>CALLE 8 NO 7-60</v>
          </cell>
          <cell r="G2817">
            <v>7794136</v>
          </cell>
        </row>
        <row r="2818">
          <cell r="E2818">
            <v>46376601</v>
          </cell>
          <cell r="F2818" t="str">
            <v>CALLE 2 NO 26-29</v>
          </cell>
          <cell r="G2818">
            <v>3112670960</v>
          </cell>
        </row>
        <row r="2819">
          <cell r="E2819">
            <v>4179084</v>
          </cell>
          <cell r="F2819" t="str">
            <v>CALLE 11 NO 10-52</v>
          </cell>
          <cell r="G2819">
            <v>3115055631</v>
          </cell>
        </row>
        <row r="2820">
          <cell r="E2820">
            <v>1116614881</v>
          </cell>
          <cell r="F2820" t="str">
            <v>CALLE 2 NO 3-28</v>
          </cell>
          <cell r="G2820">
            <v>3133050927</v>
          </cell>
        </row>
        <row r="2821">
          <cell r="E2821">
            <v>1057547082</v>
          </cell>
          <cell r="F2821" t="str">
            <v>CENTRO PAYA</v>
          </cell>
          <cell r="G2821">
            <v>3203477552</v>
          </cell>
        </row>
        <row r="2822">
          <cell r="E2822">
            <v>1033739680</v>
          </cell>
          <cell r="F2822" t="str">
            <v>CARRERA 3 NO 4-48</v>
          </cell>
          <cell r="G2822">
            <v>3134999484</v>
          </cell>
        </row>
        <row r="2823">
          <cell r="E2823">
            <v>1054252445</v>
          </cell>
          <cell r="F2823" t="str">
            <v>SECTOR EL MORRO SOCOTA</v>
          </cell>
          <cell r="G2823">
            <v>3106494785</v>
          </cell>
        </row>
        <row r="2824">
          <cell r="E2824">
            <v>1053584336</v>
          </cell>
          <cell r="F2824" t="str">
            <v>VEREDA GUAQUIRA</v>
          </cell>
          <cell r="G2824">
            <v>3204153203</v>
          </cell>
        </row>
        <row r="2825">
          <cell r="E2825">
            <v>52954434</v>
          </cell>
          <cell r="F2825" t="str">
            <v>CALLE 8 NO 6-93</v>
          </cell>
          <cell r="G2825">
            <v>3103456887</v>
          </cell>
        </row>
        <row r="2826">
          <cell r="E2826">
            <v>1002740622</v>
          </cell>
          <cell r="F2826" t="str">
            <v>VEREDA LA CHACARA</v>
          </cell>
          <cell r="G2826">
            <v>3107761806</v>
          </cell>
        </row>
        <row r="2827">
          <cell r="E2827">
            <v>1053325446</v>
          </cell>
          <cell r="F2827" t="str">
            <v>CALLE 17 NO 10-40</v>
          </cell>
          <cell r="G2827">
            <v>3208779874</v>
          </cell>
        </row>
        <row r="2828">
          <cell r="E2828">
            <v>1057892547</v>
          </cell>
          <cell r="F2828" t="str">
            <v>ESE DE RAQUIRA</v>
          </cell>
          <cell r="G2828">
            <v>3114714266</v>
          </cell>
        </row>
        <row r="2829">
          <cell r="E2829">
            <v>901645765</v>
          </cell>
          <cell r="F2829" t="str">
            <v>CALLE 99 NO 47A-29</v>
          </cell>
          <cell r="G2829">
            <v>3142457414</v>
          </cell>
        </row>
        <row r="2830">
          <cell r="E2830">
            <v>1052381381</v>
          </cell>
          <cell r="F2830" t="str">
            <v>CALLE 25 # 19-75</v>
          </cell>
          <cell r="G2830">
            <v>0</v>
          </cell>
        </row>
        <row r="2831">
          <cell r="E2831">
            <v>805021984</v>
          </cell>
          <cell r="F2831" t="str">
            <v>CALLE 23 NO 8-39</v>
          </cell>
          <cell r="G2831">
            <v>7439904</v>
          </cell>
        </row>
        <row r="2832">
          <cell r="E2832">
            <v>860512237</v>
          </cell>
          <cell r="G2832">
            <v>0</v>
          </cell>
        </row>
        <row r="2833">
          <cell r="E2833">
            <v>826000923</v>
          </cell>
          <cell r="F2833" t="str">
            <v>CARRERA 9 NO 11-74 SOGAMOSO</v>
          </cell>
          <cell r="G2833">
            <v>7730494</v>
          </cell>
        </row>
        <row r="2834">
          <cell r="E2834">
            <v>800130907</v>
          </cell>
          <cell r="G2834">
            <v>0</v>
          </cell>
        </row>
        <row r="2835">
          <cell r="E2835">
            <v>830074184</v>
          </cell>
          <cell r="F2835" t="str">
            <v>CALLE 23 NO 8-39</v>
          </cell>
          <cell r="G2835">
            <v>7445402</v>
          </cell>
        </row>
        <row r="2836">
          <cell r="E2836">
            <v>800250119</v>
          </cell>
          <cell r="F2836" t="str">
            <v>CRA 6 NO 4-33</v>
          </cell>
          <cell r="G2836">
            <v>7445842</v>
          </cell>
        </row>
        <row r="2837">
          <cell r="E2837">
            <v>6768270</v>
          </cell>
          <cell r="F2837" t="str">
            <v>CARRERA 7 NO 6-68</v>
          </cell>
          <cell r="G2837">
            <v>7874016</v>
          </cell>
        </row>
        <row r="2838">
          <cell r="E2838">
            <v>1057463106</v>
          </cell>
          <cell r="F2838" t="str">
            <v>VEREDA PABELLON</v>
          </cell>
          <cell r="G2838">
            <v>3202384300</v>
          </cell>
        </row>
        <row r="2839">
          <cell r="E2839">
            <v>7228581</v>
          </cell>
          <cell r="F2839" t="str">
            <v>CALLE 23 NO 26-27</v>
          </cell>
          <cell r="G2839">
            <v>3197403411</v>
          </cell>
        </row>
        <row r="2840">
          <cell r="E2840">
            <v>1057736392</v>
          </cell>
          <cell r="F2840" t="str">
            <v>CENTRO VIRACACHA</v>
          </cell>
          <cell r="G2840">
            <v>3142714009</v>
          </cell>
        </row>
        <row r="2841">
          <cell r="E2841">
            <v>23963201</v>
          </cell>
          <cell r="F2841" t="str">
            <v>CALLE 5 NO 6-25</v>
          </cell>
          <cell r="G2841">
            <v>7327546</v>
          </cell>
        </row>
        <row r="2842">
          <cell r="E2842">
            <v>46378050</v>
          </cell>
          <cell r="F2842" t="str">
            <v>VEREDA LABRANZAGRANDE</v>
          </cell>
          <cell r="G2842">
            <v>3112665348</v>
          </cell>
        </row>
        <row r="2843">
          <cell r="E2843">
            <v>1056552064</v>
          </cell>
          <cell r="F2843" t="str">
            <v>CALLE 4 NO 3-03</v>
          </cell>
          <cell r="G2843">
            <v>3112699490</v>
          </cell>
        </row>
        <row r="2844">
          <cell r="E2844">
            <v>1051590737</v>
          </cell>
          <cell r="F2844" t="str">
            <v>ESE SALUD AQUITANIA</v>
          </cell>
          <cell r="G2844">
            <v>3177723023</v>
          </cell>
        </row>
        <row r="2845">
          <cell r="E2845">
            <v>23133156</v>
          </cell>
          <cell r="F2845" t="str">
            <v>CRA 9 NO 6-02</v>
          </cell>
          <cell r="G2845">
            <v>3115418279</v>
          </cell>
        </row>
        <row r="2846">
          <cell r="E2846">
            <v>1049646493</v>
          </cell>
          <cell r="F2846" t="str">
            <v>TR 9 NO 28A-22</v>
          </cell>
          <cell r="G2846">
            <v>3015391835</v>
          </cell>
        </row>
        <row r="2847">
          <cell r="E2847">
            <v>23676408</v>
          </cell>
          <cell r="F2847" t="str">
            <v>CENTRO LABRANZAGRANDE</v>
          </cell>
          <cell r="G2847">
            <v>3127602398</v>
          </cell>
        </row>
        <row r="2848">
          <cell r="E2848">
            <v>46384746</v>
          </cell>
          <cell r="F2848" t="str">
            <v>CALLE 7 NO 25-15</v>
          </cell>
          <cell r="G2848">
            <v>3133341624</v>
          </cell>
        </row>
        <row r="2849">
          <cell r="E2849">
            <v>23965830</v>
          </cell>
          <cell r="F2849" t="str">
            <v>CALLE 6 NO 6A 29</v>
          </cell>
          <cell r="G2849">
            <v>3142181553</v>
          </cell>
        </row>
        <row r="2850">
          <cell r="E2850">
            <v>1057466551</v>
          </cell>
          <cell r="F2850" t="str">
            <v>MANZANA D CASA 15 B PARAISO</v>
          </cell>
          <cell r="G2850">
            <v>3223408849</v>
          </cell>
        </row>
        <row r="2851">
          <cell r="E2851">
            <v>1057462966</v>
          </cell>
          <cell r="F2851" t="str">
            <v>VDA CAICEDA</v>
          </cell>
          <cell r="G2851">
            <v>3144402457</v>
          </cell>
        </row>
        <row r="2852">
          <cell r="E2852">
            <v>1055553431</v>
          </cell>
          <cell r="F2852" t="str">
            <v>ESE SAN PABLO DE BORBUR</v>
          </cell>
          <cell r="G2852">
            <v>0</v>
          </cell>
        </row>
        <row r="2853">
          <cell r="E2853">
            <v>47425409</v>
          </cell>
          <cell r="F2853" t="str">
            <v>CALLE 6 NO 7-39</v>
          </cell>
          <cell r="G2853">
            <v>3123589350</v>
          </cell>
        </row>
        <row r="2854">
          <cell r="E2854">
            <v>7224761</v>
          </cell>
          <cell r="F2854" t="str">
            <v>CARRERA 9 NO 7-30 AQUITANI</v>
          </cell>
          <cell r="G2854">
            <v>3144431210</v>
          </cell>
        </row>
        <row r="2855">
          <cell r="E2855">
            <v>23945915</v>
          </cell>
          <cell r="F2855" t="str">
            <v>CARRERA 14 2 SUR 46</v>
          </cell>
          <cell r="G2855">
            <v>3103283022</v>
          </cell>
        </row>
        <row r="2856">
          <cell r="E2856">
            <v>1053341621</v>
          </cell>
          <cell r="F2856" t="str">
            <v>CALLE 20 NO 14-22 CHIQUINQUIRA</v>
          </cell>
          <cell r="G2856">
            <v>3044588245</v>
          </cell>
        </row>
        <row r="2857">
          <cell r="E2857">
            <v>1002726072</v>
          </cell>
          <cell r="F2857" t="str">
            <v>CARRERA 45 NO 4-41 DUITAMA</v>
          </cell>
          <cell r="G2857">
            <v>3222296869</v>
          </cell>
        </row>
        <row r="2858">
          <cell r="E2858">
            <v>1056803395</v>
          </cell>
          <cell r="F2858" t="str">
            <v>CENTRO TASCO</v>
          </cell>
          <cell r="G2858">
            <v>3102420935</v>
          </cell>
        </row>
        <row r="2859">
          <cell r="E2859">
            <v>74323843</v>
          </cell>
          <cell r="F2859" t="str">
            <v>CALLE 23 NO 26-15</v>
          </cell>
          <cell r="G2859">
            <v>3152194809</v>
          </cell>
        </row>
        <row r="2860">
          <cell r="E2860">
            <v>1093753993</v>
          </cell>
          <cell r="F2860" t="str">
            <v>CALLE 10 NO 3-05 PAZ DE RIO</v>
          </cell>
          <cell r="G2860">
            <v>3125029797</v>
          </cell>
        </row>
        <row r="2861">
          <cell r="E2861">
            <v>1007901588</v>
          </cell>
          <cell r="F2861" t="str">
            <v>CENTRO SAN PABLO D EBORBUR</v>
          </cell>
          <cell r="G2861">
            <v>3150030031</v>
          </cell>
        </row>
        <row r="2862">
          <cell r="E2862">
            <v>1118537893</v>
          </cell>
          <cell r="F2862" t="str">
            <v>VEREDA PLATANALES</v>
          </cell>
          <cell r="G2862">
            <v>3203815649</v>
          </cell>
        </row>
        <row r="2863">
          <cell r="E2863">
            <v>1049615037</v>
          </cell>
          <cell r="F2863" t="str">
            <v>CARRERA 11 NO 60A-19</v>
          </cell>
          <cell r="G2863">
            <v>3133080372</v>
          </cell>
        </row>
        <row r="2864">
          <cell r="E2864">
            <v>35517832</v>
          </cell>
          <cell r="F2864" t="str">
            <v>CARRERA 18 NO 13-26</v>
          </cell>
          <cell r="G2864">
            <v>3102224491</v>
          </cell>
        </row>
        <row r="2865">
          <cell r="E2865">
            <v>1022372881</v>
          </cell>
          <cell r="F2865" t="str">
            <v>VARRERA 25 NO 4-10</v>
          </cell>
          <cell r="G2865">
            <v>3115862350</v>
          </cell>
        </row>
        <row r="2866">
          <cell r="E2866">
            <v>46381778</v>
          </cell>
          <cell r="F2866" t="str">
            <v>CALLE 11 NO 10A-08</v>
          </cell>
          <cell r="G2866">
            <v>3143298160</v>
          </cell>
        </row>
        <row r="2867">
          <cell r="E2867">
            <v>51905584</v>
          </cell>
          <cell r="F2867" t="str">
            <v>CARRERA 5 CALLE 4</v>
          </cell>
          <cell r="G2867">
            <v>3164450915</v>
          </cell>
        </row>
        <row r="2868">
          <cell r="E2868">
            <v>80769519</v>
          </cell>
          <cell r="F2868" t="str">
            <v>CARRERA 11 NO 11-45</v>
          </cell>
          <cell r="G2868">
            <v>0</v>
          </cell>
        </row>
        <row r="2869">
          <cell r="E2869">
            <v>7184952</v>
          </cell>
          <cell r="F2869" t="str">
            <v>CARRERA 10A BIS NO 28-112</v>
          </cell>
          <cell r="G2869">
            <v>3212510264</v>
          </cell>
        </row>
        <row r="2870">
          <cell r="E2870">
            <v>1015453398</v>
          </cell>
          <cell r="F2870" t="str">
            <v>CALLE 16 NO 11-51</v>
          </cell>
          <cell r="G2870">
            <v>3125061077</v>
          </cell>
        </row>
        <row r="2871">
          <cell r="E2871">
            <v>23966389</v>
          </cell>
          <cell r="F2871" t="str">
            <v>CALLE 9 NO 4-50</v>
          </cell>
          <cell r="G2871">
            <v>3123034694</v>
          </cell>
        </row>
        <row r="2872">
          <cell r="E2872">
            <v>52054473</v>
          </cell>
          <cell r="F2872" t="str">
            <v>CRA 10 NO 7-83</v>
          </cell>
          <cell r="G2872">
            <v>3144737312</v>
          </cell>
        </row>
        <row r="2873">
          <cell r="E2873">
            <v>74130932</v>
          </cell>
          <cell r="F2873" t="str">
            <v>CALLE 25 NO. 23-13</v>
          </cell>
          <cell r="G2873">
            <v>3142032706</v>
          </cell>
        </row>
        <row r="2874">
          <cell r="E2874">
            <v>52827001</v>
          </cell>
          <cell r="F2874" t="str">
            <v>CALLE 4 NO 4-11 SANTA MARIA</v>
          </cell>
          <cell r="G2874">
            <v>3102954255</v>
          </cell>
        </row>
        <row r="2875">
          <cell r="E2875">
            <v>6773442</v>
          </cell>
          <cell r="F2875" t="str">
            <v>CARRERA 13 NO 22-49 TUNJA</v>
          </cell>
          <cell r="G2875">
            <v>3214617023</v>
          </cell>
        </row>
        <row r="2876">
          <cell r="E2876">
            <v>1002683372</v>
          </cell>
          <cell r="F2876" t="str">
            <v>CENTRO UMBITA</v>
          </cell>
          <cell r="G2876">
            <v>3228155952</v>
          </cell>
        </row>
        <row r="2877">
          <cell r="E2877">
            <v>40031168</v>
          </cell>
          <cell r="F2877" t="str">
            <v>CALLE 11 NO 17-10</v>
          </cell>
          <cell r="G2877">
            <v>3143719009</v>
          </cell>
        </row>
        <row r="2878">
          <cell r="E2878">
            <v>1049639057</v>
          </cell>
          <cell r="F2878" t="str">
            <v>CALLE 5 NO 6-40</v>
          </cell>
          <cell r="G2878">
            <v>3114786877</v>
          </cell>
        </row>
        <row r="2879">
          <cell r="E2879">
            <v>1002621859</v>
          </cell>
          <cell r="F2879" t="str">
            <v>CARRERA 6 NO 8-09</v>
          </cell>
          <cell r="G2879">
            <v>3223756186</v>
          </cell>
        </row>
        <row r="2880">
          <cell r="E2880">
            <v>1051476451</v>
          </cell>
          <cell r="F2880" t="str">
            <v>CARRERA 10 NO 7-82</v>
          </cell>
          <cell r="G2880">
            <v>3132714522</v>
          </cell>
        </row>
        <row r="2881">
          <cell r="E2881">
            <v>9636385</v>
          </cell>
          <cell r="F2881" t="str">
            <v>CRA 23 NO 13-64</v>
          </cell>
          <cell r="G2881">
            <v>3138759432</v>
          </cell>
        </row>
        <row r="2882">
          <cell r="E2882">
            <v>1049607539</v>
          </cell>
          <cell r="F2882" t="str">
            <v>CRA 8 NO 2-40</v>
          </cell>
          <cell r="G2882">
            <v>3204996780</v>
          </cell>
        </row>
        <row r="2883">
          <cell r="E2883">
            <v>1113683187</v>
          </cell>
          <cell r="F2883" t="str">
            <v>CALLE 46 NO 10B-36 SOGAMOSO</v>
          </cell>
          <cell r="G2883">
            <v>3028457830</v>
          </cell>
        </row>
        <row r="2884">
          <cell r="E2884">
            <v>19115044</v>
          </cell>
          <cell r="F2884" t="str">
            <v>KM 2 VIA PAQIPA DUITAMA</v>
          </cell>
          <cell r="G2884">
            <v>310688562</v>
          </cell>
        </row>
        <row r="2885">
          <cell r="E2885">
            <v>80250626</v>
          </cell>
          <cell r="F2885" t="str">
            <v>CALLE 6 NO 5-44</v>
          </cell>
          <cell r="G2885">
            <v>3137774673</v>
          </cell>
        </row>
        <row r="2886">
          <cell r="E2886">
            <v>46369398</v>
          </cell>
          <cell r="F2886" t="str">
            <v>CALLE 3 NO 26-34</v>
          </cell>
          <cell r="G2886">
            <v>3103042613</v>
          </cell>
        </row>
        <row r="2887">
          <cell r="E2887">
            <v>1052400116</v>
          </cell>
          <cell r="F2887" t="str">
            <v>TRANSVERSAL 47 NO 7A 08 DUITAMA</v>
          </cell>
          <cell r="G2887">
            <v>3202035512</v>
          </cell>
        </row>
        <row r="2888">
          <cell r="E2888">
            <v>1026270395</v>
          </cell>
          <cell r="F2888" t="str">
            <v>CARRERA 30A NO 21-17</v>
          </cell>
          <cell r="G2888">
            <v>3202036377</v>
          </cell>
        </row>
        <row r="2889">
          <cell r="E2889">
            <v>1049627802</v>
          </cell>
          <cell r="F2889" t="str">
            <v>HOSPITAL DE SOCHA</v>
          </cell>
          <cell r="G2889">
            <v>7874016</v>
          </cell>
        </row>
        <row r="2890">
          <cell r="E2890">
            <v>1056710200</v>
          </cell>
          <cell r="F2890" t="str">
            <v>CENTRO PISBA</v>
          </cell>
          <cell r="G2890">
            <v>3208029466</v>
          </cell>
        </row>
        <row r="2891">
          <cell r="E2891">
            <v>1002677043</v>
          </cell>
          <cell r="F2891" t="str">
            <v>BARRIO NUEVA ESPERANZA CASA 2 SACHICA</v>
          </cell>
          <cell r="G2891">
            <v>3114445433</v>
          </cell>
        </row>
        <row r="2892">
          <cell r="E2892">
            <v>800251440</v>
          </cell>
          <cell r="F2892" t="str">
            <v>CALLE 163B NO 28-60</v>
          </cell>
          <cell r="G2892">
            <v>3759000</v>
          </cell>
        </row>
        <row r="2893">
          <cell r="E2893">
            <v>1042970914</v>
          </cell>
          <cell r="F2893" t="str">
            <v>ESE DE PAYA</v>
          </cell>
          <cell r="G2893">
            <v>3222345470</v>
          </cell>
        </row>
        <row r="2894">
          <cell r="E2894">
            <v>40027787</v>
          </cell>
          <cell r="F2894" t="str">
            <v>CALLE 7 NO 4-49</v>
          </cell>
          <cell r="G2894">
            <v>3118311756</v>
          </cell>
        </row>
        <row r="2895">
          <cell r="E2895">
            <v>23944745</v>
          </cell>
          <cell r="F2895" t="str">
            <v>CALLE 6 NO 7-77</v>
          </cell>
          <cell r="G2895">
            <v>3132305209</v>
          </cell>
        </row>
        <row r="2896">
          <cell r="E2896">
            <v>4218163</v>
          </cell>
          <cell r="F2896" t="str">
            <v>CALLE 1A NO 14-63</v>
          </cell>
          <cell r="G2896">
            <v>3132148849</v>
          </cell>
        </row>
        <row r="2897">
          <cell r="E2897">
            <v>1052313656</v>
          </cell>
          <cell r="F2897" t="str">
            <v>CALLE 8 NO 2-30</v>
          </cell>
          <cell r="G2897">
            <v>3046553673</v>
          </cell>
        </row>
        <row r="2898">
          <cell r="E2898">
            <v>1051477828</v>
          </cell>
          <cell r="F2898" t="str">
            <v>VEREDA DE VARGAS AQUITANIA</v>
          </cell>
          <cell r="G2898">
            <v>3223713494</v>
          </cell>
        </row>
        <row r="2899">
          <cell r="E2899">
            <v>1051474743</v>
          </cell>
          <cell r="F2899" t="str">
            <v>CALE 5 NO 5 50</v>
          </cell>
          <cell r="G2899">
            <v>3133938557</v>
          </cell>
        </row>
        <row r="2900">
          <cell r="E2900">
            <v>1057591093</v>
          </cell>
          <cell r="F2900" t="str">
            <v>CALLE 2A NO 17-27</v>
          </cell>
          <cell r="G2900">
            <v>3232039255</v>
          </cell>
        </row>
        <row r="2901">
          <cell r="E2901">
            <v>1002415057</v>
          </cell>
          <cell r="F2901" t="str">
            <v>CARRERA 11 NO 18-11 AQUITANIA</v>
          </cell>
          <cell r="G2901">
            <v>3147355813</v>
          </cell>
        </row>
        <row r="2902">
          <cell r="E2902">
            <v>20923732</v>
          </cell>
          <cell r="F2902" t="str">
            <v>CALLE 5 NO 6-88</v>
          </cell>
          <cell r="G2902">
            <v>3103336779</v>
          </cell>
        </row>
        <row r="2903">
          <cell r="E2903">
            <v>20922299</v>
          </cell>
          <cell r="F2903" t="str">
            <v>CALLE 3 NO 6-30</v>
          </cell>
          <cell r="G2903">
            <v>3162282940</v>
          </cell>
        </row>
        <row r="2904">
          <cell r="E2904">
            <v>1051212059</v>
          </cell>
          <cell r="F2904" t="str">
            <v>BARRIO MIRAFLORES RAQUIRA</v>
          </cell>
          <cell r="G2904">
            <v>3108043730</v>
          </cell>
        </row>
        <row r="2905">
          <cell r="E2905">
            <v>24213275</v>
          </cell>
          <cell r="F2905" t="str">
            <v>VEREDA CHUZCAL</v>
          </cell>
          <cell r="G2905">
            <v>3197792282</v>
          </cell>
        </row>
        <row r="2906">
          <cell r="E2906">
            <v>1057017237</v>
          </cell>
          <cell r="F2906" t="str">
            <v>CALLE 1A NO 1A-1 QUIPAMA</v>
          </cell>
          <cell r="G2906">
            <v>3124490186</v>
          </cell>
        </row>
        <row r="2907">
          <cell r="E2907">
            <v>46672517</v>
          </cell>
          <cell r="F2907" t="str">
            <v>CALLE 25 NO 19-18</v>
          </cell>
          <cell r="G2907">
            <v>3124863206</v>
          </cell>
        </row>
        <row r="2908">
          <cell r="E2908">
            <v>1049614225</v>
          </cell>
          <cell r="F2908" t="str">
            <v>CALLE 66 NO 9-06</v>
          </cell>
          <cell r="G2908">
            <v>3114706878</v>
          </cell>
        </row>
        <row r="2909">
          <cell r="E2909">
            <v>23700678</v>
          </cell>
          <cell r="F2909" t="str">
            <v>CARRERA 5 NO 3-42</v>
          </cell>
          <cell r="G2909">
            <v>3125852518</v>
          </cell>
        </row>
        <row r="2910">
          <cell r="E2910">
            <v>1051477155</v>
          </cell>
          <cell r="F2910" t="str">
            <v>TRANSV 7 NO 7-36</v>
          </cell>
          <cell r="G2910">
            <v>3102472431</v>
          </cell>
        </row>
        <row r="2911">
          <cell r="E2911">
            <v>899999061</v>
          </cell>
          <cell r="G2911">
            <v>0</v>
          </cell>
        </row>
        <row r="2912">
          <cell r="E2912">
            <v>1077320705</v>
          </cell>
          <cell r="F2912" t="str">
            <v>SOCOTA CENTRO</v>
          </cell>
          <cell r="G2912">
            <v>3143695761</v>
          </cell>
        </row>
        <row r="2913">
          <cell r="E2913">
            <v>860070374</v>
          </cell>
          <cell r="F2913" t="str">
            <v>CALLE 82 NO 11 37 PISO 7</v>
          </cell>
          <cell r="G2913">
            <v>7702710</v>
          </cell>
        </row>
        <row r="2914">
          <cell r="E2914">
            <v>860009174</v>
          </cell>
          <cell r="F2914" t="str">
            <v>CRA 11 NO 90-20</v>
          </cell>
          <cell r="G2914">
            <v>3078288</v>
          </cell>
        </row>
        <row r="2915">
          <cell r="E2915">
            <v>860009578</v>
          </cell>
          <cell r="F2915" t="str">
            <v>CRA 11 NO 90-20</v>
          </cell>
          <cell r="G2915">
            <v>2186977</v>
          </cell>
        </row>
        <row r="2916">
          <cell r="E2916">
            <v>846000244</v>
          </cell>
          <cell r="G2916">
            <v>0</v>
          </cell>
        </row>
        <row r="2917">
          <cell r="E2917">
            <v>899999034</v>
          </cell>
          <cell r="F2917" t="str">
            <v>CRA 9 NO 28-38</v>
          </cell>
          <cell r="G2917">
            <v>7443397</v>
          </cell>
        </row>
        <row r="2918">
          <cell r="E2918">
            <v>24090044</v>
          </cell>
          <cell r="F2918" t="str">
            <v>CENTRO SOCOTA</v>
          </cell>
          <cell r="G2918">
            <v>3204937415</v>
          </cell>
        </row>
        <row r="2919">
          <cell r="E2919">
            <v>91233255</v>
          </cell>
          <cell r="F2919" t="str">
            <v>VEREDA MOTAVITA SOCOTA</v>
          </cell>
          <cell r="G2919">
            <v>3213294234</v>
          </cell>
        </row>
        <row r="2920">
          <cell r="E2920">
            <v>74389985</v>
          </cell>
          <cell r="F2920" t="str">
            <v>CARRERA 8 NO 7B-06</v>
          </cell>
          <cell r="G2920">
            <v>3112684213</v>
          </cell>
        </row>
        <row r="2921">
          <cell r="E2921">
            <v>23324400</v>
          </cell>
          <cell r="F2921" t="str">
            <v>CARRERA 5 # 6-59</v>
          </cell>
          <cell r="G2921">
            <v>0</v>
          </cell>
        </row>
        <row r="2922">
          <cell r="E2922">
            <v>1053325163</v>
          </cell>
          <cell r="F2922" t="str">
            <v>CALLE 5 NO 13-97 CHIQUINQUIRA</v>
          </cell>
          <cell r="G2922">
            <v>3008650149</v>
          </cell>
        </row>
        <row r="2923">
          <cell r="E2923">
            <v>74380069</v>
          </cell>
          <cell r="F2923" t="str">
            <v>CALLE 8 NO 7-60</v>
          </cell>
          <cell r="G2923">
            <v>3153230092</v>
          </cell>
        </row>
        <row r="2924">
          <cell r="E2924">
            <v>1049602461</v>
          </cell>
          <cell r="F2924" t="str">
            <v>CALLE 31 NO 31-8 SOGAMOSO</v>
          </cell>
          <cell r="G2924">
            <v>3214167224</v>
          </cell>
        </row>
        <row r="2925">
          <cell r="E2925">
            <v>40024046</v>
          </cell>
          <cell r="F2925" t="str">
            <v>CRA 12 NO 21-12</v>
          </cell>
          <cell r="G2925">
            <v>7442016</v>
          </cell>
        </row>
        <row r="2926">
          <cell r="E2926">
            <v>805001157</v>
          </cell>
          <cell r="G2926">
            <v>0</v>
          </cell>
        </row>
        <row r="2927">
          <cell r="E2927">
            <v>820004399</v>
          </cell>
          <cell r="F2927" t="str">
            <v>CALLE 21 NO 12-09_x000D_
CALLE 21 NO 12-09</v>
          </cell>
          <cell r="G2927">
            <v>7430391</v>
          </cell>
        </row>
        <row r="2928">
          <cell r="E2928">
            <v>860512330</v>
          </cell>
          <cell r="F2928" t="str">
            <v>CALLE 6 NO 34A-11</v>
          </cell>
          <cell r="G2928">
            <v>7700200</v>
          </cell>
        </row>
        <row r="2929">
          <cell r="E2929">
            <v>4211100</v>
          </cell>
          <cell r="F2929" t="str">
            <v>CALLE 12 N 16-68</v>
          </cell>
          <cell r="G2929">
            <v>0</v>
          </cell>
        </row>
        <row r="2930">
          <cell r="E2930">
            <v>1002548031</v>
          </cell>
          <cell r="F2930" t="str">
            <v>CALLE 4 NO 3-14 JERICO</v>
          </cell>
          <cell r="G2930">
            <v>3107753590</v>
          </cell>
        </row>
        <row r="2931">
          <cell r="E2931">
            <v>1002548050</v>
          </cell>
          <cell r="F2931" t="str">
            <v>BARRIO NUEVO AMANECERQ</v>
          </cell>
          <cell r="G2931">
            <v>3124484668</v>
          </cell>
        </row>
        <row r="2932">
          <cell r="E2932">
            <v>1048822610</v>
          </cell>
          <cell r="F2932" t="str">
            <v>CENTRO JERICO</v>
          </cell>
          <cell r="G2932">
            <v>3105517609</v>
          </cell>
        </row>
        <row r="2933">
          <cell r="E2933">
            <v>23770019</v>
          </cell>
          <cell r="F2933" t="str">
            <v>CRA 4 NO 5-38</v>
          </cell>
          <cell r="G2933">
            <v>3124628348</v>
          </cell>
        </row>
        <row r="2934">
          <cell r="E2934">
            <v>46374591</v>
          </cell>
          <cell r="F2934" t="str">
            <v>CALLE 3 NO 10-135</v>
          </cell>
          <cell r="G2934">
            <v>3112634207</v>
          </cell>
        </row>
        <row r="2935">
          <cell r="E2935">
            <v>1057591736</v>
          </cell>
          <cell r="F2935" t="str">
            <v>CRA 4 NO 4-125</v>
          </cell>
          <cell r="G2935">
            <v>3118327996</v>
          </cell>
        </row>
        <row r="2936">
          <cell r="E2936">
            <v>1057892075</v>
          </cell>
          <cell r="F2936" t="str">
            <v>CALLE 1 NO 5-10</v>
          </cell>
          <cell r="G2936">
            <v>7357216</v>
          </cell>
        </row>
        <row r="2937">
          <cell r="E2937">
            <v>1056613369</v>
          </cell>
          <cell r="F2937" t="str">
            <v>CARRERA 6 NO 6-51</v>
          </cell>
          <cell r="G2937">
            <v>3143185358</v>
          </cell>
        </row>
        <row r="2938">
          <cell r="E2938">
            <v>46370377</v>
          </cell>
          <cell r="F2938" t="str">
            <v>RIO CHIQUITO</v>
          </cell>
          <cell r="G2938">
            <v>3118160361</v>
          </cell>
        </row>
        <row r="2939">
          <cell r="E2939">
            <v>24010707</v>
          </cell>
          <cell r="F2939" t="str">
            <v>MANZANA A CASA 1URB NUEVA ESPERANZA</v>
          </cell>
          <cell r="G2939">
            <v>3214939614</v>
          </cell>
        </row>
        <row r="2940">
          <cell r="E2940">
            <v>1053665522</v>
          </cell>
          <cell r="F2940" t="str">
            <v>CALLE 3 NO 3 36 PAZ DE RIO</v>
          </cell>
          <cell r="G2940">
            <v>3106982209</v>
          </cell>
        </row>
        <row r="2941">
          <cell r="E2941">
            <v>1056800483</v>
          </cell>
          <cell r="F2941" t="str">
            <v>VEREDA ARRAYAN ALTO SACHICA</v>
          </cell>
          <cell r="G2941">
            <v>3226392790</v>
          </cell>
        </row>
        <row r="2942">
          <cell r="E2942">
            <v>1002455113</v>
          </cell>
          <cell r="F2942" t="str">
            <v>CARRERA 4 NO 9-41</v>
          </cell>
          <cell r="G2942">
            <v>3228180555</v>
          </cell>
        </row>
        <row r="2943">
          <cell r="E2943">
            <v>39528486</v>
          </cell>
          <cell r="F2943" t="str">
            <v>CARRERA 3 NO 2-2</v>
          </cell>
          <cell r="G2943">
            <v>3134215413</v>
          </cell>
        </row>
        <row r="2944">
          <cell r="E2944">
            <v>9399078</v>
          </cell>
          <cell r="F2944" t="str">
            <v>CENTRO</v>
          </cell>
          <cell r="G2944">
            <v>3204898051</v>
          </cell>
        </row>
        <row r="2945">
          <cell r="E2945">
            <v>51933760</v>
          </cell>
          <cell r="F2945" t="str">
            <v>CARRERA 27 NO 8-36 SOGAMOSO</v>
          </cell>
          <cell r="G2945">
            <v>3125493055</v>
          </cell>
        </row>
        <row r="2946">
          <cell r="E2946">
            <v>46384065</v>
          </cell>
          <cell r="F2946" t="str">
            <v>ESE LABRANZAGRANDE</v>
          </cell>
          <cell r="G2946">
            <v>3143708686</v>
          </cell>
        </row>
        <row r="2947">
          <cell r="E2947">
            <v>46386304</v>
          </cell>
          <cell r="F2947" t="str">
            <v>CARRERA 8 NO 8-26</v>
          </cell>
          <cell r="G2947">
            <v>3108884005</v>
          </cell>
        </row>
        <row r="2948">
          <cell r="E2948">
            <v>1051476701</v>
          </cell>
          <cell r="F2948" t="str">
            <v>CARRERA 6 NO 5-75</v>
          </cell>
          <cell r="G2948">
            <v>3138794948</v>
          </cell>
        </row>
        <row r="2949">
          <cell r="E2949">
            <v>40048695</v>
          </cell>
          <cell r="F2949" t="str">
            <v>CARRERA 7 NO 7-21</v>
          </cell>
          <cell r="G2949">
            <v>7327546</v>
          </cell>
        </row>
        <row r="2950">
          <cell r="E2950">
            <v>1049605437</v>
          </cell>
          <cell r="F2950" t="str">
            <v>CARRERA 3 NO 8-29</v>
          </cell>
          <cell r="G2950">
            <v>3124460369</v>
          </cell>
        </row>
        <row r="2951">
          <cell r="E2951">
            <v>1020791191</v>
          </cell>
          <cell r="F2951" t="str">
            <v>VEREDA URERO</v>
          </cell>
          <cell r="G2951">
            <v>3213828857</v>
          </cell>
        </row>
        <row r="2952">
          <cell r="E2952">
            <v>4278159</v>
          </cell>
          <cell r="F2952" t="str">
            <v>CALLE 24 NO 22-35 CENTRO</v>
          </cell>
          <cell r="G2952">
            <v>0</v>
          </cell>
        </row>
        <row r="2953">
          <cell r="E2953">
            <v>1055710664</v>
          </cell>
          <cell r="F2953" t="str">
            <v>TINJACA CENTRO</v>
          </cell>
          <cell r="G2953">
            <v>3142732629</v>
          </cell>
        </row>
        <row r="2954">
          <cell r="E2954">
            <v>7169949</v>
          </cell>
          <cell r="F2954" t="str">
            <v>CRA 4 N 3-39</v>
          </cell>
          <cell r="G2954">
            <v>0</v>
          </cell>
        </row>
        <row r="2955">
          <cell r="E2955">
            <v>52492863</v>
          </cell>
          <cell r="F2955" t="str">
            <v>VEREDA MONTE REDONDO</v>
          </cell>
          <cell r="G2955">
            <v>3138189003</v>
          </cell>
        </row>
        <row r="2956">
          <cell r="E2956">
            <v>4242924</v>
          </cell>
          <cell r="F2956" t="str">
            <v>CALLE 14A NO 18-09</v>
          </cell>
          <cell r="G2956">
            <v>3124319460</v>
          </cell>
        </row>
        <row r="2957">
          <cell r="E2957">
            <v>13703923</v>
          </cell>
          <cell r="F2957" t="str">
            <v>CARRERA 33A NO 18-88</v>
          </cell>
          <cell r="G2957">
            <v>3194800342</v>
          </cell>
        </row>
        <row r="2958">
          <cell r="E2958">
            <v>1002727876</v>
          </cell>
          <cell r="F2958" t="str">
            <v>BARRIO SAN ANTONIO</v>
          </cell>
          <cell r="G2958">
            <v>3135037525</v>
          </cell>
        </row>
        <row r="2959">
          <cell r="E2959">
            <v>1000136396</v>
          </cell>
          <cell r="F2959" t="str">
            <v>CARRERA 2 NO 3-305 SOGA</v>
          </cell>
          <cell r="G2959">
            <v>3222912671</v>
          </cell>
        </row>
        <row r="2960">
          <cell r="E2960">
            <v>1057596866</v>
          </cell>
          <cell r="F2960" t="str">
            <v>CARRERA 3 NO 38-42 TOPAGA</v>
          </cell>
          <cell r="G2960">
            <v>3232019601</v>
          </cell>
        </row>
        <row r="2961">
          <cell r="E2961">
            <v>1053665226</v>
          </cell>
          <cell r="F2961" t="str">
            <v>CARRERA 2 NO 4-22</v>
          </cell>
          <cell r="G2961">
            <v>3156575463</v>
          </cell>
        </row>
        <row r="2962">
          <cell r="E2962">
            <v>23582903</v>
          </cell>
          <cell r="F2962" t="str">
            <v>CARRERA 5 NO 9-84</v>
          </cell>
          <cell r="G2962">
            <v>3196418524</v>
          </cell>
        </row>
        <row r="2963">
          <cell r="E2963">
            <v>890205438</v>
          </cell>
          <cell r="F2963" t="str">
            <v>CALLE 25 NO 20-60 OF 306</v>
          </cell>
          <cell r="G2963">
            <v>7853512</v>
          </cell>
        </row>
        <row r="2964">
          <cell r="E2964">
            <v>1032415598</v>
          </cell>
          <cell r="F2964" t="str">
            <v>VDA MONTERO</v>
          </cell>
          <cell r="G2964">
            <v>3132593283</v>
          </cell>
        </row>
        <row r="2965">
          <cell r="E2965">
            <v>800148514</v>
          </cell>
          <cell r="G2965">
            <v>0</v>
          </cell>
        </row>
        <row r="2966">
          <cell r="E2966">
            <v>826002334</v>
          </cell>
          <cell r="F2966" t="str">
            <v>CARRERA 21 NO 23-02 PAIPA</v>
          </cell>
          <cell r="G2966">
            <v>3133099298</v>
          </cell>
        </row>
        <row r="2967">
          <cell r="E2967">
            <v>74358561</v>
          </cell>
          <cell r="F2967" t="str">
            <v>CALLE 26 NO 22-05</v>
          </cell>
          <cell r="G2967">
            <v>7850170</v>
          </cell>
        </row>
        <row r="2968">
          <cell r="E2968">
            <v>1057574837</v>
          </cell>
          <cell r="F2968" t="str">
            <v>CENTRO GAMEZA</v>
          </cell>
          <cell r="G2968">
            <v>3138799629</v>
          </cell>
        </row>
        <row r="2969">
          <cell r="E2969">
            <v>1057585572</v>
          </cell>
          <cell r="F2969" t="str">
            <v>CENTRO</v>
          </cell>
          <cell r="G2969">
            <v>3209713004</v>
          </cell>
        </row>
        <row r="2970">
          <cell r="E2970">
            <v>46371456</v>
          </cell>
          <cell r="F2970" t="str">
            <v>CARRERA 3A NO 4A-22 NOBSA</v>
          </cell>
          <cell r="G2970">
            <v>3184263865</v>
          </cell>
        </row>
        <row r="2971">
          <cell r="E2971">
            <v>800242106</v>
          </cell>
          <cell r="F2971" t="str">
            <v>HOMECENTER TUNJA</v>
          </cell>
          <cell r="G2971">
            <v>3208899933</v>
          </cell>
        </row>
        <row r="2972">
          <cell r="E2972">
            <v>1058038162</v>
          </cell>
          <cell r="F2972" t="str">
            <v>MANZANA 2 CASA 8 B LOS ZAMBALES TOPAGA</v>
          </cell>
          <cell r="G2972">
            <v>3133913257</v>
          </cell>
        </row>
        <row r="2973">
          <cell r="E2973">
            <v>1010108228</v>
          </cell>
          <cell r="F2973" t="str">
            <v>CALLE 2 NO 1-41</v>
          </cell>
          <cell r="G2973">
            <v>3134419520</v>
          </cell>
        </row>
        <row r="2974">
          <cell r="E2974">
            <v>1055504383</v>
          </cell>
          <cell r="F2974" t="str">
            <v>CARRERA 11 NO 9-80</v>
          </cell>
          <cell r="G2974">
            <v>3143887824</v>
          </cell>
        </row>
        <row r="2975">
          <cell r="E2975">
            <v>10024588312</v>
          </cell>
          <cell r="F2975" t="str">
            <v>ESE DE LABRANZAGRANDE</v>
          </cell>
          <cell r="G2975">
            <v>3015084814</v>
          </cell>
        </row>
        <row r="2976">
          <cell r="E2976">
            <v>4217281</v>
          </cell>
          <cell r="F2976" t="str">
            <v>VEREDA HATO VIEJO</v>
          </cell>
          <cell r="G2976">
            <v>3124052974</v>
          </cell>
        </row>
        <row r="2977">
          <cell r="E2977">
            <v>46387425</v>
          </cell>
          <cell r="F2977" t="str">
            <v>CALLE 4 NO 5-35</v>
          </cell>
          <cell r="G2977">
            <v>7794681</v>
          </cell>
        </row>
        <row r="2978">
          <cell r="E2978">
            <v>4053173</v>
          </cell>
          <cell r="F2978" t="str">
            <v>CALLE 8 NO 5-40</v>
          </cell>
          <cell r="G2978">
            <v>3118964838</v>
          </cell>
        </row>
        <row r="2979">
          <cell r="E2979">
            <v>1052412372</v>
          </cell>
          <cell r="F2979" t="str">
            <v>CARRERA 4 NO 6-18</v>
          </cell>
          <cell r="G2979">
            <v>3024432213</v>
          </cell>
        </row>
        <row r="2980">
          <cell r="E2980">
            <v>1024509072</v>
          </cell>
          <cell r="F2980" t="str">
            <v>CARRERA 7 NO 7-21</v>
          </cell>
          <cell r="G2980">
            <v>7327546</v>
          </cell>
        </row>
        <row r="2981">
          <cell r="E2981">
            <v>1049633717</v>
          </cell>
          <cell r="F2981" t="str">
            <v>CRA 21 NO 25-37</v>
          </cell>
          <cell r="G2981">
            <v>3108705732</v>
          </cell>
        </row>
        <row r="2982">
          <cell r="E2982">
            <v>52533964</v>
          </cell>
          <cell r="F2982" t="str">
            <v>CALLE NO 1B 03</v>
          </cell>
          <cell r="G2982">
            <v>3123052169</v>
          </cell>
        </row>
        <row r="2983">
          <cell r="E2983">
            <v>804001273</v>
          </cell>
          <cell r="F2983" t="str">
            <v>CRA 9 NO 22-58</v>
          </cell>
          <cell r="G2983">
            <v>7423435</v>
          </cell>
        </row>
        <row r="2984">
          <cell r="E2984">
            <v>900072847</v>
          </cell>
          <cell r="F2984" t="str">
            <v>AV LIBERTADORES NO 32A-12</v>
          </cell>
          <cell r="G2984">
            <v>7850334</v>
          </cell>
        </row>
        <row r="2985">
          <cell r="E2985">
            <v>900863972</v>
          </cell>
          <cell r="F2985" t="str">
            <v>CARRERA 6 NO 9-50 CENTRO</v>
          </cell>
          <cell r="G2985">
            <v>3203704300</v>
          </cell>
        </row>
        <row r="2986">
          <cell r="E2986">
            <v>900355664</v>
          </cell>
          <cell r="F2986" t="str">
            <v>CALLE 25 NO 22-19 CENTRO</v>
          </cell>
          <cell r="G2986">
            <v>312376642</v>
          </cell>
        </row>
        <row r="2987">
          <cell r="E2987">
            <v>52472694</v>
          </cell>
          <cell r="F2987" t="str">
            <v>CARRERA 14 NO 28-21</v>
          </cell>
          <cell r="G2987">
            <v>3193487890</v>
          </cell>
        </row>
        <row r="2988">
          <cell r="E2988">
            <v>23965789</v>
          </cell>
          <cell r="F2988" t="str">
            <v>CARERA 12 NO 3-75</v>
          </cell>
          <cell r="G2988">
            <v>7327546</v>
          </cell>
        </row>
        <row r="2989">
          <cell r="E2989">
            <v>1058325492</v>
          </cell>
          <cell r="F2989" t="str">
            <v>CALLE 3 NO 4-34</v>
          </cell>
          <cell r="G2989">
            <v>3104429107</v>
          </cell>
        </row>
        <row r="2990">
          <cell r="E2990">
            <v>1049623477</v>
          </cell>
          <cell r="F2990" t="str">
            <v>CRA 16 NO 27-99</v>
          </cell>
          <cell r="G2990">
            <v>3142816879</v>
          </cell>
        </row>
        <row r="2991">
          <cell r="E2991">
            <v>40015756</v>
          </cell>
          <cell r="F2991" t="str">
            <v>CENTRO VILLA DE LEYVA</v>
          </cell>
          <cell r="G2991">
            <v>0</v>
          </cell>
        </row>
        <row r="2992">
          <cell r="E2992">
            <v>4015756</v>
          </cell>
          <cell r="F2992" t="str">
            <v>CRA 4 NO 15-10</v>
          </cell>
          <cell r="G2992">
            <v>3203180611</v>
          </cell>
        </row>
        <row r="2993">
          <cell r="E2993">
            <v>75640015</v>
          </cell>
          <cell r="G2993">
            <v>0</v>
          </cell>
        </row>
        <row r="2994">
          <cell r="E2994">
            <v>74375612</v>
          </cell>
          <cell r="F2994" t="str">
            <v>CALLE 15 NO 10 18</v>
          </cell>
          <cell r="G2994">
            <v>3115675542</v>
          </cell>
        </row>
        <row r="2995">
          <cell r="E2995">
            <v>46451816</v>
          </cell>
          <cell r="F2995" t="str">
            <v>CALLE 15 NO 10-18</v>
          </cell>
          <cell r="G2995">
            <v>3143012999</v>
          </cell>
        </row>
        <row r="2996">
          <cell r="E2996">
            <v>33378868</v>
          </cell>
          <cell r="F2996" t="str">
            <v>CARRERA 9 NO 26-100</v>
          </cell>
          <cell r="G2996">
            <v>3123331493</v>
          </cell>
        </row>
        <row r="2997">
          <cell r="E2997">
            <v>97011909012</v>
          </cell>
          <cell r="F2997" t="str">
            <v>CRA 9 NO 48-67</v>
          </cell>
          <cell r="G2997">
            <v>3204413168</v>
          </cell>
        </row>
        <row r="2998">
          <cell r="E2998">
            <v>1051589672</v>
          </cell>
          <cell r="F2998" t="str">
            <v>CALLE 9 NO 5-53</v>
          </cell>
          <cell r="G2998">
            <v>3222921330</v>
          </cell>
        </row>
        <row r="2999">
          <cell r="E2999">
            <v>1056030026</v>
          </cell>
          <cell r="F2999" t="str">
            <v>ESE DE SAN PABLO DE BORBUR</v>
          </cell>
          <cell r="G2999">
            <v>0</v>
          </cell>
        </row>
        <row r="3000">
          <cell r="E3000">
            <v>1002735646</v>
          </cell>
          <cell r="F3000" t="str">
            <v>ESE DE RAQUIRA</v>
          </cell>
          <cell r="G3000">
            <v>0</v>
          </cell>
        </row>
        <row r="3001">
          <cell r="E3001">
            <v>805003626</v>
          </cell>
          <cell r="F3001" t="str">
            <v>AVENIDA UNIVERSITARIA NO 52-51</v>
          </cell>
          <cell r="G3001">
            <v>926850000</v>
          </cell>
        </row>
        <row r="3002">
          <cell r="E3002">
            <v>1054252210</v>
          </cell>
          <cell r="F3002" t="str">
            <v>CENTRO SOCOTA</v>
          </cell>
          <cell r="G3002">
            <v>3214215599</v>
          </cell>
        </row>
        <row r="3003">
          <cell r="E3003">
            <v>23323861</v>
          </cell>
          <cell r="F3003" t="str">
            <v>CARRERA 3 NO 10-19</v>
          </cell>
          <cell r="G3003">
            <v>3144435612</v>
          </cell>
        </row>
        <row r="3004">
          <cell r="E3004">
            <v>24218381</v>
          </cell>
          <cell r="F3004" t="str">
            <v>CARRERA 5 NO 4-16</v>
          </cell>
          <cell r="G3004">
            <v>3123594556</v>
          </cell>
        </row>
        <row r="3005">
          <cell r="E3005">
            <v>23691582</v>
          </cell>
          <cell r="F3005" t="str">
            <v>CARRERA 7 NO 9-55</v>
          </cell>
          <cell r="G3005">
            <v>3183918789</v>
          </cell>
        </row>
        <row r="3006">
          <cell r="E3006">
            <v>1024567316</v>
          </cell>
          <cell r="F3006" t="str">
            <v>VEREDA SUPATA</v>
          </cell>
          <cell r="G3006">
            <v>3215101428</v>
          </cell>
        </row>
        <row r="3007">
          <cell r="E3007">
            <v>53123352</v>
          </cell>
          <cell r="F3007" t="str">
            <v>CRA 11A NO 23-62</v>
          </cell>
          <cell r="G3007">
            <v>3108886184</v>
          </cell>
        </row>
        <row r="3008">
          <cell r="E3008">
            <v>1007432874</v>
          </cell>
          <cell r="F3008" t="str">
            <v>CALLE 3 NO 5-50</v>
          </cell>
          <cell r="G3008">
            <v>86248025</v>
          </cell>
        </row>
        <row r="3009">
          <cell r="E3009">
            <v>46371871</v>
          </cell>
          <cell r="F3009" t="str">
            <v>CALLE 17 NO 10-05</v>
          </cell>
          <cell r="G3009">
            <v>0</v>
          </cell>
        </row>
        <row r="3010">
          <cell r="E3010">
            <v>9534222</v>
          </cell>
          <cell r="F3010" t="str">
            <v>SALUD SOGAMOSO</v>
          </cell>
          <cell r="G3010">
            <v>3123772340</v>
          </cell>
        </row>
        <row r="3011">
          <cell r="E3011">
            <v>33375426</v>
          </cell>
          <cell r="F3011" t="str">
            <v>ESE SALUD AQUITANIA</v>
          </cell>
          <cell r="G3011">
            <v>3142277462</v>
          </cell>
        </row>
        <row r="3012">
          <cell r="E3012">
            <v>7125192</v>
          </cell>
          <cell r="F3012" t="str">
            <v>RESTAURANTE PUEBLO VIEJO</v>
          </cell>
          <cell r="G3012">
            <v>0</v>
          </cell>
        </row>
        <row r="3013">
          <cell r="E3013">
            <v>80023366</v>
          </cell>
          <cell r="F3013" t="str">
            <v>CALLE 17 NO 26A-43</v>
          </cell>
          <cell r="G3013">
            <v>3013365222</v>
          </cell>
        </row>
        <row r="3014">
          <cell r="E3014">
            <v>1002538513</v>
          </cell>
          <cell r="F3014" t="str">
            <v>CENTRO SACHICA</v>
          </cell>
          <cell r="G3014">
            <v>3104482938</v>
          </cell>
        </row>
        <row r="3015">
          <cell r="E3015">
            <v>1056555013</v>
          </cell>
          <cell r="F3015" t="str">
            <v>CALLE 6 NO 9-25</v>
          </cell>
          <cell r="G3015">
            <v>3153287119</v>
          </cell>
        </row>
        <row r="3016">
          <cell r="E3016">
            <v>1051473286</v>
          </cell>
          <cell r="F3016" t="str">
            <v>BARRIO CERRITO</v>
          </cell>
          <cell r="G3016">
            <v>3102403207</v>
          </cell>
        </row>
        <row r="3017">
          <cell r="E3017">
            <v>1049637476</v>
          </cell>
          <cell r="F3017" t="str">
            <v>SAN ANTONIO BARON GALLERO</v>
          </cell>
          <cell r="G3017">
            <v>3203056998</v>
          </cell>
        </row>
        <row r="3018">
          <cell r="E3018">
            <v>9510265</v>
          </cell>
          <cell r="F3018" t="str">
            <v>CALLE 6 NO 6-11</v>
          </cell>
          <cell r="G3018">
            <v>3107905239</v>
          </cell>
        </row>
        <row r="3019">
          <cell r="E3019">
            <v>1098656581</v>
          </cell>
          <cell r="F3019" t="str">
            <v>CALLE 33 NO 28-81</v>
          </cell>
          <cell r="G3019">
            <v>6940932</v>
          </cell>
        </row>
        <row r="3020">
          <cell r="E3020">
            <v>7175215</v>
          </cell>
          <cell r="F3020" t="str">
            <v>CARRERA 33 NO 30-48</v>
          </cell>
          <cell r="G3020">
            <v>3141168319</v>
          </cell>
        </row>
        <row r="3021">
          <cell r="E3021">
            <v>1052390336</v>
          </cell>
          <cell r="F3021" t="str">
            <v>AV CIRCUNVALAR NO 22-98</v>
          </cell>
          <cell r="G3021">
            <v>3143231244</v>
          </cell>
        </row>
        <row r="3022">
          <cell r="E3022">
            <v>23779549</v>
          </cell>
          <cell r="F3022" t="str">
            <v>CENTRO SUTAMARCHAN</v>
          </cell>
          <cell r="G3022">
            <v>3108713921</v>
          </cell>
        </row>
        <row r="3023">
          <cell r="E3023">
            <v>1057215110</v>
          </cell>
          <cell r="F3023" t="str">
            <v>CALLE 12 NO 3-25</v>
          </cell>
          <cell r="G3023">
            <v>3143931385</v>
          </cell>
        </row>
        <row r="3024">
          <cell r="E3024">
            <v>7315515</v>
          </cell>
          <cell r="F3024" t="str">
            <v>CALLE 2 NO 1-41</v>
          </cell>
          <cell r="G3024">
            <v>3134239617</v>
          </cell>
        </row>
        <row r="3025">
          <cell r="E3025">
            <v>46451467</v>
          </cell>
          <cell r="F3025" t="str">
            <v>CRA 2 NO 6 66</v>
          </cell>
          <cell r="G3025">
            <v>3143205338</v>
          </cell>
        </row>
        <row r="3026">
          <cell r="E3026">
            <v>23508357</v>
          </cell>
          <cell r="F3026" t="str">
            <v>CENTRO SOCOTA</v>
          </cell>
          <cell r="G3026" t="str">
            <v>3124104800_x000D_
3124104800</v>
          </cell>
        </row>
        <row r="3027">
          <cell r="E3027">
            <v>1002528484</v>
          </cell>
          <cell r="F3027" t="str">
            <v>CALLE 25 NO 17-90</v>
          </cell>
          <cell r="G3027">
            <v>3042123818</v>
          </cell>
        </row>
        <row r="3028">
          <cell r="E3028">
            <v>74359947</v>
          </cell>
          <cell r="F3028" t="str">
            <v>CARRERA 21 NO 23-39</v>
          </cell>
          <cell r="G3028">
            <v>3217818604</v>
          </cell>
        </row>
        <row r="3029">
          <cell r="E3029">
            <v>13809063</v>
          </cell>
          <cell r="F3029" t="str">
            <v>CARRERA 11 NO. 21-90</v>
          </cell>
          <cell r="G3029">
            <v>7729288</v>
          </cell>
        </row>
        <row r="3030">
          <cell r="E3030">
            <v>4281930</v>
          </cell>
          <cell r="F3030" t="str">
            <v>CALLE 25 NO 18-35</v>
          </cell>
          <cell r="G3030">
            <v>3203075770</v>
          </cell>
        </row>
        <row r="3031">
          <cell r="E3031">
            <v>800088702</v>
          </cell>
          <cell r="G3031">
            <v>0</v>
          </cell>
        </row>
        <row r="3032">
          <cell r="E3032">
            <v>1056436477</v>
          </cell>
          <cell r="F3032" t="str">
            <v>CARRERA 15 NO 8-38</v>
          </cell>
          <cell r="G3032">
            <v>3102834447</v>
          </cell>
        </row>
        <row r="3033">
          <cell r="E3033">
            <v>47438124</v>
          </cell>
          <cell r="F3033" t="str">
            <v>CENTRO PISBA</v>
          </cell>
          <cell r="G3033">
            <v>0</v>
          </cell>
        </row>
        <row r="3034">
          <cell r="E3034">
            <v>1052393786</v>
          </cell>
          <cell r="F3034" t="str">
            <v>MANZANA G CASA 31 DUITAMA</v>
          </cell>
          <cell r="G3034">
            <v>3205330167</v>
          </cell>
        </row>
        <row r="3035">
          <cell r="E3035">
            <v>1053607558</v>
          </cell>
          <cell r="F3035" t="str">
            <v>MANZANA 6 CASA 31 B CERRITO</v>
          </cell>
          <cell r="G3035">
            <v>3205330167</v>
          </cell>
        </row>
        <row r="3036">
          <cell r="E3036">
            <v>46364451</v>
          </cell>
          <cell r="F3036" t="str">
            <v>CALLE 43 NO 12-232 SOGAMOSO</v>
          </cell>
          <cell r="G3036">
            <v>3125033549</v>
          </cell>
        </row>
        <row r="3037">
          <cell r="E3037">
            <v>1088301038</v>
          </cell>
          <cell r="F3037" t="str">
            <v>CALLE 5 NO 10-25</v>
          </cell>
          <cell r="G3037">
            <v>3222505676</v>
          </cell>
        </row>
        <row r="3038">
          <cell r="E3038">
            <v>1177560</v>
          </cell>
          <cell r="F3038" t="str">
            <v>CENTRO TOPAGA</v>
          </cell>
          <cell r="G3038">
            <v>3142396145</v>
          </cell>
        </row>
        <row r="3039">
          <cell r="E3039">
            <v>23596868</v>
          </cell>
          <cell r="F3039" t="str">
            <v>CARRERA 10 NO 1-31</v>
          </cell>
          <cell r="G3039">
            <v>3105550356</v>
          </cell>
        </row>
        <row r="3040">
          <cell r="E3040">
            <v>1002743000</v>
          </cell>
          <cell r="F3040" t="str">
            <v>CARRERA 4 NO 1-43 TOPAGA</v>
          </cell>
          <cell r="G3040">
            <v>3214292913</v>
          </cell>
        </row>
        <row r="3041">
          <cell r="E3041">
            <v>52028913</v>
          </cell>
          <cell r="F3041" t="str">
            <v>MZ CHARALA CASA 10 CG</v>
          </cell>
          <cell r="G3041">
            <v>3204660699</v>
          </cell>
        </row>
        <row r="3042">
          <cell r="E3042">
            <v>46386981</v>
          </cell>
          <cell r="F3042" t="str">
            <v>CALLE 29A NO 9-35</v>
          </cell>
          <cell r="G3042">
            <v>3104991712</v>
          </cell>
        </row>
        <row r="3043">
          <cell r="E3043">
            <v>1057584810</v>
          </cell>
          <cell r="F3043" t="str">
            <v>CALLE 7 NO 8-29</v>
          </cell>
          <cell r="G3043">
            <v>3112664494</v>
          </cell>
        </row>
        <row r="3044">
          <cell r="E3044">
            <v>1002758945</v>
          </cell>
          <cell r="F3044" t="str">
            <v>CARRERA 3 NO 6-15 S MARIA</v>
          </cell>
          <cell r="G3044">
            <v>3203611987</v>
          </cell>
        </row>
        <row r="3045">
          <cell r="E3045">
            <v>800025690</v>
          </cell>
          <cell r="F3045" t="str">
            <v>CARRERA 19 NO 34-12</v>
          </cell>
          <cell r="G3045">
            <v>6087853578</v>
          </cell>
        </row>
        <row r="3046">
          <cell r="E3046">
            <v>23925190</v>
          </cell>
          <cell r="F3046" t="str">
            <v>LOCAL 21 CALLE 11 NO 12-27</v>
          </cell>
          <cell r="G3046">
            <v>3112089600</v>
          </cell>
        </row>
        <row r="3047">
          <cell r="E3047">
            <v>1192804271</v>
          </cell>
          <cell r="F3047" t="str">
            <v>CARRERA 34 NO 15-60</v>
          </cell>
          <cell r="G3047">
            <v>3188183677</v>
          </cell>
        </row>
        <row r="3048">
          <cell r="E3048">
            <v>52355773</v>
          </cell>
          <cell r="F3048" t="str">
            <v>CARRERA 9 NO 12-102</v>
          </cell>
          <cell r="G3048">
            <v>3104422258</v>
          </cell>
        </row>
        <row r="3049">
          <cell r="E3049">
            <v>24149706</v>
          </cell>
          <cell r="F3049" t="str">
            <v>CRA 5 NO 3-02</v>
          </cell>
          <cell r="G3049">
            <v>320357054</v>
          </cell>
        </row>
        <row r="3050">
          <cell r="E3050">
            <v>1049628584</v>
          </cell>
          <cell r="F3050" t="str">
            <v>DIAGONAL 68 NO 4-31</v>
          </cell>
          <cell r="G3050">
            <v>3138097911</v>
          </cell>
        </row>
        <row r="3051">
          <cell r="E3051">
            <v>1051477525</v>
          </cell>
          <cell r="F3051" t="str">
            <v>CALLE 7 NO 7-22</v>
          </cell>
          <cell r="G3051">
            <v>3135559881</v>
          </cell>
        </row>
        <row r="3052">
          <cell r="E3052">
            <v>52795650</v>
          </cell>
          <cell r="F3052" t="str">
            <v>CALLE 8 NO 4-42</v>
          </cell>
          <cell r="G3052">
            <v>3142159624</v>
          </cell>
        </row>
        <row r="3053">
          <cell r="E3053">
            <v>1058038315</v>
          </cell>
          <cell r="F3053" t="str">
            <v>CARRERA 2 NO 4-72</v>
          </cell>
          <cell r="G3053">
            <v>3125410314</v>
          </cell>
        </row>
        <row r="3054">
          <cell r="E3054">
            <v>901768041</v>
          </cell>
          <cell r="F3054" t="str">
            <v>CALLE 12 NO 11-04 P2 SOGAMOSO</v>
          </cell>
          <cell r="G3054">
            <v>3229122549</v>
          </cell>
        </row>
        <row r="3055">
          <cell r="E3055">
            <v>1057583922</v>
          </cell>
          <cell r="F3055" t="str">
            <v>CALLE 21SUR NO 13-79</v>
          </cell>
          <cell r="G3055">
            <v>3203585854</v>
          </cell>
        </row>
        <row r="3056">
          <cell r="E3056">
            <v>1052313143</v>
          </cell>
          <cell r="F3056" t="str">
            <v>CARRERA 2B NO 12-51</v>
          </cell>
          <cell r="G3056">
            <v>3124423370</v>
          </cell>
        </row>
        <row r="3057">
          <cell r="E3057">
            <v>1052401542</v>
          </cell>
          <cell r="F3057" t="str">
            <v>CALLE 24A NO 18-26</v>
          </cell>
          <cell r="G3057">
            <v>3203986923</v>
          </cell>
        </row>
        <row r="3058">
          <cell r="E3058">
            <v>23810744</v>
          </cell>
          <cell r="F3058" t="str">
            <v>CARRERA 23 NO 166-50</v>
          </cell>
          <cell r="G3058">
            <v>3125230699</v>
          </cell>
        </row>
        <row r="3059">
          <cell r="E3059">
            <v>24098708</v>
          </cell>
          <cell r="F3059" t="str">
            <v>CALLE 1 NO 7-35</v>
          </cell>
          <cell r="G3059">
            <v>3124720593</v>
          </cell>
        </row>
        <row r="3060">
          <cell r="E3060">
            <v>1007678089</v>
          </cell>
          <cell r="F3060" t="str">
            <v>CARRERA 11 NO 8-118</v>
          </cell>
          <cell r="G3060">
            <v>3023189935</v>
          </cell>
        </row>
        <row r="3061">
          <cell r="E3061">
            <v>7168841</v>
          </cell>
          <cell r="F3061" t="str">
            <v>CALLE 4BIS NO 4E-77</v>
          </cell>
          <cell r="G3061">
            <v>3124660019</v>
          </cell>
        </row>
        <row r="3062">
          <cell r="E3062">
            <v>1053538287</v>
          </cell>
          <cell r="F3062" t="str">
            <v>CENTRO IZA BOYACA</v>
          </cell>
          <cell r="G3062">
            <v>3028025941</v>
          </cell>
        </row>
        <row r="3063">
          <cell r="E3063">
            <v>1098703062</v>
          </cell>
          <cell r="F3063" t="str">
            <v>CARRERA 7A NO 9-55</v>
          </cell>
          <cell r="G3063">
            <v>3214575837</v>
          </cell>
        </row>
        <row r="3064">
          <cell r="E3064">
            <v>1031128432</v>
          </cell>
          <cell r="F3064" t="str">
            <v>CENTRO SOCOTA_x000D_
_x000D_
_x000D_
_x000D_
_x000D_
CENTRO SOCOTA</v>
          </cell>
          <cell r="G3064">
            <v>3134292515</v>
          </cell>
        </row>
        <row r="3065">
          <cell r="E3065">
            <v>1117973243</v>
          </cell>
          <cell r="F3065" t="str">
            <v>CENTRO SAN PABLO D EBORBUR</v>
          </cell>
          <cell r="G3065">
            <v>3219327136</v>
          </cell>
        </row>
        <row r="3066">
          <cell r="E3066">
            <v>1056613950</v>
          </cell>
          <cell r="F3066" t="str">
            <v>VEREDA LLANO VERDE</v>
          </cell>
          <cell r="G3066">
            <v>3142504531</v>
          </cell>
        </row>
        <row r="3067">
          <cell r="E3067">
            <v>39949520</v>
          </cell>
          <cell r="F3067" t="str">
            <v>MANZANA 1 CASA 2 B PORTAL</v>
          </cell>
          <cell r="G3067">
            <v>3107943697</v>
          </cell>
        </row>
        <row r="3068">
          <cell r="E3068">
            <v>46667323</v>
          </cell>
          <cell r="F3068" t="str">
            <v>CARRERA 9B NO 2-02</v>
          </cell>
          <cell r="G3068">
            <v>3213355819</v>
          </cell>
        </row>
        <row r="3069">
          <cell r="E3069">
            <v>23554056</v>
          </cell>
          <cell r="F3069" t="str">
            <v>CALLE 23 NO 16-30</v>
          </cell>
          <cell r="G3069">
            <v>3144483615</v>
          </cell>
        </row>
        <row r="3070">
          <cell r="E3070">
            <v>74184566</v>
          </cell>
          <cell r="F3070" t="str">
            <v>TRANSVERSAL OA NO 68-38 APTO 304</v>
          </cell>
          <cell r="G3070">
            <v>3102579641</v>
          </cell>
        </row>
        <row r="3071">
          <cell r="E3071">
            <v>46381340</v>
          </cell>
          <cell r="F3071" t="str">
            <v>CALLE 8 NO 7-60</v>
          </cell>
          <cell r="G3071">
            <v>7794136</v>
          </cell>
        </row>
        <row r="3072">
          <cell r="E3072">
            <v>1056957102</v>
          </cell>
          <cell r="F3072" t="str">
            <v>VEREDA PUENTE PIEDRA</v>
          </cell>
          <cell r="G3072">
            <v>3224487996</v>
          </cell>
        </row>
        <row r="3073">
          <cell r="E3073">
            <v>74362932</v>
          </cell>
          <cell r="F3073" t="str">
            <v>CALLE 9 NO 11-37</v>
          </cell>
          <cell r="G3073">
            <v>3114759778</v>
          </cell>
        </row>
        <row r="3074">
          <cell r="E3074">
            <v>24100916</v>
          </cell>
          <cell r="F3074" t="str">
            <v>BARRIO LA PLAYA SOCOTA</v>
          </cell>
          <cell r="G3074">
            <v>3132152201</v>
          </cell>
        </row>
        <row r="3075">
          <cell r="E3075">
            <v>1053538164</v>
          </cell>
          <cell r="F3075" t="str">
            <v>ESE DE IZA</v>
          </cell>
          <cell r="G3075">
            <v>3202946436</v>
          </cell>
        </row>
        <row r="3076">
          <cell r="E3076">
            <v>7128227</v>
          </cell>
          <cell r="F3076" t="str">
            <v>BARRIO LO SMUISACAS TUNJA</v>
          </cell>
          <cell r="G3076">
            <v>3144206093</v>
          </cell>
        </row>
        <row r="3077">
          <cell r="E3077">
            <v>1049629709</v>
          </cell>
          <cell r="F3077" t="str">
            <v>CALLE 2 NO 11A-15</v>
          </cell>
          <cell r="G3077">
            <v>3174366777</v>
          </cell>
        </row>
        <row r="3078">
          <cell r="E3078">
            <v>23965959</v>
          </cell>
          <cell r="F3078" t="str">
            <v>CALLE 7 NO 6 2</v>
          </cell>
          <cell r="G3078">
            <v>3142073937</v>
          </cell>
        </row>
        <row r="3079">
          <cell r="E3079">
            <v>1002678198</v>
          </cell>
          <cell r="F3079" t="str">
            <v>ESE SAN PABLO DE B</v>
          </cell>
          <cell r="G3079">
            <v>0</v>
          </cell>
        </row>
        <row r="3080">
          <cell r="E3080">
            <v>1014277400</v>
          </cell>
          <cell r="F3080" t="str">
            <v>CARRERA 4 CALLE 5</v>
          </cell>
          <cell r="G3080">
            <v>3203025398</v>
          </cell>
        </row>
        <row r="3081">
          <cell r="E3081">
            <v>24219603</v>
          </cell>
          <cell r="F3081" t="str">
            <v>CALLE 5 NO 5-43</v>
          </cell>
          <cell r="G3081">
            <v>3144620650</v>
          </cell>
        </row>
        <row r="3082">
          <cell r="E3082">
            <v>1013638689</v>
          </cell>
          <cell r="F3082" t="str">
            <v>CALLE 48 NO 7-43</v>
          </cell>
          <cell r="G3082">
            <v>3133502825</v>
          </cell>
        </row>
        <row r="3083">
          <cell r="E3083">
            <v>40048871</v>
          </cell>
          <cell r="F3083" t="str">
            <v>CALLE 1C NO 7-29</v>
          </cell>
          <cell r="G3083">
            <v>3202734396</v>
          </cell>
        </row>
        <row r="3084">
          <cell r="E3084">
            <v>46387001</v>
          </cell>
          <cell r="F3084" t="str">
            <v>CALLE 9 NO 9-41</v>
          </cell>
          <cell r="G3084">
            <v>3143162836</v>
          </cell>
        </row>
        <row r="3085">
          <cell r="E3085">
            <v>1056955781</v>
          </cell>
          <cell r="F3085" t="str">
            <v>CENTRO VENTAQUEMADA</v>
          </cell>
          <cell r="G3085">
            <v>3012473945</v>
          </cell>
        </row>
        <row r="3086">
          <cell r="E3086">
            <v>1056957540</v>
          </cell>
          <cell r="F3086" t="str">
            <v>CENTRO</v>
          </cell>
          <cell r="G3086">
            <v>0</v>
          </cell>
        </row>
        <row r="3087">
          <cell r="E3087">
            <v>4291302</v>
          </cell>
          <cell r="F3087" t="str">
            <v>CARRERA 3 NO 5-57</v>
          </cell>
          <cell r="G3087">
            <v>3144076124</v>
          </cell>
        </row>
        <row r="3088">
          <cell r="E3088">
            <v>6766760</v>
          </cell>
          <cell r="F3088" t="str">
            <v>CALLE 7 NO 10-55 NOBSA</v>
          </cell>
          <cell r="G3088">
            <v>3202396401</v>
          </cell>
        </row>
        <row r="3089">
          <cell r="E3089">
            <v>11409996</v>
          </cell>
          <cell r="F3089" t="str">
            <v>CALLE 22 NO 12-81</v>
          </cell>
          <cell r="G3089">
            <v>3203074481</v>
          </cell>
        </row>
        <row r="3090">
          <cell r="E3090">
            <v>52051771</v>
          </cell>
          <cell r="F3090" t="str">
            <v>MZ E CASA 13 RINCON DEL PARAISO</v>
          </cell>
          <cell r="G3090">
            <v>3133917951</v>
          </cell>
        </row>
        <row r="3091">
          <cell r="E3091">
            <v>24182924</v>
          </cell>
          <cell r="F3091" t="str">
            <v>CALLE 8 NO 2 14</v>
          </cell>
          <cell r="G3091">
            <v>3133627180</v>
          </cell>
        </row>
        <row r="3092">
          <cell r="E3092">
            <v>1052313470</v>
          </cell>
          <cell r="F3092" t="str">
            <v>CALLE 8 NO 5-20</v>
          </cell>
          <cell r="G3092">
            <v>3205992787</v>
          </cell>
        </row>
        <row r="3093">
          <cell r="E3093">
            <v>1054282429</v>
          </cell>
          <cell r="F3093" t="str">
            <v>CENTRO TASCO</v>
          </cell>
          <cell r="G3093">
            <v>3135398813</v>
          </cell>
        </row>
        <row r="3094">
          <cell r="E3094">
            <v>1052402373</v>
          </cell>
          <cell r="F3094" t="str">
            <v>CARRERA 22 NO 137-79</v>
          </cell>
          <cell r="G3094">
            <v>3202075693</v>
          </cell>
        </row>
        <row r="3095">
          <cell r="E3095">
            <v>1049608721</v>
          </cell>
          <cell r="F3095" t="str">
            <v>CENTRO VENTAQUEMADA</v>
          </cell>
          <cell r="G3095">
            <v>3132708987</v>
          </cell>
        </row>
        <row r="3096">
          <cell r="E3096">
            <v>1054090922</v>
          </cell>
          <cell r="F3096" t="str">
            <v>CRA 9 NO 10-56</v>
          </cell>
          <cell r="G3096">
            <v>3138666266</v>
          </cell>
        </row>
        <row r="3097">
          <cell r="E3097">
            <v>1002727701</v>
          </cell>
          <cell r="F3097" t="str">
            <v>CARRERA 23 NO 16-86</v>
          </cell>
          <cell r="G3097">
            <v>3142651830</v>
          </cell>
        </row>
        <row r="3098">
          <cell r="E3098">
            <v>1057602669</v>
          </cell>
          <cell r="F3098" t="str">
            <v>CARRERA 5 NO 5-24</v>
          </cell>
          <cell r="G3098">
            <v>3105656099</v>
          </cell>
        </row>
        <row r="3099">
          <cell r="E3099">
            <v>1052083515</v>
          </cell>
          <cell r="F3099" t="str">
            <v>CARRERA 12 NO 12-46</v>
          </cell>
          <cell r="G3099">
            <v>3105128260</v>
          </cell>
        </row>
        <row r="3100">
          <cell r="E3100">
            <v>24098870</v>
          </cell>
          <cell r="F3100" t="str">
            <v>CENTRO SOCOTA</v>
          </cell>
          <cell r="G3100">
            <v>3115380496</v>
          </cell>
        </row>
        <row r="3101">
          <cell r="E3101">
            <v>1002604586</v>
          </cell>
          <cell r="F3101" t="str">
            <v>BARRIO EL DORADO</v>
          </cell>
          <cell r="G3101">
            <v>3125076628</v>
          </cell>
        </row>
        <row r="3102">
          <cell r="E3102">
            <v>7164020</v>
          </cell>
          <cell r="F3102" t="str">
            <v>CARRERA 10 NO 17-84</v>
          </cell>
          <cell r="G3102">
            <v>3130615421</v>
          </cell>
        </row>
        <row r="3103">
          <cell r="E3103">
            <v>1054090318</v>
          </cell>
          <cell r="F3103" t="str">
            <v>CRA 7 NO 7C-24</v>
          </cell>
          <cell r="G3103">
            <v>3202068344</v>
          </cell>
        </row>
        <row r="3104">
          <cell r="E3104">
            <v>51744138</v>
          </cell>
          <cell r="F3104" t="str">
            <v>VDA EL ROBLE</v>
          </cell>
          <cell r="G3104">
            <v>3104418060</v>
          </cell>
        </row>
        <row r="3105">
          <cell r="E3105">
            <v>891801450</v>
          </cell>
          <cell r="F3105" t="str">
            <v>CARRERA 11 NO 11-93</v>
          </cell>
          <cell r="G3105">
            <v>7425879</v>
          </cell>
        </row>
        <row r="3106">
          <cell r="E3106">
            <v>1028882859</v>
          </cell>
          <cell r="F3106" t="str">
            <v>VEREDA LA CALICHORRA LA VICTORIA</v>
          </cell>
          <cell r="G3106">
            <v>3228448582</v>
          </cell>
        </row>
        <row r="3107">
          <cell r="E3107">
            <v>1098699179</v>
          </cell>
          <cell r="F3107" t="str">
            <v>CARRERA 7 NO 7-21</v>
          </cell>
          <cell r="G3107">
            <v>7327546</v>
          </cell>
        </row>
        <row r="3108">
          <cell r="E3108">
            <v>24091358</v>
          </cell>
          <cell r="F3108" t="str">
            <v>CARRERA 2 NO 6-34</v>
          </cell>
          <cell r="G3108">
            <v>3144465039</v>
          </cell>
        </row>
        <row r="3109">
          <cell r="E3109">
            <v>1012384745</v>
          </cell>
          <cell r="F3109" t="str">
            <v>VEREDA EL VALLADO</v>
          </cell>
          <cell r="G3109">
            <v>3223754640</v>
          </cell>
        </row>
        <row r="3110">
          <cell r="E3110">
            <v>1052313421</v>
          </cell>
          <cell r="F3110" t="str">
            <v>CALLE 7 NO 7-49</v>
          </cell>
          <cell r="G3110">
            <v>3192929510</v>
          </cell>
        </row>
        <row r="3111">
          <cell r="E3111">
            <v>1052411083</v>
          </cell>
          <cell r="F3111" t="str">
            <v>CARRERA 30 NO 1012 DUITAMA</v>
          </cell>
          <cell r="G3111">
            <v>3214721088</v>
          </cell>
        </row>
        <row r="3112">
          <cell r="E3112">
            <v>1045739859</v>
          </cell>
          <cell r="F3112" t="str">
            <v>CENTRO DE SALUD</v>
          </cell>
          <cell r="G3112">
            <v>3227889940</v>
          </cell>
        </row>
        <row r="3113">
          <cell r="E3113">
            <v>1053586242</v>
          </cell>
          <cell r="F3113" t="str">
            <v>KM 6 VIA DUITAMA BELENCITO</v>
          </cell>
          <cell r="G3113">
            <v>3133095482</v>
          </cell>
        </row>
        <row r="3114">
          <cell r="E3114">
            <v>891857733</v>
          </cell>
          <cell r="F3114" t="str">
            <v>CALLA 2 CARRERA 4</v>
          </cell>
          <cell r="G3114">
            <v>7638055</v>
          </cell>
        </row>
        <row r="3115">
          <cell r="E3115">
            <v>1073177588</v>
          </cell>
          <cell r="F3115" t="str">
            <v>CENTRO SOCOTA</v>
          </cell>
          <cell r="G3115">
            <v>3143901605</v>
          </cell>
        </row>
        <row r="3116">
          <cell r="E3116">
            <v>74186995</v>
          </cell>
          <cell r="F3116" t="str">
            <v>ESE CENTRO DE SALUD D EIZA</v>
          </cell>
          <cell r="G3116">
            <v>3112217603</v>
          </cell>
        </row>
        <row r="3117">
          <cell r="E3117">
            <v>830135212</v>
          </cell>
          <cell r="F3117" t="str">
            <v>CARRERA 79 NO. 7D-17</v>
          </cell>
          <cell r="G3117">
            <v>3007084228</v>
          </cell>
        </row>
        <row r="3118">
          <cell r="E3118">
            <v>901085141</v>
          </cell>
          <cell r="F3118" t="str">
            <v>CALLE 12 NO 10-48 OF 202</v>
          </cell>
          <cell r="G3118">
            <v>3115662592</v>
          </cell>
        </row>
        <row r="3119">
          <cell r="E3119">
            <v>1053607854</v>
          </cell>
          <cell r="F3119" t="str">
            <v>TRANSVERSAL 27 NO 22-67</v>
          </cell>
          <cell r="G3119">
            <v>3105525500</v>
          </cell>
        </row>
        <row r="3120">
          <cell r="E3120">
            <v>901194997</v>
          </cell>
          <cell r="F3120" t="str">
            <v>CARRERA 23 NO 25-59</v>
          </cell>
          <cell r="G3120">
            <v>0</v>
          </cell>
        </row>
        <row r="3121">
          <cell r="E3121">
            <v>24219377</v>
          </cell>
          <cell r="F3121" t="str">
            <v>CARRERA 3 NO 5-37</v>
          </cell>
          <cell r="G3121">
            <v>3204100210</v>
          </cell>
        </row>
        <row r="3122">
          <cell r="E3122">
            <v>79418598</v>
          </cell>
          <cell r="F3122" t="str">
            <v>CENTRO VENTAQUEMADA</v>
          </cell>
          <cell r="G3122">
            <v>3133029376</v>
          </cell>
        </row>
        <row r="3123">
          <cell r="E3123">
            <v>1056955383</v>
          </cell>
          <cell r="F3123" t="str">
            <v>BARRIO LOS ANDES</v>
          </cell>
          <cell r="G3123">
            <v>3212565928</v>
          </cell>
        </row>
        <row r="3124">
          <cell r="E3124">
            <v>901345934</v>
          </cell>
          <cell r="F3124" t="str">
            <v>AV CIRCUNVALAR NO 18-221</v>
          </cell>
          <cell r="G3124">
            <v>0</v>
          </cell>
        </row>
        <row r="3125">
          <cell r="E3125">
            <v>1057589221</v>
          </cell>
          <cell r="F3125" t="str">
            <v>CARRERA 9 NO 10-29 SOGAMOSO</v>
          </cell>
          <cell r="G3125">
            <v>3123873799</v>
          </cell>
        </row>
        <row r="3126">
          <cell r="E3126">
            <v>1057605348</v>
          </cell>
          <cell r="F3126" t="str">
            <v>ESE LABRANZAGRANDE</v>
          </cell>
          <cell r="G3126">
            <v>3132735137</v>
          </cell>
        </row>
        <row r="3127">
          <cell r="E3127">
            <v>47429609</v>
          </cell>
          <cell r="F3127" t="str">
            <v>CARRERA 8 NO 3-83</v>
          </cell>
          <cell r="G3127">
            <v>3132425894</v>
          </cell>
        </row>
        <row r="3128">
          <cell r="E3128">
            <v>39792024</v>
          </cell>
          <cell r="F3128" t="str">
            <v>CARRERA 3 NO 3-43</v>
          </cell>
          <cell r="G3128">
            <v>3213190110</v>
          </cell>
        </row>
        <row r="3129">
          <cell r="E3129">
            <v>4218316</v>
          </cell>
          <cell r="F3129" t="str">
            <v>CALLE 6 NO 6-45</v>
          </cell>
          <cell r="G3129">
            <v>3222612124</v>
          </cell>
        </row>
        <row r="3130">
          <cell r="E3130">
            <v>1053586444</v>
          </cell>
          <cell r="F3130" t="str">
            <v>VEREDA PEREZ</v>
          </cell>
          <cell r="G3130">
            <v>0</v>
          </cell>
        </row>
        <row r="3131">
          <cell r="E3131">
            <v>46386473</v>
          </cell>
          <cell r="F3131" t="str">
            <v>CENTRO AQUITANIA</v>
          </cell>
          <cell r="G3131">
            <v>3143417013</v>
          </cell>
        </row>
        <row r="3132">
          <cell r="E3132">
            <v>1057608355</v>
          </cell>
          <cell r="F3132" t="str">
            <v>CALLE 2A NO 1A BIS 06 CORRALES</v>
          </cell>
          <cell r="G3132">
            <v>3135991259</v>
          </cell>
        </row>
        <row r="3133">
          <cell r="E3133">
            <v>1019086098</v>
          </cell>
          <cell r="F3133" t="str">
            <v>CARRERA 113B NO 145-27</v>
          </cell>
          <cell r="G3133">
            <v>3176719233</v>
          </cell>
        </row>
        <row r="3134">
          <cell r="E3134">
            <v>23702382</v>
          </cell>
          <cell r="F3134" t="str">
            <v>CALLE 7A NO 1E-55</v>
          </cell>
          <cell r="G3134">
            <v>3134651296</v>
          </cell>
        </row>
        <row r="3135">
          <cell r="E3135">
            <v>4150184</v>
          </cell>
          <cell r="F3135" t="str">
            <v>CALLE 5 NO 5 73</v>
          </cell>
          <cell r="G3135">
            <v>3028512151</v>
          </cell>
        </row>
        <row r="3136">
          <cell r="E3136">
            <v>46378312</v>
          </cell>
          <cell r="F3136" t="str">
            <v>CENTRO DE SALUD DE PISBA</v>
          </cell>
          <cell r="G3136">
            <v>0</v>
          </cell>
        </row>
        <row r="3137">
          <cell r="E3137">
            <v>1016027233</v>
          </cell>
          <cell r="F3137" t="str">
            <v>ESE DE LABRANZAGRANDE</v>
          </cell>
          <cell r="G3137">
            <v>3103208129</v>
          </cell>
        </row>
        <row r="3138">
          <cell r="E3138">
            <v>1002556565</v>
          </cell>
          <cell r="F3138" t="str">
            <v>CARRERA 1 NO 3-14</v>
          </cell>
          <cell r="G3138">
            <v>3124968590</v>
          </cell>
        </row>
        <row r="3139">
          <cell r="E3139">
            <v>1002557042</v>
          </cell>
          <cell r="F3139" t="str">
            <v>CARRERA 2 NO 4-102</v>
          </cell>
          <cell r="G3139">
            <v>3207863116</v>
          </cell>
        </row>
        <row r="3140">
          <cell r="E3140">
            <v>1053538210</v>
          </cell>
          <cell r="F3140" t="str">
            <v>ESE DE IZA BOYACA</v>
          </cell>
          <cell r="G3140">
            <v>3143040652</v>
          </cell>
        </row>
        <row r="3141">
          <cell r="E3141">
            <v>52145809</v>
          </cell>
          <cell r="F3141" t="str">
            <v>CENTRO DE SALUD D ELABRANZAGRANDE</v>
          </cell>
          <cell r="G3141">
            <v>3112323513</v>
          </cell>
        </row>
        <row r="3142">
          <cell r="E3142">
            <v>1004851277</v>
          </cell>
          <cell r="F3142" t="str">
            <v>ESE DE LABRANZAGRANDE</v>
          </cell>
          <cell r="G3142">
            <v>3232036057</v>
          </cell>
        </row>
        <row r="3143">
          <cell r="E3143">
            <v>1073384070</v>
          </cell>
          <cell r="F3143" t="str">
            <v>CARRERA 3 NO 4-31</v>
          </cell>
          <cell r="G3143">
            <v>3143239418</v>
          </cell>
        </row>
        <row r="3144">
          <cell r="E3144">
            <v>23637842</v>
          </cell>
          <cell r="F3144" t="str">
            <v>BARRIO EL CEREZO ETAPA 2 CASA 39</v>
          </cell>
          <cell r="G3144">
            <v>3212912982</v>
          </cell>
        </row>
        <row r="3145">
          <cell r="E3145">
            <v>1053323771</v>
          </cell>
          <cell r="F3145" t="str">
            <v>CARRERA 5 NO 2-35</v>
          </cell>
          <cell r="G3145">
            <v>7366002</v>
          </cell>
        </row>
        <row r="3146">
          <cell r="E3146">
            <v>1018415000</v>
          </cell>
          <cell r="F3146" t="str">
            <v>CALLE 7 NO 9-59</v>
          </cell>
          <cell r="G3146">
            <v>31425542151</v>
          </cell>
        </row>
        <row r="3147">
          <cell r="E3147">
            <v>1052412869</v>
          </cell>
          <cell r="F3147" t="str">
            <v>CALLE 1 NO 10-54</v>
          </cell>
          <cell r="G3147">
            <v>3222636752</v>
          </cell>
        </row>
        <row r="3148">
          <cell r="E3148">
            <v>1033366762</v>
          </cell>
          <cell r="F3148" t="str">
            <v>VEREDA PUEBLO VIEJO</v>
          </cell>
          <cell r="G3148">
            <v>3223424393</v>
          </cell>
        </row>
        <row r="3149">
          <cell r="E3149">
            <v>51683741</v>
          </cell>
          <cell r="F3149" t="str">
            <v>CRA 9 NO 11-24</v>
          </cell>
          <cell r="G3149">
            <v>3132174633</v>
          </cell>
        </row>
        <row r="3150">
          <cell r="E3150">
            <v>6749761</v>
          </cell>
          <cell r="F3150" t="str">
            <v>CARRERA 9 NO 20-30</v>
          </cell>
          <cell r="G3150">
            <v>87433079</v>
          </cell>
        </row>
        <row r="3151">
          <cell r="E3151">
            <v>1053613182</v>
          </cell>
          <cell r="F3151" t="str">
            <v>CARRERA 6 NO 8-30</v>
          </cell>
          <cell r="G3151">
            <v>3137039332</v>
          </cell>
        </row>
        <row r="3152">
          <cell r="E3152">
            <v>1052393716</v>
          </cell>
          <cell r="F3152" t="str">
            <v>CALLE 29 NO 16-55</v>
          </cell>
          <cell r="G3152">
            <v>3134967886</v>
          </cell>
        </row>
        <row r="3153">
          <cell r="E3153">
            <v>29774920</v>
          </cell>
          <cell r="F3153" t="str">
            <v>VEREDA SAN LUIS</v>
          </cell>
          <cell r="G3153">
            <v>3136295449</v>
          </cell>
        </row>
        <row r="3154">
          <cell r="E3154">
            <v>1053332567</v>
          </cell>
          <cell r="F3154" t="str">
            <v>CALLE 1 NO 1-43</v>
          </cell>
          <cell r="G3154">
            <v>3124559773</v>
          </cell>
        </row>
        <row r="3155">
          <cell r="E3155">
            <v>1075676354</v>
          </cell>
          <cell r="F3155" t="str">
            <v>CALLE 4 NO 7-36</v>
          </cell>
          <cell r="G3155">
            <v>3142272145</v>
          </cell>
        </row>
        <row r="3156">
          <cell r="E3156">
            <v>1033798063</v>
          </cell>
          <cell r="F3156" t="str">
            <v>VEREDA GAMEZA</v>
          </cell>
          <cell r="G3156">
            <v>3222118087</v>
          </cell>
        </row>
        <row r="3157">
          <cell r="E3157">
            <v>24213463</v>
          </cell>
          <cell r="F3157" t="str">
            <v>CALLE 2B NO 4-16</v>
          </cell>
          <cell r="G3157">
            <v>3208282459</v>
          </cell>
        </row>
        <row r="3158">
          <cell r="E3158">
            <v>1056613403</v>
          </cell>
          <cell r="F3158" t="str">
            <v>CARRERA 8 NO 45 8</v>
          </cell>
          <cell r="G3158">
            <v>3186346406</v>
          </cell>
        </row>
        <row r="3159">
          <cell r="E3159">
            <v>1085915696</v>
          </cell>
          <cell r="F3159" t="str">
            <v>CENTRO LABRANZAGRANDE</v>
          </cell>
          <cell r="G3159">
            <v>3113895455</v>
          </cell>
        </row>
        <row r="3160">
          <cell r="E3160">
            <v>33676324</v>
          </cell>
          <cell r="F3160" t="str">
            <v>CARRERA 6 NO 4-73 GARAGOA</v>
          </cell>
          <cell r="G3160">
            <v>3213635974</v>
          </cell>
        </row>
        <row r="3161">
          <cell r="E3161">
            <v>1057614242</v>
          </cell>
          <cell r="F3161" t="str">
            <v>CARRERA CON CALLE 26</v>
          </cell>
          <cell r="G3161">
            <v>3124669250</v>
          </cell>
        </row>
        <row r="3162">
          <cell r="E3162">
            <v>46378865</v>
          </cell>
          <cell r="F3162" t="str">
            <v>CENTRO LABRANZAGRANDE</v>
          </cell>
          <cell r="G3162">
            <v>0</v>
          </cell>
        </row>
        <row r="3163">
          <cell r="E3163">
            <v>830045472</v>
          </cell>
          <cell r="F3163" t="str">
            <v>CALLE 72 NO 5-38 BOGOTA</v>
          </cell>
          <cell r="G3163">
            <v>6013078121</v>
          </cell>
        </row>
        <row r="3164">
          <cell r="E3164">
            <v>901060540</v>
          </cell>
          <cell r="F3164" t="str">
            <v>CALLE 29A NO 10-19</v>
          </cell>
          <cell r="G3164">
            <v>7421171</v>
          </cell>
        </row>
        <row r="3165">
          <cell r="E3165">
            <v>1052314543</v>
          </cell>
          <cell r="F3165" t="str">
            <v>CARRERA 3 NO 8-28</v>
          </cell>
          <cell r="G3165">
            <v>3204527127</v>
          </cell>
        </row>
        <row r="3166">
          <cell r="E3166">
            <v>1012414990</v>
          </cell>
          <cell r="F3166" t="str">
            <v>CALLE 25 NO 23-18</v>
          </cell>
          <cell r="G3166">
            <v>3107698284</v>
          </cell>
        </row>
        <row r="3167">
          <cell r="E3167">
            <v>46368817</v>
          </cell>
          <cell r="F3167" t="str">
            <v>CARRERA 18 NO 2A-26</v>
          </cell>
          <cell r="G3167">
            <v>3202402464</v>
          </cell>
        </row>
        <row r="3168">
          <cell r="E3168">
            <v>1057465556</v>
          </cell>
          <cell r="F3168" t="str">
            <v>CARRERA 3 NO 7-21</v>
          </cell>
          <cell r="G3168">
            <v>7327546</v>
          </cell>
        </row>
        <row r="3169">
          <cell r="E3169">
            <v>1049607180</v>
          </cell>
          <cell r="F3169" t="str">
            <v>CARRERA 6 NO 11-31</v>
          </cell>
          <cell r="G3169">
            <v>3118779912</v>
          </cell>
        </row>
        <row r="3170">
          <cell r="E3170">
            <v>1052407972</v>
          </cell>
          <cell r="F3170" t="str">
            <v>CALLE 13 NO 22 11 JERICO</v>
          </cell>
          <cell r="G3170">
            <v>3114986893</v>
          </cell>
        </row>
        <row r="3171">
          <cell r="E3171">
            <v>9532123</v>
          </cell>
          <cell r="F3171" t="str">
            <v>CALLE 14A NO 16A-37 SOGAMOSOS</v>
          </cell>
          <cell r="G3171">
            <v>3103437358</v>
          </cell>
        </row>
        <row r="3172">
          <cell r="E3172">
            <v>24100717</v>
          </cell>
          <cell r="F3172" t="str">
            <v>CALLE 7 NO 8-57</v>
          </cell>
          <cell r="G3172">
            <v>3123396874</v>
          </cell>
        </row>
        <row r="3173">
          <cell r="E3173">
            <v>1057465530</v>
          </cell>
          <cell r="F3173" t="str">
            <v>CARRERA 10 NO 5-64</v>
          </cell>
          <cell r="G3173">
            <v>3224226054</v>
          </cell>
        </row>
        <row r="3174">
          <cell r="E3174">
            <v>1051475199</v>
          </cell>
          <cell r="F3174" t="str">
            <v>CRA 4 NO 4 02</v>
          </cell>
          <cell r="G3174">
            <v>3204186915</v>
          </cell>
        </row>
        <row r="3175">
          <cell r="E3175">
            <v>47439399</v>
          </cell>
          <cell r="F3175" t="str">
            <v>CALLE 46B NO 12B-60</v>
          </cell>
          <cell r="G3175">
            <v>3232328021</v>
          </cell>
        </row>
        <row r="3176">
          <cell r="E3176">
            <v>7182526</v>
          </cell>
          <cell r="F3176" t="str">
            <v>ESE DE TASCO</v>
          </cell>
          <cell r="G3176">
            <v>7879110</v>
          </cell>
        </row>
        <row r="3177">
          <cell r="E3177">
            <v>23966667</v>
          </cell>
          <cell r="F3177" t="str">
            <v>CARRERA 7 NO 7-21</v>
          </cell>
          <cell r="G3177">
            <v>7327546</v>
          </cell>
        </row>
        <row r="3178">
          <cell r="E3178">
            <v>1002556459</v>
          </cell>
          <cell r="F3178" t="str">
            <v>CALLE 4 NO 4 44</v>
          </cell>
          <cell r="G3178">
            <v>3208959558</v>
          </cell>
        </row>
        <row r="3179">
          <cell r="E3179">
            <v>23914088</v>
          </cell>
          <cell r="F3179" t="str">
            <v>VEREDA LA CHAPA</v>
          </cell>
          <cell r="G3179">
            <v>3204646168</v>
          </cell>
        </row>
        <row r="3180">
          <cell r="E3180">
            <v>91202834</v>
          </cell>
          <cell r="F3180" t="str">
            <v>CARRERA 8 NO 14A-40</v>
          </cell>
          <cell r="G3180">
            <v>3114520336</v>
          </cell>
        </row>
        <row r="3181">
          <cell r="E3181">
            <v>1057462100</v>
          </cell>
          <cell r="F3181" t="str">
            <v>CALLE 4 NO 5 34</v>
          </cell>
          <cell r="G3181">
            <v>3133693567</v>
          </cell>
        </row>
        <row r="3182">
          <cell r="E3182">
            <v>4192243</v>
          </cell>
          <cell r="F3182" t="str">
            <v>CALLE 26 NO 11-66</v>
          </cell>
          <cell r="G3182">
            <v>3203418835</v>
          </cell>
        </row>
        <row r="3183">
          <cell r="E3183">
            <v>1048690256</v>
          </cell>
          <cell r="F3183" t="str">
            <v>CARRERA 3 NO 3-30 BETEITIVA</v>
          </cell>
          <cell r="G3183">
            <v>3228792760</v>
          </cell>
        </row>
        <row r="3184">
          <cell r="E3184">
            <v>1057463864</v>
          </cell>
          <cell r="F3184" t="str">
            <v>MZ 8 CASA 16 PRIMAVERA</v>
          </cell>
          <cell r="G3184">
            <v>3142136972</v>
          </cell>
        </row>
        <row r="3185">
          <cell r="E3185">
            <v>1030591928</v>
          </cell>
          <cell r="F3185" t="str">
            <v>VEREDA EL CAJON</v>
          </cell>
          <cell r="G3185">
            <v>3223917543</v>
          </cell>
        </row>
        <row r="3186">
          <cell r="E3186">
            <v>23964342</v>
          </cell>
          <cell r="F3186" t="str">
            <v>CARRERA 3 NO 7-21 RAMIRIQUI</v>
          </cell>
          <cell r="G3186">
            <v>0</v>
          </cell>
        </row>
        <row r="3187">
          <cell r="E3187">
            <v>23946674</v>
          </cell>
          <cell r="F3187" t="str">
            <v>CALLE 5 NO 4-66</v>
          </cell>
          <cell r="G3187">
            <v>3112897687</v>
          </cell>
        </row>
        <row r="3188">
          <cell r="E3188">
            <v>20923923</v>
          </cell>
          <cell r="F3188" t="str">
            <v>CALLE 4A NO 3-71</v>
          </cell>
          <cell r="G3188">
            <v>3184003454</v>
          </cell>
        </row>
        <row r="3189">
          <cell r="E3189">
            <v>23946385</v>
          </cell>
          <cell r="F3189" t="str">
            <v>VEREDA EL CAJON</v>
          </cell>
          <cell r="G3189">
            <v>3124630842</v>
          </cell>
        </row>
        <row r="3190">
          <cell r="E3190">
            <v>1057593079</v>
          </cell>
          <cell r="F3190" t="str">
            <v>CARRERA 10 NO 12-06</v>
          </cell>
          <cell r="G3190">
            <v>3203973011</v>
          </cell>
        </row>
        <row r="3191">
          <cell r="E3191">
            <v>24100915</v>
          </cell>
          <cell r="F3191" t="str">
            <v>CRA 9 NO 7-37</v>
          </cell>
          <cell r="G3191">
            <v>3123334820</v>
          </cell>
        </row>
        <row r="3192">
          <cell r="E3192">
            <v>24133722</v>
          </cell>
          <cell r="F3192" t="str">
            <v>CRA 16 NO 31-37</v>
          </cell>
          <cell r="G3192">
            <v>3103402239</v>
          </cell>
        </row>
        <row r="3193">
          <cell r="E3193">
            <v>24193722</v>
          </cell>
          <cell r="G3193">
            <v>0</v>
          </cell>
        </row>
        <row r="3194">
          <cell r="E3194">
            <v>72326957</v>
          </cell>
          <cell r="F3194" t="str">
            <v>CARRERA 3 NO 7-21</v>
          </cell>
          <cell r="G3194">
            <v>7327546</v>
          </cell>
        </row>
        <row r="3195">
          <cell r="E3195">
            <v>46387075</v>
          </cell>
          <cell r="F3195" t="str">
            <v>CALLE 36 NO 10B-50</v>
          </cell>
          <cell r="G3195">
            <v>3214548276</v>
          </cell>
        </row>
        <row r="3196">
          <cell r="E3196">
            <v>7165919</v>
          </cell>
          <cell r="F3196" t="str">
            <v>CRA 16 NO 17-25</v>
          </cell>
          <cell r="G3196">
            <v>3124912220</v>
          </cell>
        </row>
        <row r="3197">
          <cell r="E3197">
            <v>1051473433</v>
          </cell>
          <cell r="F3197" t="str">
            <v>CRA 9 NO 10 37</v>
          </cell>
          <cell r="G3197">
            <v>3143064647</v>
          </cell>
        </row>
        <row r="3198">
          <cell r="E3198">
            <v>23965903</v>
          </cell>
          <cell r="F3198" t="str">
            <v>MZ B CASA 6 B PRIMAVERA</v>
          </cell>
          <cell r="G3198">
            <v>3142784893</v>
          </cell>
        </row>
        <row r="3199">
          <cell r="E3199">
            <v>1056955656</v>
          </cell>
          <cell r="F3199" t="str">
            <v>CALLE 11 NO 5A-01</v>
          </cell>
          <cell r="G3199">
            <v>3123327159</v>
          </cell>
        </row>
        <row r="3200">
          <cell r="E3200">
            <v>74084313</v>
          </cell>
          <cell r="F3200" t="str">
            <v>CARRERA 18 NO 10-55</v>
          </cell>
          <cell r="G3200">
            <v>3202947754</v>
          </cell>
        </row>
        <row r="3201">
          <cell r="E3201">
            <v>1007751567</v>
          </cell>
          <cell r="F3201" t="str">
            <v>VEREDA CHAMEZ AMENOR NOBSA</v>
          </cell>
          <cell r="G3201">
            <v>3102839691</v>
          </cell>
        </row>
        <row r="3202">
          <cell r="E3202">
            <v>1057462945</v>
          </cell>
          <cell r="F3202" t="str">
            <v>CALLE 9 NO 5-10</v>
          </cell>
          <cell r="G3202">
            <v>3112628734</v>
          </cell>
        </row>
        <row r="3203">
          <cell r="E3203">
            <v>1019053947</v>
          </cell>
          <cell r="F3203" t="str">
            <v>ESE DE LABRANZAGRANDE</v>
          </cell>
          <cell r="G3203">
            <v>0</v>
          </cell>
        </row>
        <row r="3204">
          <cell r="E3204">
            <v>1057581908</v>
          </cell>
          <cell r="F3204" t="str">
            <v>CALLE 22B NO 18-16 SOGAMOSO</v>
          </cell>
          <cell r="G3204">
            <v>3107284482</v>
          </cell>
        </row>
        <row r="3205">
          <cell r="E3205">
            <v>1057465564</v>
          </cell>
          <cell r="F3205" t="str">
            <v>B PRIMAVERA II CASA A MZ 12</v>
          </cell>
          <cell r="G3205">
            <v>3208358567</v>
          </cell>
        </row>
        <row r="3206">
          <cell r="E3206">
            <v>1019003321</v>
          </cell>
          <cell r="F3206" t="str">
            <v>CENTRO SAN LUIS DE GACENO</v>
          </cell>
          <cell r="G3206">
            <v>3112334869</v>
          </cell>
        </row>
        <row r="3207">
          <cell r="E3207">
            <v>23701891</v>
          </cell>
          <cell r="F3207" t="str">
            <v>BARRIO CUNDINAMARCA</v>
          </cell>
          <cell r="G3207">
            <v>3133850080</v>
          </cell>
        </row>
        <row r="3208">
          <cell r="E3208">
            <v>1058038980</v>
          </cell>
          <cell r="F3208" t="str">
            <v>CALLE 8 NO 3-50</v>
          </cell>
          <cell r="G3208">
            <v>3203528544</v>
          </cell>
        </row>
        <row r="3209">
          <cell r="E3209">
            <v>24183327</v>
          </cell>
          <cell r="F3209" t="str">
            <v>VEREDA SAN JOSE TOPAGA</v>
          </cell>
          <cell r="G3209">
            <v>3126986869</v>
          </cell>
        </row>
        <row r="3210">
          <cell r="E3210">
            <v>40029227</v>
          </cell>
          <cell r="F3210" t="str">
            <v>CARRERA 7 NO 7-72</v>
          </cell>
          <cell r="G3210">
            <v>3142314603</v>
          </cell>
        </row>
        <row r="3211">
          <cell r="E3211">
            <v>1002270198</v>
          </cell>
          <cell r="F3211" t="str">
            <v>VEREDA SAN ANTONIO NORTE DUITAMA</v>
          </cell>
          <cell r="G3211">
            <v>3134639285</v>
          </cell>
        </row>
        <row r="3212">
          <cell r="E3212">
            <v>33435658</v>
          </cell>
          <cell r="F3212" t="str">
            <v>CENTRO DE SALUD QUIPAMA</v>
          </cell>
          <cell r="G3212">
            <v>3138331358</v>
          </cell>
        </row>
        <row r="3213">
          <cell r="E3213">
            <v>52793440</v>
          </cell>
          <cell r="F3213" t="str">
            <v>CALLE 7 NO 7-10</v>
          </cell>
          <cell r="G3213">
            <v>3114579065</v>
          </cell>
        </row>
        <row r="3214">
          <cell r="E3214">
            <v>1022376458</v>
          </cell>
          <cell r="F3214" t="str">
            <v>CALLE 7 NO 7-10 TASCO</v>
          </cell>
          <cell r="G3214">
            <v>7879231</v>
          </cell>
        </row>
        <row r="3215">
          <cell r="E3215">
            <v>24100843</v>
          </cell>
          <cell r="F3215" t="str">
            <v>CALLE 7 NO 7-47</v>
          </cell>
          <cell r="G3215">
            <v>3125804827</v>
          </cell>
        </row>
        <row r="3216">
          <cell r="E3216">
            <v>24098740</v>
          </cell>
          <cell r="F3216" t="str">
            <v>CRA 7A NO 1B-31</v>
          </cell>
          <cell r="G3216">
            <v>3123895336</v>
          </cell>
        </row>
        <row r="3217">
          <cell r="E3217">
            <v>46384660</v>
          </cell>
          <cell r="F3217" t="str">
            <v>CARRERA 4 NO 7-23</v>
          </cell>
          <cell r="G3217">
            <v>3123228223</v>
          </cell>
        </row>
        <row r="3218">
          <cell r="E3218">
            <v>74080259</v>
          </cell>
          <cell r="F3218" t="str">
            <v>CARRERA 3 NO 6-45</v>
          </cell>
          <cell r="G3218">
            <v>3108746470</v>
          </cell>
        </row>
        <row r="3219">
          <cell r="E3219">
            <v>33630579</v>
          </cell>
          <cell r="F3219" t="str">
            <v>CALLE 3 NO 5 33</v>
          </cell>
          <cell r="G3219">
            <v>3204136138</v>
          </cell>
        </row>
        <row r="3220">
          <cell r="E3220">
            <v>37843228</v>
          </cell>
          <cell r="F3220" t="str">
            <v>CARRERA 33 NO 11-71 DUITAMA</v>
          </cell>
          <cell r="G3220">
            <v>3142251826</v>
          </cell>
        </row>
        <row r="3221">
          <cell r="E3221">
            <v>1054374158</v>
          </cell>
          <cell r="F3221" t="str">
            <v>BARRIO SAN ANTONIO</v>
          </cell>
          <cell r="G3221">
            <v>3102060618</v>
          </cell>
        </row>
        <row r="3222">
          <cell r="E3222">
            <v>1032372805</v>
          </cell>
          <cell r="F3222" t="str">
            <v>CENTRO SOCOTA</v>
          </cell>
          <cell r="G3222">
            <v>3112770801</v>
          </cell>
        </row>
        <row r="3223">
          <cell r="E3223">
            <v>46369519</v>
          </cell>
          <cell r="F3223" t="str">
            <v>CALLE 7 NO 7-43</v>
          </cell>
          <cell r="G3223">
            <v>3125228032</v>
          </cell>
        </row>
        <row r="3224">
          <cell r="E3224">
            <v>46673882</v>
          </cell>
          <cell r="F3224" t="str">
            <v>CRA 6A NO 17A-27</v>
          </cell>
          <cell r="G3224">
            <v>3003001170</v>
          </cell>
        </row>
        <row r="3225">
          <cell r="E3225">
            <v>1057214111</v>
          </cell>
          <cell r="F3225" t="str">
            <v>CALLE 5 NO 6A 97</v>
          </cell>
          <cell r="G3225">
            <v>3208591420</v>
          </cell>
        </row>
        <row r="3226">
          <cell r="E3226">
            <v>1052394044</v>
          </cell>
          <cell r="F3226" t="str">
            <v>ESE DE SOCOTA</v>
          </cell>
          <cell r="G3226">
            <v>3204778352</v>
          </cell>
        </row>
        <row r="3227">
          <cell r="E3227">
            <v>1057597126</v>
          </cell>
          <cell r="F3227" t="str">
            <v>CARRERA 18 NO 7-46 SOGAMOSO</v>
          </cell>
          <cell r="G3227">
            <v>3214801980</v>
          </cell>
        </row>
        <row r="3228">
          <cell r="E3228">
            <v>7128334</v>
          </cell>
          <cell r="F3228" t="str">
            <v>CRA 7 NO 11-95</v>
          </cell>
          <cell r="G3228">
            <v>3214390095</v>
          </cell>
        </row>
        <row r="3229">
          <cell r="E3229">
            <v>1053325144</v>
          </cell>
          <cell r="F3229" t="str">
            <v>CALLE 10 NO 3-10 SPB</v>
          </cell>
          <cell r="G3229">
            <v>3133912050</v>
          </cell>
        </row>
        <row r="3230">
          <cell r="E3230">
            <v>1110235494</v>
          </cell>
          <cell r="F3230" t="str">
            <v>BARRIO EL DANUBIO OTANCHE</v>
          </cell>
          <cell r="G3230">
            <v>3103422502</v>
          </cell>
        </row>
        <row r="3231">
          <cell r="E3231">
            <v>1048846753</v>
          </cell>
          <cell r="F3231" t="str">
            <v>CARRERA 5 NO 6-02</v>
          </cell>
          <cell r="G3231">
            <v>3203331182</v>
          </cell>
        </row>
        <row r="3232">
          <cell r="E3232">
            <v>43493756</v>
          </cell>
          <cell r="F3232" t="str">
            <v>CALLE 11 NO 17-62</v>
          </cell>
          <cell r="G3232">
            <v>3213584650</v>
          </cell>
        </row>
        <row r="3233">
          <cell r="E3233">
            <v>24213210</v>
          </cell>
          <cell r="F3233" t="str">
            <v>CALLE 4 NO 5-06</v>
          </cell>
          <cell r="G3233">
            <v>3106139820</v>
          </cell>
        </row>
        <row r="3234">
          <cell r="E3234">
            <v>1056612677</v>
          </cell>
          <cell r="F3234" t="str">
            <v>CALLE 6 NO 4-20</v>
          </cell>
          <cell r="G3234">
            <v>3123315940</v>
          </cell>
        </row>
        <row r="3235">
          <cell r="E3235">
            <v>1056612437</v>
          </cell>
          <cell r="F3235" t="str">
            <v>CENTRO UMBITA</v>
          </cell>
          <cell r="G3235">
            <v>3209611271</v>
          </cell>
        </row>
        <row r="3236">
          <cell r="E3236">
            <v>1052416109</v>
          </cell>
          <cell r="F3236" t="str">
            <v>CALLE 5 NO 6-35</v>
          </cell>
          <cell r="G3236">
            <v>3228427316</v>
          </cell>
        </row>
        <row r="3237">
          <cell r="E3237">
            <v>4282377</v>
          </cell>
          <cell r="F3237" t="str">
            <v>CALLE 4 NO 1-04</v>
          </cell>
          <cell r="G3237">
            <v>3118331562</v>
          </cell>
        </row>
        <row r="3238">
          <cell r="E3238">
            <v>1052391897</v>
          </cell>
          <cell r="F3238" t="str">
            <v>CENTRO SOCHA</v>
          </cell>
          <cell r="G3238">
            <v>3212815427</v>
          </cell>
        </row>
        <row r="3239">
          <cell r="E3239">
            <v>4249324</v>
          </cell>
          <cell r="F3239" t="str">
            <v>CALLE 4 NO 3-02</v>
          </cell>
          <cell r="G3239">
            <v>3208734885</v>
          </cell>
        </row>
        <row r="3240">
          <cell r="E3240">
            <v>26767868</v>
          </cell>
          <cell r="F3240" t="str">
            <v>CALLE 5 NO 4 30</v>
          </cell>
          <cell r="G3240">
            <v>3185713053</v>
          </cell>
        </row>
        <row r="3241">
          <cell r="E3241">
            <v>46379355</v>
          </cell>
          <cell r="F3241" t="str">
            <v>CRA 12 NO 9 25</v>
          </cell>
          <cell r="G3241">
            <v>3144692417</v>
          </cell>
        </row>
        <row r="3242">
          <cell r="E3242">
            <v>1049626830</v>
          </cell>
          <cell r="F3242" t="str">
            <v>TR. 8 NO 61-25</v>
          </cell>
          <cell r="G3242">
            <v>3123459244</v>
          </cell>
        </row>
        <row r="3243">
          <cell r="E3243">
            <v>3264700</v>
          </cell>
          <cell r="F3243" t="str">
            <v>AVENIDA EL SOL NO 7A 18</v>
          </cell>
          <cell r="G3243">
            <v>7706691</v>
          </cell>
        </row>
        <row r="3244">
          <cell r="E3244">
            <v>56089036</v>
          </cell>
          <cell r="F3244" t="str">
            <v>CARRERA 12 NO 24-50</v>
          </cell>
          <cell r="G3244">
            <v>3008852326</v>
          </cell>
        </row>
        <row r="3245">
          <cell r="E3245">
            <v>7307431</v>
          </cell>
          <cell r="F3245" t="str">
            <v>CALLE 21 NO 23A-38</v>
          </cell>
          <cell r="G3245">
            <v>3112074013</v>
          </cell>
        </row>
        <row r="3246">
          <cell r="E3246">
            <v>1054064053</v>
          </cell>
          <cell r="F3246" t="str">
            <v>VEREDA CHILCAL L APORQUERIA</v>
          </cell>
          <cell r="G3246">
            <v>3103525401</v>
          </cell>
        </row>
        <row r="3247">
          <cell r="E3247">
            <v>1007426939</v>
          </cell>
          <cell r="F3247" t="str">
            <v>CENTRO SACHICA</v>
          </cell>
          <cell r="G3247">
            <v>3226579446</v>
          </cell>
        </row>
        <row r="3248">
          <cell r="E3248">
            <v>1002606179</v>
          </cell>
          <cell r="F3248" t="str">
            <v>ESE DE BELEN</v>
          </cell>
          <cell r="G3248">
            <v>0</v>
          </cell>
        </row>
        <row r="3249">
          <cell r="E3249">
            <v>1002313816</v>
          </cell>
          <cell r="F3249" t="str">
            <v>CENTRO SAN LUIS DE GACENO</v>
          </cell>
          <cell r="G3249">
            <v>3223798688</v>
          </cell>
        </row>
        <row r="3250">
          <cell r="E3250">
            <v>23591847</v>
          </cell>
          <cell r="F3250" t="str">
            <v>CALLE 1 NO 1-50</v>
          </cell>
          <cell r="G3250">
            <v>3115823682</v>
          </cell>
        </row>
        <row r="3251">
          <cell r="E3251">
            <v>800256769</v>
          </cell>
          <cell r="F3251" t="str">
            <v>PEAJE EL CRUCERO</v>
          </cell>
          <cell r="G3251">
            <v>18000971097</v>
          </cell>
        </row>
        <row r="3252">
          <cell r="E3252">
            <v>24006227</v>
          </cell>
          <cell r="F3252" t="str">
            <v>BARRIO LOS MANGOS</v>
          </cell>
          <cell r="G3252">
            <v>3213991551</v>
          </cell>
        </row>
        <row r="3253">
          <cell r="E3253">
            <v>4272159</v>
          </cell>
          <cell r="F3253" t="str">
            <v>CALLE 5 NO 4-25</v>
          </cell>
          <cell r="G3253">
            <v>3125153965</v>
          </cell>
        </row>
        <row r="3254">
          <cell r="E3254">
            <v>1053612181</v>
          </cell>
          <cell r="F3254" t="str">
            <v>CALLE 24 NO 20 45</v>
          </cell>
          <cell r="G3254">
            <v>7853181</v>
          </cell>
        </row>
        <row r="3255">
          <cell r="E3255">
            <v>900534356</v>
          </cell>
          <cell r="F3255" t="str">
            <v>AV CLL 26 NO 69D 91 OF 303</v>
          </cell>
          <cell r="G3255">
            <v>2950884</v>
          </cell>
        </row>
        <row r="3256">
          <cell r="E3256">
            <v>1056482370</v>
          </cell>
          <cell r="F3256" t="str">
            <v>VEREDA EL ESPINAL SACHICA</v>
          </cell>
          <cell r="G3256">
            <v>3115462123</v>
          </cell>
        </row>
        <row r="3257">
          <cell r="E3257">
            <v>1010040490</v>
          </cell>
          <cell r="F3257" t="str">
            <v>CARRERA 5 NO 7-135</v>
          </cell>
          <cell r="G3257">
            <v>3115073824</v>
          </cell>
        </row>
        <row r="3258">
          <cell r="E3258">
            <v>59795607</v>
          </cell>
          <cell r="F3258" t="str">
            <v>CRA 2B NO 26-30</v>
          </cell>
          <cell r="G3258">
            <v>3102460337</v>
          </cell>
        </row>
        <row r="3259">
          <cell r="E3259">
            <v>1115917804</v>
          </cell>
          <cell r="F3259" t="str">
            <v>ESE DE LABRANZAGRANDE</v>
          </cell>
          <cell r="G3259">
            <v>3223147003</v>
          </cell>
        </row>
        <row r="3260">
          <cell r="E3260">
            <v>1049632204</v>
          </cell>
          <cell r="F3260" t="str">
            <v>CARRERA 4 NO 2-19 PAYA</v>
          </cell>
          <cell r="G3260">
            <v>3115020820</v>
          </cell>
        </row>
        <row r="3261">
          <cell r="E3261">
            <v>7177633</v>
          </cell>
          <cell r="F3261" t="str">
            <v>CALLE 6 NO 17-21</v>
          </cell>
          <cell r="G3261">
            <v>3124832161</v>
          </cell>
        </row>
        <row r="3262">
          <cell r="E3262">
            <v>1002759911</v>
          </cell>
          <cell r="F3262" t="str">
            <v>CALLE 12 NO 11-46</v>
          </cell>
          <cell r="G3262">
            <v>3203973107</v>
          </cell>
        </row>
        <row r="3263">
          <cell r="E3263">
            <v>1002547971</v>
          </cell>
          <cell r="F3263" t="str">
            <v>CALLE 3 NO 3-66</v>
          </cell>
          <cell r="G3263">
            <v>3112753918</v>
          </cell>
        </row>
        <row r="3264">
          <cell r="E3264">
            <v>1080187459</v>
          </cell>
          <cell r="F3264" t="str">
            <v>CENTRO SAN LUIS DE GACENO</v>
          </cell>
          <cell r="G3264">
            <v>3160444443</v>
          </cell>
        </row>
        <row r="3265">
          <cell r="E3265">
            <v>1018484273</v>
          </cell>
          <cell r="F3265" t="str">
            <v>CALLE 4 NO 5-26</v>
          </cell>
          <cell r="G3265">
            <v>3162817252</v>
          </cell>
        </row>
        <row r="3266">
          <cell r="E3266">
            <v>1048821914</v>
          </cell>
          <cell r="F3266" t="str">
            <v>VEREDA LA ESTANCIA SOCOTA</v>
          </cell>
          <cell r="G3266">
            <v>3138907849</v>
          </cell>
        </row>
        <row r="3267">
          <cell r="E3267">
            <v>1116615267</v>
          </cell>
          <cell r="F3267" t="str">
            <v>CENTRO DE SALUD DE IZA</v>
          </cell>
          <cell r="G3267">
            <v>3186788975</v>
          </cell>
        </row>
        <row r="3268">
          <cell r="E3268">
            <v>1053611928</v>
          </cell>
          <cell r="F3268" t="str">
            <v>TRANSVERSAL 0A NO 69-50</v>
          </cell>
          <cell r="G3268">
            <v>3133029376</v>
          </cell>
        </row>
        <row r="3269">
          <cell r="E3269">
            <v>71051343</v>
          </cell>
          <cell r="F3269" t="str">
            <v>CRA 5D NO 34-14</v>
          </cell>
          <cell r="G3269">
            <v>3133750530</v>
          </cell>
        </row>
        <row r="3270">
          <cell r="E3270">
            <v>65550754</v>
          </cell>
          <cell r="F3270" t="str">
            <v>CARRERA 6 NO 37-39</v>
          </cell>
          <cell r="G3270">
            <v>3017360147</v>
          </cell>
        </row>
        <row r="3271">
          <cell r="E3271">
            <v>1057584853</v>
          </cell>
          <cell r="F3271" t="str">
            <v>CALLE 27 NI 26-35</v>
          </cell>
          <cell r="G3271">
            <v>3134632710</v>
          </cell>
        </row>
        <row r="3272">
          <cell r="E3272">
            <v>24091336</v>
          </cell>
          <cell r="F3272" t="str">
            <v>CENTRO SOCOTA</v>
          </cell>
          <cell r="G3272">
            <v>3133258461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454"/>
  <sheetViews>
    <sheetView tabSelected="1" zoomScaleNormal="100" zoomScalePageLayoutView="80" workbookViewId="0">
      <selection activeCell="H2" sqref="H1:H1048576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1" ht="133.15" customHeight="1">
      <c r="A1" s="21"/>
      <c r="B1" s="22"/>
      <c r="C1" s="22"/>
      <c r="D1" s="22"/>
      <c r="E1" s="22"/>
      <c r="F1" s="22"/>
      <c r="G1" s="22"/>
      <c r="H1" s="22"/>
      <c r="I1" s="22"/>
      <c r="J1" s="22"/>
    </row>
    <row r="2" spans="1:11">
      <c r="A2" s="30" t="s">
        <v>0</v>
      </c>
      <c r="B2" s="30"/>
      <c r="C2" s="23">
        <v>900483339</v>
      </c>
      <c r="D2" s="24"/>
      <c r="E2" s="25"/>
      <c r="F2" s="1"/>
      <c r="G2" s="1"/>
      <c r="H2" s="1"/>
      <c r="I2" s="10" t="s">
        <v>2243</v>
      </c>
      <c r="J2" s="11" t="s">
        <v>2244</v>
      </c>
    </row>
    <row r="3" spans="1:11">
      <c r="A3" s="31" t="s">
        <v>1</v>
      </c>
      <c r="B3" s="31"/>
      <c r="C3" s="26" t="s">
        <v>2266</v>
      </c>
      <c r="D3" s="24"/>
      <c r="E3" s="25"/>
      <c r="F3" s="1"/>
      <c r="G3" s="1"/>
      <c r="H3" s="1"/>
      <c r="I3" s="1"/>
      <c r="J3" s="1"/>
    </row>
    <row r="4" spans="1:11">
      <c r="A4" s="30" t="s">
        <v>2</v>
      </c>
      <c r="B4" s="30"/>
      <c r="C4" s="23">
        <v>2025</v>
      </c>
      <c r="D4" s="24"/>
      <c r="E4" s="25"/>
      <c r="F4" s="1"/>
      <c r="G4" s="1"/>
      <c r="H4" s="1"/>
      <c r="I4" s="1"/>
      <c r="J4" s="1"/>
    </row>
    <row r="5" spans="1:11">
      <c r="A5" s="32" t="s">
        <v>3</v>
      </c>
      <c r="B5" s="32"/>
      <c r="C5" s="27">
        <v>46203</v>
      </c>
      <c r="D5" s="28"/>
      <c r="E5" s="29"/>
      <c r="F5" s="1"/>
      <c r="G5" s="1"/>
      <c r="H5" s="1"/>
      <c r="I5" s="1"/>
      <c r="J5" s="1"/>
    </row>
    <row r="6" spans="1:11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1" ht="39">
      <c r="A7" s="15">
        <v>1120570</v>
      </c>
      <c r="B7" s="13" t="s">
        <v>2267</v>
      </c>
      <c r="C7" s="13" t="s">
        <v>2268</v>
      </c>
      <c r="D7" s="14">
        <f>VLOOKUP(A7,'[1]ExportarAExcel (2)'!E:G,3,0)</f>
        <v>3124089479</v>
      </c>
      <c r="E7" s="14" t="s">
        <v>2269</v>
      </c>
      <c r="F7" s="14" t="s">
        <v>695</v>
      </c>
      <c r="G7" s="12"/>
      <c r="H7" s="16">
        <v>80000</v>
      </c>
      <c r="I7" s="12">
        <v>0</v>
      </c>
      <c r="J7" s="12">
        <v>0</v>
      </c>
      <c r="K7" s="12"/>
    </row>
    <row r="8" spans="1:11" ht="26.25">
      <c r="A8" s="15">
        <v>3264700</v>
      </c>
      <c r="B8" s="13" t="s">
        <v>2270</v>
      </c>
      <c r="C8" s="13" t="s">
        <v>2271</v>
      </c>
      <c r="D8" s="14">
        <f>VLOOKUP(A8,'[1]ExportarAExcel (2)'!E:G,3,0)</f>
        <v>7706691</v>
      </c>
      <c r="E8" s="13" t="s">
        <v>2272</v>
      </c>
      <c r="F8" s="13" t="s">
        <v>713</v>
      </c>
      <c r="G8" s="12"/>
      <c r="H8" s="16">
        <v>1553962</v>
      </c>
      <c r="I8" s="12">
        <v>0</v>
      </c>
      <c r="J8" s="12">
        <v>0</v>
      </c>
      <c r="K8" s="12"/>
    </row>
    <row r="9" spans="1:11" ht="26.25">
      <c r="A9" s="15">
        <v>4083609</v>
      </c>
      <c r="B9" s="13" t="s">
        <v>2273</v>
      </c>
      <c r="C9" s="13" t="s">
        <v>2250</v>
      </c>
      <c r="D9" s="14">
        <f>VLOOKUP(A9,'[1]ExportarAExcel (2)'!E:G,3,0)</f>
        <v>3132102937</v>
      </c>
      <c r="E9" s="13" t="s">
        <v>2274</v>
      </c>
      <c r="F9" s="13" t="s">
        <v>713</v>
      </c>
      <c r="G9" s="12"/>
      <c r="H9" s="16">
        <v>1800000</v>
      </c>
      <c r="I9" s="12">
        <v>0</v>
      </c>
      <c r="J9" s="12">
        <v>0</v>
      </c>
      <c r="K9" s="12"/>
    </row>
    <row r="10" spans="1:11" ht="26.25">
      <c r="A10" s="15">
        <v>4083819</v>
      </c>
      <c r="B10" s="13" t="s">
        <v>2275</v>
      </c>
      <c r="C10" s="13" t="s">
        <v>2276</v>
      </c>
      <c r="D10" s="14">
        <f>VLOOKUP(A10,'[1]ExportarAExcel (2)'!E:G,3,0)</f>
        <v>3142945603</v>
      </c>
      <c r="E10" s="13" t="s">
        <v>2277</v>
      </c>
      <c r="F10" s="13" t="s">
        <v>727</v>
      </c>
      <c r="G10" s="12"/>
      <c r="H10" s="16">
        <v>25000</v>
      </c>
      <c r="I10" s="12">
        <v>0</v>
      </c>
      <c r="J10" s="12">
        <v>0</v>
      </c>
      <c r="K10" s="12"/>
    </row>
    <row r="11" spans="1:11" ht="26.25">
      <c r="A11" s="15">
        <v>4119036</v>
      </c>
      <c r="B11" s="13" t="s">
        <v>2278</v>
      </c>
      <c r="C11" s="13" t="s">
        <v>2279</v>
      </c>
      <c r="D11" s="14">
        <f>VLOOKUP(A11,'[1]ExportarAExcel (2)'!E:G,3,0)</f>
        <v>3112191185</v>
      </c>
      <c r="E11" s="13" t="s">
        <v>2280</v>
      </c>
      <c r="F11" s="13" t="s">
        <v>703</v>
      </c>
      <c r="G11" s="12"/>
      <c r="H11" s="16">
        <v>160000</v>
      </c>
      <c r="I11" s="12">
        <v>0</v>
      </c>
      <c r="J11" s="12">
        <v>0</v>
      </c>
      <c r="K11" s="12"/>
    </row>
    <row r="12" spans="1:11" ht="26.25">
      <c r="A12" s="15">
        <v>4134154</v>
      </c>
      <c r="B12" s="13" t="s">
        <v>2281</v>
      </c>
      <c r="C12" s="13" t="s">
        <v>2282</v>
      </c>
      <c r="D12" s="14">
        <f>VLOOKUP(A12,'[1]ExportarAExcel (2)'!E:G,3,0)</f>
        <v>7251479</v>
      </c>
      <c r="E12" s="14" t="s">
        <v>2283</v>
      </c>
      <c r="F12" s="14" t="s">
        <v>538</v>
      </c>
      <c r="G12" s="12"/>
      <c r="H12" s="16">
        <v>2100000</v>
      </c>
      <c r="I12" s="12">
        <v>0</v>
      </c>
      <c r="J12" s="12">
        <v>0</v>
      </c>
      <c r="K12" s="12"/>
    </row>
    <row r="13" spans="1:11" ht="26.25">
      <c r="A13" s="15">
        <v>4136658</v>
      </c>
      <c r="B13" s="13" t="s">
        <v>2284</v>
      </c>
      <c r="C13" s="13" t="s">
        <v>2285</v>
      </c>
      <c r="D13" s="14">
        <f>VLOOKUP(A13,'[1]ExportarAExcel (2)'!E:G,3,0)</f>
        <v>7790004</v>
      </c>
      <c r="E13" s="13" t="s">
        <v>2286</v>
      </c>
      <c r="F13" s="13" t="s">
        <v>703</v>
      </c>
      <c r="G13" s="12"/>
      <c r="H13" s="16">
        <v>580000</v>
      </c>
      <c r="I13" s="12">
        <v>0</v>
      </c>
      <c r="J13" s="12">
        <v>0</v>
      </c>
      <c r="K13" s="12"/>
    </row>
    <row r="14" spans="1:11" ht="26.25">
      <c r="A14" s="15">
        <v>4144081</v>
      </c>
      <c r="B14" s="13" t="s">
        <v>2287</v>
      </c>
      <c r="C14" s="13" t="s">
        <v>2288</v>
      </c>
      <c r="D14" s="14">
        <f>VLOOKUP(A14,'[1]ExportarAExcel (2)'!E:G,3,0)</f>
        <v>0</v>
      </c>
      <c r="E14" s="13" t="s">
        <v>2289</v>
      </c>
      <c r="F14" s="13" t="s">
        <v>554</v>
      </c>
      <c r="G14" s="12"/>
      <c r="H14" s="16">
        <f>5100000+1200000</f>
        <v>6300000</v>
      </c>
      <c r="I14" s="12">
        <v>0</v>
      </c>
      <c r="J14" s="12">
        <v>0</v>
      </c>
      <c r="K14" s="12"/>
    </row>
    <row r="15" spans="1:11" ht="26.25">
      <c r="A15" s="15">
        <v>4150184</v>
      </c>
      <c r="B15" s="13" t="s">
        <v>2290</v>
      </c>
      <c r="C15" s="13" t="s">
        <v>2291</v>
      </c>
      <c r="D15" s="14">
        <f>VLOOKUP(A15,'[1]ExportarAExcel (2)'!E:G,3,0)</f>
        <v>3028512151</v>
      </c>
      <c r="E15" s="13" t="s">
        <v>2292</v>
      </c>
      <c r="F15" s="13" t="s">
        <v>1402</v>
      </c>
      <c r="G15" s="12"/>
      <c r="H15" s="16">
        <v>288000</v>
      </c>
      <c r="I15" s="12">
        <v>0</v>
      </c>
      <c r="J15" s="12">
        <v>0</v>
      </c>
      <c r="K15" s="12"/>
    </row>
    <row r="16" spans="1:11" ht="26.25">
      <c r="A16" s="15">
        <v>4192365</v>
      </c>
      <c r="B16" s="13" t="s">
        <v>2293</v>
      </c>
      <c r="C16" s="13" t="s">
        <v>2294</v>
      </c>
      <c r="D16" s="14">
        <f>VLOOKUP(A16,'[1]ExportarAExcel (2)'!E:G,3,0)</f>
        <v>0</v>
      </c>
      <c r="E16" s="13" t="s">
        <v>2295</v>
      </c>
      <c r="F16" s="13" t="s">
        <v>534</v>
      </c>
      <c r="G16" s="12"/>
      <c r="H16" s="16">
        <v>15376600</v>
      </c>
      <c r="I16" s="12">
        <v>0</v>
      </c>
      <c r="J16" s="12">
        <v>0</v>
      </c>
      <c r="K16" s="12"/>
    </row>
    <row r="17" spans="1:11" ht="26.25">
      <c r="A17" s="15">
        <v>4204625</v>
      </c>
      <c r="B17" s="13" t="s">
        <v>2296</v>
      </c>
      <c r="C17" s="13" t="s">
        <v>2297</v>
      </c>
      <c r="D17" s="14">
        <f>VLOOKUP(A17,'[1]ExportarAExcel (2)'!E:G,3,0)</f>
        <v>3209100104</v>
      </c>
      <c r="E17" s="14" t="s">
        <v>2298</v>
      </c>
      <c r="F17" s="14" t="s">
        <v>558</v>
      </c>
      <c r="G17" s="12"/>
      <c r="H17" s="16">
        <v>6000000</v>
      </c>
      <c r="I17" s="12">
        <v>0</v>
      </c>
      <c r="J17" s="12">
        <v>0</v>
      </c>
      <c r="K17" s="12"/>
    </row>
    <row r="18" spans="1:11" ht="39">
      <c r="A18" s="15">
        <v>4218467</v>
      </c>
      <c r="B18" s="13" t="s">
        <v>2299</v>
      </c>
      <c r="C18" s="13" t="s">
        <v>2300</v>
      </c>
      <c r="D18" s="14">
        <f>VLOOKUP(A18,'[1]ExportarAExcel (2)'!E:G,3,0)</f>
        <v>3204378194</v>
      </c>
      <c r="E18" s="14" t="s">
        <v>2301</v>
      </c>
      <c r="F18" s="14" t="s">
        <v>695</v>
      </c>
      <c r="G18" s="12"/>
      <c r="H18" s="16">
        <v>80000</v>
      </c>
      <c r="I18" s="12">
        <v>0</v>
      </c>
      <c r="J18" s="12">
        <v>0</v>
      </c>
      <c r="K18" s="12"/>
    </row>
    <row r="19" spans="1:11" ht="26.25">
      <c r="A19" s="15">
        <v>4218483</v>
      </c>
      <c r="B19" s="13" t="s">
        <v>2302</v>
      </c>
      <c r="C19" s="13" t="s">
        <v>2303</v>
      </c>
      <c r="D19" s="14">
        <f>VLOOKUP(A19,'[1]ExportarAExcel (2)'!E:G,3,0)</f>
        <v>3123527740</v>
      </c>
      <c r="E19" s="13" t="s">
        <v>2304</v>
      </c>
      <c r="F19" s="13" t="s">
        <v>695</v>
      </c>
      <c r="G19" s="12"/>
      <c r="H19" s="16">
        <v>218000</v>
      </c>
      <c r="I19" s="12">
        <v>0</v>
      </c>
      <c r="J19" s="12">
        <v>0</v>
      </c>
      <c r="K19" s="12"/>
    </row>
    <row r="20" spans="1:11" ht="26.25">
      <c r="A20" s="15">
        <v>4219030</v>
      </c>
      <c r="B20" s="13" t="s">
        <v>2305</v>
      </c>
      <c r="C20" s="13" t="s">
        <v>2306</v>
      </c>
      <c r="D20" s="14">
        <f>VLOOKUP(A20,'[1]ExportarAExcel (2)'!E:G,3,0)</f>
        <v>7790004</v>
      </c>
      <c r="E20" s="14" t="s">
        <v>2286</v>
      </c>
      <c r="F20" s="14" t="s">
        <v>703</v>
      </c>
      <c r="G20" s="12"/>
      <c r="H20" s="16">
        <v>80000</v>
      </c>
      <c r="I20" s="12">
        <v>0</v>
      </c>
      <c r="J20" s="12">
        <v>0</v>
      </c>
      <c r="K20" s="12"/>
    </row>
    <row r="21" spans="1:11" ht="15.75" customHeight="1">
      <c r="A21" s="15">
        <v>4232588</v>
      </c>
      <c r="B21" s="13" t="s">
        <v>2307</v>
      </c>
      <c r="C21" s="13" t="s">
        <v>2308</v>
      </c>
      <c r="D21" s="14">
        <f>VLOOKUP(A21,'[1]ExportarAExcel (2)'!E:G,3,0)</f>
        <v>3204991698</v>
      </c>
      <c r="E21" s="13" t="s">
        <v>2309</v>
      </c>
      <c r="F21" s="13" t="s">
        <v>677</v>
      </c>
      <c r="G21" s="12"/>
      <c r="H21" s="16">
        <v>72000</v>
      </c>
      <c r="I21" s="12">
        <v>0</v>
      </c>
      <c r="J21" s="12">
        <v>0</v>
      </c>
      <c r="K21" s="12"/>
    </row>
    <row r="22" spans="1:11" ht="15.75" customHeight="1">
      <c r="A22" s="15">
        <v>4249324</v>
      </c>
      <c r="B22" s="13" t="s">
        <v>2310</v>
      </c>
      <c r="C22" s="13" t="s">
        <v>2311</v>
      </c>
      <c r="D22" s="14">
        <f>VLOOKUP(A22,'[1]ExportarAExcel (2)'!E:G,3,0)</f>
        <v>3208734885</v>
      </c>
      <c r="E22" s="13" t="s">
        <v>2312</v>
      </c>
      <c r="F22" s="13" t="s">
        <v>713</v>
      </c>
      <c r="G22" s="12"/>
      <c r="H22" s="16">
        <v>330000</v>
      </c>
      <c r="I22" s="12">
        <v>0</v>
      </c>
      <c r="J22" s="12">
        <v>0</v>
      </c>
      <c r="K22" s="12"/>
    </row>
    <row r="23" spans="1:11" ht="15.75" customHeight="1">
      <c r="A23" s="15">
        <v>4254776</v>
      </c>
      <c r="B23" s="13" t="s">
        <v>2313</v>
      </c>
      <c r="C23" s="13" t="s">
        <v>2314</v>
      </c>
      <c r="D23" s="14">
        <f>VLOOKUP(A23,'[1]ExportarAExcel (2)'!E:G,3,0)</f>
        <v>3215523223</v>
      </c>
      <c r="E23" s="14" t="s">
        <v>2315</v>
      </c>
      <c r="F23" s="14" t="s">
        <v>748</v>
      </c>
      <c r="G23" s="12"/>
      <c r="H23" s="16">
        <v>2062000</v>
      </c>
      <c r="I23" s="12">
        <v>0</v>
      </c>
      <c r="J23" s="12">
        <v>0</v>
      </c>
      <c r="K23" s="12"/>
    </row>
    <row r="24" spans="1:11" ht="15.75" customHeight="1">
      <c r="A24" s="15">
        <v>4268095</v>
      </c>
      <c r="B24" s="13" t="s">
        <v>2316</v>
      </c>
      <c r="C24" s="13" t="s">
        <v>2317</v>
      </c>
      <c r="D24" s="14">
        <f>VLOOKUP(A24,'[1]ExportarAExcel (2)'!E:G,3,0)</f>
        <v>6087357216</v>
      </c>
      <c r="E24" s="14" t="s">
        <v>2318</v>
      </c>
      <c r="F24" s="14" t="s">
        <v>677</v>
      </c>
      <c r="G24" s="12"/>
      <c r="H24" s="16">
        <v>90000</v>
      </c>
      <c r="I24" s="12">
        <v>0</v>
      </c>
      <c r="J24" s="12">
        <v>0</v>
      </c>
      <c r="K24" s="12"/>
    </row>
    <row r="25" spans="1:11" ht="15.75" customHeight="1">
      <c r="A25" s="15">
        <v>4272149</v>
      </c>
      <c r="B25" s="13" t="s">
        <v>2319</v>
      </c>
      <c r="C25" s="13" t="s">
        <v>2320</v>
      </c>
      <c r="D25" s="14">
        <f>VLOOKUP(A25,'[1]ExportarAExcel (2)'!E:G,3,0)</f>
        <v>0</v>
      </c>
      <c r="E25" s="13" t="s">
        <v>2321</v>
      </c>
      <c r="F25" s="13" t="s">
        <v>729</v>
      </c>
      <c r="G25" s="12"/>
      <c r="H25" s="16">
        <v>90000</v>
      </c>
      <c r="I25" s="12">
        <v>0</v>
      </c>
      <c r="J25" s="12">
        <v>0</v>
      </c>
      <c r="K25" s="12"/>
    </row>
    <row r="26" spans="1:11" ht="15.75" customHeight="1">
      <c r="A26" s="15">
        <v>4282310</v>
      </c>
      <c r="B26" s="13" t="s">
        <v>2322</v>
      </c>
      <c r="C26" s="13" t="s">
        <v>2323</v>
      </c>
      <c r="D26" s="14">
        <f>VLOOKUP(A26,'[1]ExportarAExcel (2)'!E:G,3,0)</f>
        <v>3112647137</v>
      </c>
      <c r="E26" s="13" t="s">
        <v>2324</v>
      </c>
      <c r="F26" s="13" t="s">
        <v>717</v>
      </c>
      <c r="G26" s="12"/>
      <c r="H26" s="16">
        <v>11800000</v>
      </c>
      <c r="I26" s="12">
        <v>0</v>
      </c>
      <c r="J26" s="12">
        <v>0</v>
      </c>
      <c r="K26" s="12"/>
    </row>
    <row r="27" spans="1:11" ht="15.75" customHeight="1">
      <c r="A27" s="15">
        <v>6773442</v>
      </c>
      <c r="B27" s="13" t="s">
        <v>2325</v>
      </c>
      <c r="C27" s="13" t="s">
        <v>2326</v>
      </c>
      <c r="D27" s="14">
        <f>VLOOKUP(A27,'[1]ExportarAExcel (2)'!E:G,3,0)</f>
        <v>3214617023</v>
      </c>
      <c r="E27" s="13" t="s">
        <v>2327</v>
      </c>
      <c r="F27" s="13" t="s">
        <v>534</v>
      </c>
      <c r="G27" s="12"/>
      <c r="H27" s="16">
        <v>46000</v>
      </c>
      <c r="I27" s="12">
        <v>0</v>
      </c>
      <c r="J27" s="12">
        <v>0</v>
      </c>
      <c r="K27" s="12"/>
    </row>
    <row r="28" spans="1:11" ht="15.75" customHeight="1">
      <c r="A28" s="15">
        <v>7125192</v>
      </c>
      <c r="B28" s="13" t="s">
        <v>2328</v>
      </c>
      <c r="C28" s="13" t="s">
        <v>2329</v>
      </c>
      <c r="D28" s="14">
        <f>VLOOKUP(A28,'[1]ExportarAExcel (2)'!E:G,3,0)</f>
        <v>0</v>
      </c>
      <c r="E28" s="13" t="s">
        <v>2330</v>
      </c>
      <c r="F28" s="13" t="s">
        <v>695</v>
      </c>
      <c r="G28" s="12"/>
      <c r="H28" s="16">
        <v>80000</v>
      </c>
      <c r="I28" s="12">
        <v>0</v>
      </c>
      <c r="J28" s="12">
        <v>0</v>
      </c>
      <c r="K28" s="12"/>
    </row>
    <row r="29" spans="1:11" ht="15.75" customHeight="1">
      <c r="A29" s="15">
        <v>7126167</v>
      </c>
      <c r="B29" s="13" t="s">
        <v>2331</v>
      </c>
      <c r="C29" s="13" t="s">
        <v>2332</v>
      </c>
      <c r="D29" s="14">
        <f>VLOOKUP(A29,'[1]ExportarAExcel (2)'!E:G,3,0)</f>
        <v>3132519727</v>
      </c>
      <c r="E29" s="13" t="s">
        <v>2333</v>
      </c>
      <c r="F29" s="13" t="s">
        <v>713</v>
      </c>
      <c r="G29" s="12"/>
      <c r="H29" s="16">
        <v>1600000</v>
      </c>
      <c r="I29" s="12">
        <v>0</v>
      </c>
      <c r="J29" s="12">
        <v>0</v>
      </c>
      <c r="K29" s="12"/>
    </row>
    <row r="30" spans="1:11" ht="15.75" customHeight="1">
      <c r="A30" s="15">
        <v>7128427</v>
      </c>
      <c r="B30" s="13" t="s">
        <v>2334</v>
      </c>
      <c r="C30" s="13" t="s">
        <v>2335</v>
      </c>
      <c r="D30" s="14">
        <f>VLOOKUP(A30,'[1]ExportarAExcel (2)'!E:G,3,0)</f>
        <v>3146631350</v>
      </c>
      <c r="E30" s="13" t="s">
        <v>2336</v>
      </c>
      <c r="F30" s="13" t="s">
        <v>679</v>
      </c>
      <c r="G30" s="12"/>
      <c r="H30" s="16">
        <v>696557</v>
      </c>
      <c r="I30" s="12">
        <v>0</v>
      </c>
      <c r="J30" s="12">
        <v>0</v>
      </c>
      <c r="K30" s="12"/>
    </row>
    <row r="31" spans="1:11" ht="15.75" customHeight="1">
      <c r="A31" s="15">
        <v>7169949</v>
      </c>
      <c r="B31" s="13" t="s">
        <v>2337</v>
      </c>
      <c r="C31" s="13" t="s">
        <v>2338</v>
      </c>
      <c r="D31" s="14">
        <f>VLOOKUP(A31,'[1]ExportarAExcel (2)'!E:G,3,0)</f>
        <v>0</v>
      </c>
      <c r="E31" s="13" t="s">
        <v>2339</v>
      </c>
      <c r="F31" s="13" t="s">
        <v>687</v>
      </c>
      <c r="G31" s="12"/>
      <c r="H31" s="16">
        <v>234500</v>
      </c>
      <c r="I31" s="12">
        <v>0</v>
      </c>
      <c r="J31" s="12">
        <v>0</v>
      </c>
      <c r="K31" s="12"/>
    </row>
    <row r="32" spans="1:11" ht="15.75" customHeight="1">
      <c r="A32" s="15">
        <v>7176587</v>
      </c>
      <c r="B32" s="13" t="s">
        <v>2340</v>
      </c>
      <c r="C32" s="13" t="s">
        <v>2341</v>
      </c>
      <c r="D32" s="14">
        <f>VLOOKUP(A32,'[1]ExportarAExcel (2)'!E:G,3,0)</f>
        <v>7454094</v>
      </c>
      <c r="E32" s="13" t="s">
        <v>2342</v>
      </c>
      <c r="F32" s="13" t="s">
        <v>534</v>
      </c>
      <c r="G32" s="12"/>
      <c r="H32" s="16">
        <v>81700</v>
      </c>
      <c r="I32" s="12">
        <v>0</v>
      </c>
      <c r="J32" s="12">
        <v>0</v>
      </c>
      <c r="K32" s="12"/>
    </row>
    <row r="33" spans="1:11" ht="15.75" customHeight="1">
      <c r="A33" s="15">
        <v>7182526</v>
      </c>
      <c r="B33" s="13" t="s">
        <v>2343</v>
      </c>
      <c r="C33" s="13" t="s">
        <v>2344</v>
      </c>
      <c r="D33" s="14">
        <f>VLOOKUP(A33,'[1]ExportarAExcel (2)'!E:G,3,0)</f>
        <v>7879110</v>
      </c>
      <c r="E33" s="14" t="s">
        <v>2345</v>
      </c>
      <c r="F33" s="14" t="s">
        <v>750</v>
      </c>
      <c r="G33" s="12"/>
      <c r="H33" s="16">
        <v>400000</v>
      </c>
      <c r="I33" s="12">
        <v>0</v>
      </c>
      <c r="J33" s="12">
        <v>0</v>
      </c>
      <c r="K33" s="12"/>
    </row>
    <row r="34" spans="1:11" ht="15.75" customHeight="1">
      <c r="A34" s="15">
        <v>7210236</v>
      </c>
      <c r="B34" s="13" t="s">
        <v>2346</v>
      </c>
      <c r="C34" s="13" t="s">
        <v>2347</v>
      </c>
      <c r="D34" s="14">
        <f>VLOOKUP(A34,'[1]ExportarAExcel (2)'!E:G,3,0)</f>
        <v>6087728488</v>
      </c>
      <c r="E34" s="13" t="s">
        <v>2348</v>
      </c>
      <c r="F34" s="13" t="s">
        <v>713</v>
      </c>
      <c r="G34" s="12"/>
      <c r="H34" s="16">
        <v>29000</v>
      </c>
      <c r="I34" s="12">
        <v>0</v>
      </c>
      <c r="J34" s="12">
        <v>0</v>
      </c>
      <c r="K34" s="12"/>
    </row>
    <row r="35" spans="1:11" ht="15.75" customHeight="1">
      <c r="A35" s="15">
        <v>7224761</v>
      </c>
      <c r="B35" s="13" t="s">
        <v>2349</v>
      </c>
      <c r="C35" s="13" t="s">
        <v>2350</v>
      </c>
      <c r="D35" s="14">
        <f>VLOOKUP(A35,'[1]ExportarAExcel (2)'!E:G,3,0)</f>
        <v>3144431210</v>
      </c>
      <c r="E35" s="13" t="s">
        <v>2351</v>
      </c>
      <c r="F35" s="13" t="s">
        <v>695</v>
      </c>
      <c r="G35" s="12"/>
      <c r="H35" s="16">
        <v>348000</v>
      </c>
      <c r="I35" s="12">
        <v>0</v>
      </c>
      <c r="J35" s="12">
        <v>0</v>
      </c>
      <c r="K35" s="12"/>
    </row>
    <row r="36" spans="1:11" ht="15.75" customHeight="1">
      <c r="A36" s="15">
        <v>7228581</v>
      </c>
      <c r="B36" s="13" t="s">
        <v>2352</v>
      </c>
      <c r="C36" s="13" t="s">
        <v>2353</v>
      </c>
      <c r="D36" s="14">
        <f>VLOOKUP(A36,'[1]ExportarAExcel (2)'!E:G,3,0)</f>
        <v>3197403411</v>
      </c>
      <c r="E36" s="13" t="s">
        <v>2354</v>
      </c>
      <c r="F36" s="13" t="s">
        <v>729</v>
      </c>
      <c r="G36" s="12"/>
      <c r="H36" s="16">
        <v>650000</v>
      </c>
      <c r="I36" s="12">
        <v>0</v>
      </c>
      <c r="J36" s="12">
        <v>0</v>
      </c>
      <c r="K36" s="12"/>
    </row>
    <row r="37" spans="1:11" ht="15.75" customHeight="1">
      <c r="A37" s="15">
        <v>7306746</v>
      </c>
      <c r="B37" s="13" t="s">
        <v>2355</v>
      </c>
      <c r="C37" s="13" t="s">
        <v>2250</v>
      </c>
      <c r="D37" s="14">
        <f>VLOOKUP(A37,'[1]ExportarAExcel (2)'!E:G,3,0)</f>
        <v>3112783866</v>
      </c>
      <c r="E37" s="13" t="s">
        <v>2356</v>
      </c>
      <c r="F37" s="13" t="s">
        <v>649</v>
      </c>
      <c r="G37" s="12"/>
      <c r="H37" s="16">
        <v>425000</v>
      </c>
      <c r="I37" s="12">
        <v>0</v>
      </c>
      <c r="J37" s="12">
        <v>0</v>
      </c>
      <c r="K37" s="12"/>
    </row>
    <row r="38" spans="1:11" ht="15.75" customHeight="1">
      <c r="A38" s="15">
        <v>7307448</v>
      </c>
      <c r="B38" s="13" t="s">
        <v>2357</v>
      </c>
      <c r="C38" s="13" t="s">
        <v>2358</v>
      </c>
      <c r="D38" s="14">
        <f>VLOOKUP(A38,'[1]ExportarAExcel (2)'!E:G,3,0)</f>
        <v>0</v>
      </c>
      <c r="E38" s="13" t="s">
        <v>2359</v>
      </c>
      <c r="F38" s="13" t="s">
        <v>649</v>
      </c>
      <c r="G38" s="12"/>
      <c r="H38" s="16">
        <v>250000</v>
      </c>
      <c r="I38" s="12">
        <v>0</v>
      </c>
      <c r="J38" s="12">
        <v>0</v>
      </c>
      <c r="K38" s="12"/>
    </row>
    <row r="39" spans="1:11" ht="15.75" customHeight="1">
      <c r="A39" s="15">
        <v>7312377</v>
      </c>
      <c r="B39" s="13" t="s">
        <v>2360</v>
      </c>
      <c r="C39" s="13" t="s">
        <v>2361</v>
      </c>
      <c r="D39" s="14">
        <f>VLOOKUP(A39,'[1]ExportarAExcel (2)'!E:G,3,0)</f>
        <v>0</v>
      </c>
      <c r="E39" s="13" t="s">
        <v>2362</v>
      </c>
      <c r="F39" s="13" t="s">
        <v>649</v>
      </c>
      <c r="G39" s="12"/>
      <c r="H39" s="16">
        <v>330000</v>
      </c>
      <c r="I39" s="12">
        <v>0</v>
      </c>
      <c r="J39" s="12">
        <v>0</v>
      </c>
      <c r="K39" s="12"/>
    </row>
    <row r="40" spans="1:11" ht="15.75" customHeight="1">
      <c r="A40" s="15">
        <v>7320888</v>
      </c>
      <c r="B40" s="13" t="s">
        <v>2363</v>
      </c>
      <c r="C40" s="13" t="s">
        <v>2364</v>
      </c>
      <c r="D40" s="14">
        <f>VLOOKUP(A40,'[1]ExportarAExcel (2)'!E:G,3,0)</f>
        <v>3213332361</v>
      </c>
      <c r="E40" s="13" t="s">
        <v>2365</v>
      </c>
      <c r="F40" s="13" t="s">
        <v>554</v>
      </c>
      <c r="G40" s="12"/>
      <c r="H40" s="16">
        <v>3675000</v>
      </c>
      <c r="I40" s="12">
        <v>0</v>
      </c>
      <c r="J40" s="12">
        <v>0</v>
      </c>
      <c r="K40" s="12"/>
    </row>
    <row r="41" spans="1:11" ht="15.75" customHeight="1">
      <c r="A41" s="15">
        <v>9526199</v>
      </c>
      <c r="B41" s="13" t="s">
        <v>2366</v>
      </c>
      <c r="C41" s="13" t="s">
        <v>2367</v>
      </c>
      <c r="D41" s="14">
        <f>VLOOKUP(A41,'[1]ExportarAExcel (2)'!E:G,3,0)</f>
        <v>0</v>
      </c>
      <c r="E41" s="14" t="s">
        <v>2368</v>
      </c>
      <c r="F41" s="14" t="s">
        <v>554</v>
      </c>
      <c r="G41" s="12"/>
      <c r="H41" s="16">
        <v>15786000</v>
      </c>
      <c r="I41" s="12">
        <v>0</v>
      </c>
      <c r="J41" s="12">
        <v>0</v>
      </c>
      <c r="K41" s="12"/>
    </row>
    <row r="42" spans="1:11" ht="15.75" customHeight="1">
      <c r="A42" s="15">
        <v>9527074</v>
      </c>
      <c r="B42" s="13" t="s">
        <v>2369</v>
      </c>
      <c r="C42" s="13" t="s">
        <v>2370</v>
      </c>
      <c r="D42" s="14">
        <f>VLOOKUP(A42,'[1]ExportarAExcel (2)'!E:G,3,0)</f>
        <v>3102963861</v>
      </c>
      <c r="E42" s="14" t="s">
        <v>2365</v>
      </c>
      <c r="F42" s="14" t="s">
        <v>554</v>
      </c>
      <c r="G42" s="12"/>
      <c r="H42" s="16">
        <v>500000</v>
      </c>
      <c r="I42" s="12">
        <v>0</v>
      </c>
      <c r="J42" s="12">
        <v>0</v>
      </c>
      <c r="K42" s="12"/>
    </row>
    <row r="43" spans="1:11" ht="15.75" customHeight="1">
      <c r="A43" s="15">
        <v>9529106</v>
      </c>
      <c r="B43" s="13" t="s">
        <v>2371</v>
      </c>
      <c r="C43" s="13" t="s">
        <v>2372</v>
      </c>
      <c r="D43" s="14" t="str">
        <f>VLOOKUP(A43,'[1]ExportarAExcel (2)'!E:G,3,0)</f>
        <v>3208424347_x000D_
3208424347</v>
      </c>
      <c r="E43" s="13" t="s">
        <v>2373</v>
      </c>
      <c r="F43" s="13" t="s">
        <v>713</v>
      </c>
      <c r="G43" s="12"/>
      <c r="H43" s="16">
        <f>42895121+2315000</f>
        <v>45210121</v>
      </c>
      <c r="I43" s="12">
        <v>0</v>
      </c>
      <c r="J43" s="12">
        <v>0</v>
      </c>
      <c r="K43" s="12"/>
    </row>
    <row r="44" spans="1:11" ht="15" customHeight="1">
      <c r="A44" s="15">
        <v>9531662</v>
      </c>
      <c r="B44" s="13" t="s">
        <v>2374</v>
      </c>
      <c r="C44" s="13" t="s">
        <v>2375</v>
      </c>
      <c r="D44" s="14">
        <f>VLOOKUP(A44,'[1]ExportarAExcel (2)'!E:G,3,0)</f>
        <v>3208351660</v>
      </c>
      <c r="E44" s="13" t="s">
        <v>2376</v>
      </c>
      <c r="F44" s="13" t="s">
        <v>695</v>
      </c>
      <c r="G44" s="12"/>
      <c r="H44" s="16">
        <v>250000</v>
      </c>
      <c r="I44" s="12">
        <v>0</v>
      </c>
      <c r="J44" s="12">
        <v>0</v>
      </c>
      <c r="K44" s="12"/>
    </row>
    <row r="45" spans="1:11" ht="15" customHeight="1">
      <c r="A45" s="15">
        <v>9534148</v>
      </c>
      <c r="B45" s="13" t="s">
        <v>2377</v>
      </c>
      <c r="C45" s="13" t="s">
        <v>2378</v>
      </c>
      <c r="D45" s="14">
        <f>VLOOKUP(A45,'[1]ExportarAExcel (2)'!E:G,3,0)</f>
        <v>3005625034</v>
      </c>
      <c r="E45" s="14" t="s">
        <v>2379</v>
      </c>
      <c r="F45" s="14" t="s">
        <v>713</v>
      </c>
      <c r="G45" s="12"/>
      <c r="H45" s="16">
        <v>1423500</v>
      </c>
      <c r="I45" s="12">
        <v>0</v>
      </c>
      <c r="J45" s="12">
        <v>0</v>
      </c>
      <c r="K45" s="12"/>
    </row>
    <row r="46" spans="1:11" ht="15" customHeight="1">
      <c r="A46" s="15">
        <v>9534222</v>
      </c>
      <c r="B46" s="13" t="s">
        <v>2380</v>
      </c>
      <c r="C46" s="13" t="s">
        <v>2381</v>
      </c>
      <c r="D46" s="14">
        <f>VLOOKUP(A46,'[1]ExportarAExcel (2)'!E:G,3,0)</f>
        <v>3123772340</v>
      </c>
      <c r="E46" s="13" t="s">
        <v>2382</v>
      </c>
      <c r="F46" s="13" t="s">
        <v>713</v>
      </c>
      <c r="G46" s="12"/>
      <c r="H46" s="16">
        <v>70000</v>
      </c>
      <c r="I46" s="12">
        <v>0</v>
      </c>
      <c r="J46" s="12">
        <v>0</v>
      </c>
      <c r="K46" s="12"/>
    </row>
    <row r="47" spans="1:11" ht="15" customHeight="1">
      <c r="A47" s="15">
        <v>9534963</v>
      </c>
      <c r="B47" s="13" t="s">
        <v>2383</v>
      </c>
      <c r="C47" s="13" t="s">
        <v>2384</v>
      </c>
      <c r="D47" s="14">
        <f>VLOOKUP(A47,'[1]ExportarAExcel (2)'!E:G,3,0)</f>
        <v>3114752369</v>
      </c>
      <c r="E47" s="13" t="s">
        <v>2385</v>
      </c>
      <c r="F47" s="13" t="s">
        <v>713</v>
      </c>
      <c r="G47" s="12"/>
      <c r="H47" s="16">
        <v>6661000</v>
      </c>
      <c r="I47" s="12">
        <v>0</v>
      </c>
      <c r="J47" s="12">
        <v>0</v>
      </c>
      <c r="K47" s="12"/>
    </row>
    <row r="48" spans="1:11" ht="15" customHeight="1">
      <c r="A48" s="15">
        <v>9590129</v>
      </c>
      <c r="B48" s="13" t="s">
        <v>2386</v>
      </c>
      <c r="C48" s="13" t="s">
        <v>2387</v>
      </c>
      <c r="D48" s="14">
        <f>VLOOKUP(A48,'[1]ExportarAExcel (2)'!E:G,3,0)</f>
        <v>3132377209</v>
      </c>
      <c r="E48" s="14" t="s">
        <v>2388</v>
      </c>
      <c r="F48" s="14" t="s">
        <v>721</v>
      </c>
      <c r="G48" s="12"/>
      <c r="H48" s="16">
        <v>220000</v>
      </c>
      <c r="I48" s="12">
        <v>0</v>
      </c>
      <c r="J48" s="12">
        <v>0</v>
      </c>
      <c r="K48" s="12"/>
    </row>
    <row r="49" spans="1:11" ht="15" customHeight="1">
      <c r="A49" s="15">
        <v>11185719</v>
      </c>
      <c r="B49" s="13" t="s">
        <v>2389</v>
      </c>
      <c r="C49" s="13" t="s">
        <v>2390</v>
      </c>
      <c r="D49" s="14">
        <f>VLOOKUP(A49,'[1]ExportarAExcel (2)'!E:G,3,0)</f>
        <v>3128698196</v>
      </c>
      <c r="E49" s="13" t="s">
        <v>2391</v>
      </c>
      <c r="F49" s="13" t="s">
        <v>713</v>
      </c>
      <c r="G49" s="12"/>
      <c r="H49" s="16">
        <v>240000</v>
      </c>
      <c r="I49" s="12">
        <v>0</v>
      </c>
      <c r="J49" s="12">
        <v>0</v>
      </c>
      <c r="K49" s="12"/>
    </row>
    <row r="50" spans="1:11" ht="15" customHeight="1">
      <c r="A50" s="15">
        <v>13850094</v>
      </c>
      <c r="B50" s="13" t="s">
        <v>2392</v>
      </c>
      <c r="C50" s="13" t="s">
        <v>2393</v>
      </c>
      <c r="D50" s="14">
        <f>VLOOKUP(A50,'[1]ExportarAExcel (2)'!E:G,3,0)</f>
        <v>3148691275</v>
      </c>
      <c r="E50" s="13" t="s">
        <v>2394</v>
      </c>
      <c r="F50" s="13" t="s">
        <v>695</v>
      </c>
      <c r="G50" s="12"/>
      <c r="H50" s="16">
        <v>2700000</v>
      </c>
      <c r="I50" s="12">
        <v>0</v>
      </c>
      <c r="J50" s="12">
        <v>0</v>
      </c>
      <c r="K50" s="12"/>
    </row>
    <row r="51" spans="1:11" ht="15" customHeight="1">
      <c r="A51" s="15">
        <v>16115374</v>
      </c>
      <c r="B51" s="13" t="s">
        <v>2395</v>
      </c>
      <c r="C51" s="13" t="s">
        <v>2396</v>
      </c>
      <c r="D51" s="14">
        <f>VLOOKUP(A51,'[1]ExportarAExcel (2)'!E:G,3,0)</f>
        <v>3228892693</v>
      </c>
      <c r="E51" s="13" t="s">
        <v>2397</v>
      </c>
      <c r="F51" s="13" t="s">
        <v>677</v>
      </c>
      <c r="G51" s="12"/>
      <c r="H51" s="16">
        <v>470000</v>
      </c>
      <c r="I51" s="12">
        <v>0</v>
      </c>
      <c r="J51" s="12">
        <v>0</v>
      </c>
      <c r="K51" s="12"/>
    </row>
    <row r="52" spans="1:11" ht="15" customHeight="1">
      <c r="A52" s="15">
        <v>16185333</v>
      </c>
      <c r="B52" s="13" t="s">
        <v>2398</v>
      </c>
      <c r="C52" s="13" t="s">
        <v>2399</v>
      </c>
      <c r="D52" s="14">
        <f>VLOOKUP(A52,'[1]ExportarAExcel (2)'!E:G,3,0)</f>
        <v>3177723023</v>
      </c>
      <c r="E52" s="14" t="s">
        <v>2400</v>
      </c>
      <c r="F52" s="14" t="s">
        <v>695</v>
      </c>
      <c r="G52" s="12"/>
      <c r="H52" s="16">
        <v>67000000</v>
      </c>
      <c r="I52" s="12">
        <v>0</v>
      </c>
      <c r="J52" s="12">
        <v>0</v>
      </c>
      <c r="K52" s="12"/>
    </row>
    <row r="53" spans="1:11" ht="15" customHeight="1">
      <c r="A53" s="15">
        <v>16554148</v>
      </c>
      <c r="B53" s="13" t="s">
        <v>2401</v>
      </c>
      <c r="C53" s="13" t="s">
        <v>2402</v>
      </c>
      <c r="D53" s="14">
        <f>VLOOKUP(A53,'[1]ExportarAExcel (2)'!E:G,3,0)</f>
        <v>7305054</v>
      </c>
      <c r="E53" s="14" t="s">
        <v>2403</v>
      </c>
      <c r="F53" s="14" t="s">
        <v>590</v>
      </c>
      <c r="G53" s="12"/>
      <c r="H53" s="16">
        <v>1100000</v>
      </c>
      <c r="I53" s="12">
        <v>0</v>
      </c>
      <c r="J53" s="12">
        <v>0</v>
      </c>
      <c r="K53" s="12"/>
    </row>
    <row r="54" spans="1:11" ht="15" customHeight="1">
      <c r="A54" s="15">
        <v>18393992</v>
      </c>
      <c r="B54" s="13" t="s">
        <v>2404</v>
      </c>
      <c r="C54" s="13" t="s">
        <v>2405</v>
      </c>
      <c r="D54" s="14">
        <f>VLOOKUP(A54,'[1]ExportarAExcel (2)'!E:G,3,0)</f>
        <v>0</v>
      </c>
      <c r="E54" s="13" t="s">
        <v>2406</v>
      </c>
      <c r="F54" s="13" t="s">
        <v>649</v>
      </c>
      <c r="G54" s="12"/>
      <c r="H54" s="16">
        <f>25000+174000</f>
        <v>199000</v>
      </c>
      <c r="I54" s="12">
        <v>0</v>
      </c>
      <c r="J54" s="12">
        <v>0</v>
      </c>
      <c r="K54" s="12"/>
    </row>
    <row r="55" spans="1:11" ht="15" customHeight="1">
      <c r="A55" s="15">
        <v>19267512</v>
      </c>
      <c r="B55" s="13" t="s">
        <v>2407</v>
      </c>
      <c r="C55" s="13" t="s">
        <v>2408</v>
      </c>
      <c r="D55" s="14">
        <f>VLOOKUP(A55,'[1]ExportarAExcel (2)'!E:G,3,0)</f>
        <v>3158162135</v>
      </c>
      <c r="E55" s="13" t="s">
        <v>2409</v>
      </c>
      <c r="F55" s="13" t="s">
        <v>733</v>
      </c>
      <c r="G55" s="12">
        <v>103</v>
      </c>
      <c r="H55" s="16">
        <v>2130000</v>
      </c>
      <c r="I55" s="12">
        <v>8520</v>
      </c>
      <c r="J55" s="12"/>
      <c r="K55" s="12"/>
    </row>
    <row r="56" spans="1:11" ht="15" customHeight="1">
      <c r="A56" s="15">
        <v>19267512</v>
      </c>
      <c r="B56" s="13" t="s">
        <v>2407</v>
      </c>
      <c r="C56" s="13" t="s">
        <v>2408</v>
      </c>
      <c r="D56" s="14">
        <f>VLOOKUP(A56,'[1]ExportarAExcel (2)'!E:G,3,0)</f>
        <v>3158162135</v>
      </c>
      <c r="E56" s="13" t="s">
        <v>2409</v>
      </c>
      <c r="F56" s="13" t="s">
        <v>733</v>
      </c>
      <c r="G56" s="12">
        <v>206</v>
      </c>
      <c r="H56" s="16">
        <v>8452500</v>
      </c>
      <c r="I56" s="12">
        <v>59168</v>
      </c>
      <c r="J56" s="12"/>
      <c r="K56" s="12"/>
    </row>
    <row r="57" spans="1:11" ht="15" customHeight="1">
      <c r="A57" s="15">
        <v>23264433</v>
      </c>
      <c r="B57" s="13" t="s">
        <v>2410</v>
      </c>
      <c r="C57" s="13" t="s">
        <v>2411</v>
      </c>
      <c r="D57" s="14">
        <f>VLOOKUP(A57,'[1]ExportarAExcel (2)'!E:G,3,0)</f>
        <v>7402960</v>
      </c>
      <c r="E57" s="13" t="s">
        <v>2412</v>
      </c>
      <c r="F57" s="13" t="s">
        <v>534</v>
      </c>
      <c r="G57" s="12"/>
      <c r="H57" s="16">
        <v>400700</v>
      </c>
      <c r="I57" s="12">
        <v>0</v>
      </c>
      <c r="J57" s="12">
        <v>0</v>
      </c>
      <c r="K57" s="12"/>
    </row>
    <row r="58" spans="1:11" ht="15" customHeight="1">
      <c r="A58" s="15">
        <v>23422934</v>
      </c>
      <c r="B58" s="13" t="s">
        <v>2413</v>
      </c>
      <c r="C58" s="13" t="s">
        <v>2414</v>
      </c>
      <c r="D58" s="14">
        <f>VLOOKUP(A58,'[1]ExportarAExcel (2)'!E:G,3,0)</f>
        <v>3107571632</v>
      </c>
      <c r="E58" s="14" t="s">
        <v>2415</v>
      </c>
      <c r="F58" s="14" t="s">
        <v>602</v>
      </c>
      <c r="G58" s="12"/>
      <c r="H58" s="16">
        <v>213500</v>
      </c>
      <c r="I58" s="12">
        <v>0</v>
      </c>
      <c r="J58" s="12">
        <v>0</v>
      </c>
      <c r="K58" s="12"/>
    </row>
    <row r="59" spans="1:11" ht="15" customHeight="1">
      <c r="A59" s="15">
        <v>23423769</v>
      </c>
      <c r="B59" s="13" t="s">
        <v>2416</v>
      </c>
      <c r="C59" s="13" t="s">
        <v>2417</v>
      </c>
      <c r="D59" s="14">
        <f>VLOOKUP(A59,'[1]ExportarAExcel (2)'!E:G,3,0)</f>
        <v>3132071623</v>
      </c>
      <c r="E59" s="13" t="s">
        <v>2418</v>
      </c>
      <c r="F59" s="13" t="s">
        <v>602</v>
      </c>
      <c r="G59" s="12"/>
      <c r="H59" s="16">
        <v>175998</v>
      </c>
      <c r="I59" s="12">
        <v>0</v>
      </c>
      <c r="J59" s="12">
        <v>0</v>
      </c>
      <c r="K59" s="12"/>
    </row>
    <row r="60" spans="1:11" ht="15" customHeight="1">
      <c r="A60" s="15">
        <v>23424446</v>
      </c>
      <c r="B60" s="13" t="s">
        <v>2419</v>
      </c>
      <c r="C60" s="13" t="s">
        <v>2420</v>
      </c>
      <c r="D60" s="14">
        <f>VLOOKUP(A60,'[1]ExportarAExcel (2)'!E:G,3,0)</f>
        <v>3132271484</v>
      </c>
      <c r="E60" s="14" t="s">
        <v>2421</v>
      </c>
      <c r="F60" s="14" t="s">
        <v>602</v>
      </c>
      <c r="G60" s="12"/>
      <c r="H60" s="16">
        <v>209297</v>
      </c>
      <c r="I60" s="12">
        <v>0</v>
      </c>
      <c r="J60" s="12">
        <v>0</v>
      </c>
      <c r="K60" s="12"/>
    </row>
    <row r="61" spans="1:11" ht="15" customHeight="1">
      <c r="A61" s="15">
        <v>23582510</v>
      </c>
      <c r="B61" s="13" t="s">
        <v>2422</v>
      </c>
      <c r="C61" s="13" t="s">
        <v>2423</v>
      </c>
      <c r="D61" s="14">
        <f>VLOOKUP(A61,'[1]ExportarAExcel (2)'!E:G,3,0)</f>
        <v>3124774256</v>
      </c>
      <c r="E61" s="13" t="s">
        <v>2424</v>
      </c>
      <c r="F61" s="13" t="s">
        <v>713</v>
      </c>
      <c r="G61" s="12"/>
      <c r="H61" s="16">
        <v>280000</v>
      </c>
      <c r="I61" s="12">
        <v>0</v>
      </c>
      <c r="J61" s="12">
        <v>0</v>
      </c>
      <c r="K61" s="12"/>
    </row>
    <row r="62" spans="1:11" ht="15" customHeight="1">
      <c r="A62" s="15">
        <v>23582903</v>
      </c>
      <c r="B62" s="13" t="s">
        <v>2425</v>
      </c>
      <c r="C62" s="13" t="s">
        <v>2426</v>
      </c>
      <c r="D62" s="14">
        <f>VLOOKUP(A62,'[1]ExportarAExcel (2)'!E:G,3,0)</f>
        <v>3196418524</v>
      </c>
      <c r="E62" s="13" t="s">
        <v>2427</v>
      </c>
      <c r="F62" s="13" t="s">
        <v>699</v>
      </c>
      <c r="G62" s="12"/>
      <c r="H62" s="16">
        <v>140000</v>
      </c>
      <c r="I62" s="12">
        <v>0</v>
      </c>
      <c r="J62" s="12">
        <v>0</v>
      </c>
      <c r="K62" s="12"/>
    </row>
    <row r="63" spans="1:11" ht="15" customHeight="1">
      <c r="A63" s="15">
        <v>23637842</v>
      </c>
      <c r="B63" s="13" t="s">
        <v>2428</v>
      </c>
      <c r="C63" s="13" t="s">
        <v>2429</v>
      </c>
      <c r="D63" s="14">
        <f>VLOOKUP(A63,'[1]ExportarAExcel (2)'!E:G,3,0)</f>
        <v>3212912982</v>
      </c>
      <c r="E63" s="13" t="s">
        <v>2430</v>
      </c>
      <c r="F63" s="13" t="s">
        <v>721</v>
      </c>
      <c r="G63" s="12"/>
      <c r="H63" s="16">
        <v>70000</v>
      </c>
      <c r="I63" s="12">
        <v>0</v>
      </c>
      <c r="J63" s="12">
        <v>0</v>
      </c>
      <c r="K63" s="12"/>
    </row>
    <row r="64" spans="1:11" ht="15" customHeight="1">
      <c r="A64" s="15">
        <v>23646798</v>
      </c>
      <c r="B64" s="13" t="s">
        <v>2431</v>
      </c>
      <c r="C64" s="13" t="s">
        <v>2432</v>
      </c>
      <c r="D64" s="14">
        <f>VLOOKUP(A64,'[1]ExportarAExcel (2)'!E:G,3,0)</f>
        <v>3112962339</v>
      </c>
      <c r="E64" s="13" t="s">
        <v>2433</v>
      </c>
      <c r="F64" s="13" t="s">
        <v>703</v>
      </c>
      <c r="G64" s="12"/>
      <c r="H64" s="16">
        <v>63500</v>
      </c>
      <c r="I64" s="12">
        <v>0</v>
      </c>
      <c r="J64" s="12">
        <v>0</v>
      </c>
      <c r="K64" s="12"/>
    </row>
    <row r="65" spans="1:11" ht="15" customHeight="1">
      <c r="A65" s="15">
        <v>23647006</v>
      </c>
      <c r="B65" s="13" t="s">
        <v>2434</v>
      </c>
      <c r="C65" s="13" t="s">
        <v>2435</v>
      </c>
      <c r="D65" s="14">
        <f>VLOOKUP(A65,'[1]ExportarAExcel (2)'!E:G,3,0)</f>
        <v>3114685732</v>
      </c>
      <c r="E65" s="13" t="s">
        <v>2436</v>
      </c>
      <c r="F65" s="13" t="s">
        <v>695</v>
      </c>
      <c r="G65" s="12"/>
      <c r="H65" s="16">
        <v>1800000</v>
      </c>
      <c r="I65" s="12">
        <v>0</v>
      </c>
      <c r="J65" s="12">
        <v>0</v>
      </c>
      <c r="K65" s="12"/>
    </row>
    <row r="66" spans="1:11" ht="15" customHeight="1">
      <c r="A66" s="15">
        <v>23691112</v>
      </c>
      <c r="B66" s="13" t="s">
        <v>2437</v>
      </c>
      <c r="C66" s="13" t="s">
        <v>2438</v>
      </c>
      <c r="D66" s="14">
        <f>VLOOKUP(A66,'[1]ExportarAExcel (2)'!E:G,3,0)</f>
        <v>3114435182</v>
      </c>
      <c r="E66" s="14" t="s">
        <v>2439</v>
      </c>
      <c r="F66" s="14" t="s">
        <v>649</v>
      </c>
      <c r="G66" s="12"/>
      <c r="H66" s="16">
        <v>4258367</v>
      </c>
      <c r="I66" s="12">
        <v>0</v>
      </c>
      <c r="J66" s="12">
        <v>0</v>
      </c>
      <c r="K66" s="12"/>
    </row>
    <row r="67" spans="1:11" ht="15" customHeight="1">
      <c r="A67" s="15">
        <v>23701891</v>
      </c>
      <c r="B67" s="13" t="s">
        <v>2440</v>
      </c>
      <c r="C67" s="13" t="s">
        <v>2441</v>
      </c>
      <c r="D67" s="14">
        <f>VLOOKUP(A67,'[1]ExportarAExcel (2)'!E:G,3,0)</f>
        <v>3133850080</v>
      </c>
      <c r="E67" s="14" t="s">
        <v>2442</v>
      </c>
      <c r="F67" s="14" t="s">
        <v>604</v>
      </c>
      <c r="G67" s="12"/>
      <c r="H67" s="16">
        <v>54167</v>
      </c>
      <c r="I67" s="12">
        <v>0</v>
      </c>
      <c r="J67" s="12">
        <v>0</v>
      </c>
      <c r="K67" s="12"/>
    </row>
    <row r="68" spans="1:11" ht="15" customHeight="1">
      <c r="A68" s="15">
        <v>23702140</v>
      </c>
      <c r="B68" s="13" t="s">
        <v>2443</v>
      </c>
      <c r="C68" s="13" t="s">
        <v>2444</v>
      </c>
      <c r="D68" s="14">
        <f>VLOOKUP(A68,'[1]ExportarAExcel (2)'!E:G,3,0)</f>
        <v>3212001122</v>
      </c>
      <c r="E68" s="13" t="s">
        <v>2445</v>
      </c>
      <c r="F68" s="13" t="s">
        <v>604</v>
      </c>
      <c r="G68" s="12"/>
      <c r="H68" s="16">
        <v>54167</v>
      </c>
      <c r="I68" s="12">
        <v>0</v>
      </c>
      <c r="J68" s="12">
        <v>0</v>
      </c>
      <c r="K68" s="12"/>
    </row>
    <row r="69" spans="1:11" ht="15" customHeight="1">
      <c r="A69" s="15">
        <v>23770414</v>
      </c>
      <c r="B69" s="13" t="s">
        <v>2446</v>
      </c>
      <c r="C69" s="13" t="s">
        <v>2447</v>
      </c>
      <c r="D69" s="14">
        <f>VLOOKUP(A69,'[1]ExportarAExcel (2)'!E:G,3,0)</f>
        <v>3208364785</v>
      </c>
      <c r="E69" s="14" t="s">
        <v>2448</v>
      </c>
      <c r="F69" s="14" t="s">
        <v>707</v>
      </c>
      <c r="G69" s="12"/>
      <c r="H69" s="16">
        <v>1000000</v>
      </c>
      <c r="I69" s="12">
        <v>0</v>
      </c>
      <c r="J69" s="12">
        <v>0</v>
      </c>
      <c r="K69" s="12"/>
    </row>
    <row r="70" spans="1:11" ht="15" customHeight="1">
      <c r="A70" s="15">
        <v>23912627</v>
      </c>
      <c r="B70" s="13" t="s">
        <v>2449</v>
      </c>
      <c r="C70" s="13" t="s">
        <v>2450</v>
      </c>
      <c r="D70" s="14">
        <f>VLOOKUP(A70,'[1]ExportarAExcel (2)'!E:G,3,0)</f>
        <v>3138166695</v>
      </c>
      <c r="E70" s="14" t="s">
        <v>2451</v>
      </c>
      <c r="F70" s="14" t="s">
        <v>750</v>
      </c>
      <c r="G70" s="12"/>
      <c r="H70" s="16">
        <v>2375000</v>
      </c>
      <c r="I70" s="12">
        <v>0</v>
      </c>
      <c r="J70" s="12">
        <v>0</v>
      </c>
      <c r="K70" s="12"/>
    </row>
    <row r="71" spans="1:11" ht="15" customHeight="1">
      <c r="A71" s="15">
        <v>23913413</v>
      </c>
      <c r="B71" s="13" t="s">
        <v>2452</v>
      </c>
      <c r="C71" s="13" t="s">
        <v>2453</v>
      </c>
      <c r="D71" s="14">
        <f>VLOOKUP(A71,'[1]ExportarAExcel (2)'!E:G,3,0)</f>
        <v>3202572097</v>
      </c>
      <c r="E71" s="13" t="s">
        <v>2454</v>
      </c>
      <c r="F71" s="13" t="s">
        <v>744</v>
      </c>
      <c r="G71" s="12"/>
      <c r="H71" s="16">
        <v>46000</v>
      </c>
      <c r="I71" s="12">
        <v>0</v>
      </c>
      <c r="J71" s="12">
        <v>0</v>
      </c>
      <c r="K71" s="12"/>
    </row>
    <row r="72" spans="1:11" ht="15" customHeight="1">
      <c r="A72" s="15">
        <v>23914454</v>
      </c>
      <c r="B72" s="13" t="s">
        <v>2455</v>
      </c>
      <c r="C72" s="13" t="s">
        <v>2456</v>
      </c>
      <c r="D72" s="14">
        <f>VLOOKUP(A72,'[1]ExportarAExcel (2)'!E:G,3,0)</f>
        <v>3126864279</v>
      </c>
      <c r="E72" s="13" t="s">
        <v>2457</v>
      </c>
      <c r="F72" s="13" t="s">
        <v>744</v>
      </c>
      <c r="G72" s="12"/>
      <c r="H72" s="16">
        <v>60000</v>
      </c>
      <c r="I72" s="12">
        <v>0</v>
      </c>
      <c r="J72" s="12">
        <v>0</v>
      </c>
      <c r="K72" s="12"/>
    </row>
    <row r="73" spans="1:11" ht="15" customHeight="1">
      <c r="A73" s="15">
        <v>23927067</v>
      </c>
      <c r="B73" s="13" t="s">
        <v>2458</v>
      </c>
      <c r="C73" s="13" t="s">
        <v>2459</v>
      </c>
      <c r="D73" s="14">
        <f>VLOOKUP(A73,'[1]ExportarAExcel (2)'!E:G,3,0)</f>
        <v>3132927439</v>
      </c>
      <c r="E73" s="13" t="s">
        <v>2460</v>
      </c>
      <c r="F73" s="13" t="s">
        <v>713</v>
      </c>
      <c r="G73" s="12"/>
      <c r="H73" s="16">
        <v>240000</v>
      </c>
      <c r="I73" s="12">
        <v>0</v>
      </c>
      <c r="J73" s="12">
        <v>0</v>
      </c>
      <c r="K73" s="12"/>
    </row>
    <row r="74" spans="1:11" ht="15" customHeight="1">
      <c r="A74" s="15">
        <v>23945092</v>
      </c>
      <c r="B74" s="13" t="s">
        <v>2461</v>
      </c>
      <c r="C74" s="17"/>
      <c r="D74" s="14">
        <f>VLOOKUP(A74,'[1]ExportarAExcel (2)'!E:G,3,0)</f>
        <v>3125832601</v>
      </c>
      <c r="E74" s="13" t="s">
        <v>2400</v>
      </c>
      <c r="F74" s="13" t="s">
        <v>695</v>
      </c>
      <c r="G74" s="12"/>
      <c r="H74" s="16">
        <v>1900000</v>
      </c>
      <c r="I74" s="12">
        <v>0</v>
      </c>
      <c r="J74" s="12">
        <v>0</v>
      </c>
      <c r="K74" s="12"/>
    </row>
    <row r="75" spans="1:11" ht="15" customHeight="1">
      <c r="A75" s="15">
        <v>23945336</v>
      </c>
      <c r="B75" s="13" t="s">
        <v>2462</v>
      </c>
      <c r="C75" s="13" t="s">
        <v>2463</v>
      </c>
      <c r="D75" s="14">
        <f>VLOOKUP(A75,'[1]ExportarAExcel (2)'!E:G,3,0)</f>
        <v>0</v>
      </c>
      <c r="E75" s="13" t="s">
        <v>2464</v>
      </c>
      <c r="F75" s="13" t="s">
        <v>695</v>
      </c>
      <c r="G75" s="12"/>
      <c r="H75" s="16">
        <v>131500</v>
      </c>
      <c r="I75" s="12">
        <v>0</v>
      </c>
      <c r="J75" s="12">
        <v>0</v>
      </c>
      <c r="K75" s="12"/>
    </row>
    <row r="76" spans="1:11" ht="15" customHeight="1">
      <c r="A76" s="15">
        <v>23946689</v>
      </c>
      <c r="B76" s="13" t="s">
        <v>2465</v>
      </c>
      <c r="C76" s="13" t="s">
        <v>2466</v>
      </c>
      <c r="D76" s="14">
        <f>VLOOKUP(A76,'[1]ExportarAExcel (2)'!E:G,3,0)</f>
        <v>3133468639</v>
      </c>
      <c r="E76" s="13" t="s">
        <v>2467</v>
      </c>
      <c r="F76" s="13" t="s">
        <v>695</v>
      </c>
      <c r="G76" s="12"/>
      <c r="H76" s="16">
        <v>770000</v>
      </c>
      <c r="I76" s="12">
        <v>0</v>
      </c>
      <c r="J76" s="12">
        <v>0</v>
      </c>
      <c r="K76" s="12"/>
    </row>
    <row r="77" spans="1:11" ht="15" customHeight="1">
      <c r="A77" s="15">
        <v>23973699</v>
      </c>
      <c r="B77" s="13" t="s">
        <v>2468</v>
      </c>
      <c r="C77" s="13" t="s">
        <v>2469</v>
      </c>
      <c r="D77" s="14">
        <f>VLOOKUP(A77,'[1]ExportarAExcel (2)'!E:G,3,0)</f>
        <v>3204944869</v>
      </c>
      <c r="E77" s="13" t="s">
        <v>2470</v>
      </c>
      <c r="F77" s="13" t="s">
        <v>677</v>
      </c>
      <c r="G77" s="12"/>
      <c r="H77" s="16">
        <v>126000</v>
      </c>
      <c r="I77" s="12">
        <v>0</v>
      </c>
      <c r="J77" s="12">
        <v>0</v>
      </c>
      <c r="K77" s="12"/>
    </row>
    <row r="78" spans="1:11" ht="15" customHeight="1">
      <c r="A78" s="15">
        <v>24010642</v>
      </c>
      <c r="B78" s="13" t="s">
        <v>2471</v>
      </c>
      <c r="C78" s="13" t="s">
        <v>2472</v>
      </c>
      <c r="D78" s="14">
        <f>VLOOKUP(A78,'[1]ExportarAExcel (2)'!E:G,3,0)</f>
        <v>3112930888</v>
      </c>
      <c r="E78" s="14" t="s">
        <v>2473</v>
      </c>
      <c r="F78" s="14" t="s">
        <v>679</v>
      </c>
      <c r="G78" s="12"/>
      <c r="H78" s="16">
        <v>640000</v>
      </c>
      <c r="I78" s="12">
        <v>0</v>
      </c>
      <c r="J78" s="12">
        <v>0</v>
      </c>
      <c r="K78" s="12"/>
    </row>
    <row r="79" spans="1:11" ht="15" customHeight="1">
      <c r="A79" s="15">
        <v>24010853</v>
      </c>
      <c r="B79" s="13" t="s">
        <v>2474</v>
      </c>
      <c r="C79" s="13" t="s">
        <v>2475</v>
      </c>
      <c r="D79" s="14">
        <f>VLOOKUP(A79,'[1]ExportarAExcel (2)'!E:G,3,0)</f>
        <v>3112012664</v>
      </c>
      <c r="E79" s="13" t="s">
        <v>2476</v>
      </c>
      <c r="F79" s="13" t="s">
        <v>679</v>
      </c>
      <c r="G79" s="12"/>
      <c r="H79" s="16">
        <v>26000</v>
      </c>
      <c r="I79" s="12">
        <v>0</v>
      </c>
      <c r="J79" s="12">
        <v>0</v>
      </c>
      <c r="K79" s="12"/>
    </row>
    <row r="80" spans="1:11" ht="15" customHeight="1">
      <c r="A80" s="15">
        <v>24049619</v>
      </c>
      <c r="B80" s="13" t="s">
        <v>2477</v>
      </c>
      <c r="C80" s="13" t="s">
        <v>2478</v>
      </c>
      <c r="D80" s="14">
        <f>VLOOKUP(A80,'[1]ExportarAExcel (2)'!E:G,3,0)</f>
        <v>3118234852</v>
      </c>
      <c r="E80" s="14" t="s">
        <v>2479</v>
      </c>
      <c r="F80" s="14" t="s">
        <v>735</v>
      </c>
      <c r="G80" s="12"/>
      <c r="H80" s="16">
        <v>1440000</v>
      </c>
      <c r="I80" s="12">
        <v>0</v>
      </c>
      <c r="J80" s="12">
        <v>0</v>
      </c>
      <c r="K80" s="12"/>
    </row>
    <row r="81" spans="1:11" ht="15" customHeight="1">
      <c r="A81" s="15">
        <v>24090863</v>
      </c>
      <c r="B81" s="13" t="s">
        <v>2480</v>
      </c>
      <c r="C81" s="13" t="s">
        <v>2481</v>
      </c>
      <c r="D81" s="14">
        <f>VLOOKUP(A81,'[1]ExportarAExcel (2)'!E:G,3,0)</f>
        <v>3112815942</v>
      </c>
      <c r="E81" s="13" t="s">
        <v>2482</v>
      </c>
      <c r="F81" s="13" t="s">
        <v>748</v>
      </c>
      <c r="G81" s="12"/>
      <c r="H81" s="16">
        <v>121000</v>
      </c>
      <c r="I81" s="12">
        <v>0</v>
      </c>
      <c r="J81" s="12">
        <v>0</v>
      </c>
      <c r="K81" s="12"/>
    </row>
    <row r="82" spans="1:11" ht="15" customHeight="1">
      <c r="A82" s="15">
        <v>24091461</v>
      </c>
      <c r="B82" s="13" t="s">
        <v>2483</v>
      </c>
      <c r="C82" s="13" t="s">
        <v>2484</v>
      </c>
      <c r="D82" s="14">
        <f>VLOOKUP(A82,'[1]ExportarAExcel (2)'!E:G,3,0)</f>
        <v>3103927223</v>
      </c>
      <c r="E82" s="13" t="s">
        <v>2485</v>
      </c>
      <c r="F82" s="13" t="s">
        <v>748</v>
      </c>
      <c r="G82" s="12"/>
      <c r="H82" s="16">
        <v>70000</v>
      </c>
      <c r="I82" s="12">
        <v>0</v>
      </c>
      <c r="J82" s="12">
        <v>0</v>
      </c>
      <c r="K82" s="12"/>
    </row>
    <row r="83" spans="1:11" ht="15" customHeight="1">
      <c r="A83" s="15">
        <v>24100916</v>
      </c>
      <c r="B83" s="13" t="s">
        <v>2486</v>
      </c>
      <c r="C83" s="13" t="s">
        <v>2487</v>
      </c>
      <c r="D83" s="14">
        <f>VLOOKUP(A83,'[1]ExportarAExcel (2)'!E:G,3,0)</f>
        <v>3132152201</v>
      </c>
      <c r="E83" s="13" t="s">
        <v>2488</v>
      </c>
      <c r="F83" s="13" t="s">
        <v>748</v>
      </c>
      <c r="G83" s="12"/>
      <c r="H83" s="16">
        <v>15000</v>
      </c>
      <c r="I83" s="12">
        <v>0</v>
      </c>
      <c r="J83" s="12">
        <v>0</v>
      </c>
      <c r="K83" s="12"/>
    </row>
    <row r="84" spans="1:11" ht="15" customHeight="1">
      <c r="A84" s="15">
        <v>24149593</v>
      </c>
      <c r="B84" s="13" t="s">
        <v>2489</v>
      </c>
      <c r="C84" s="13" t="s">
        <v>2490</v>
      </c>
      <c r="D84" s="14" t="str">
        <f>VLOOKUP(A84,'[1]ExportarAExcel (2)'!E:G,3,0)</f>
        <v>3124613025_x000D_
3124613025</v>
      </c>
      <c r="E84" s="13" t="s">
        <v>2491</v>
      </c>
      <c r="F84" s="13" t="s">
        <v>750</v>
      </c>
      <c r="G84" s="12"/>
      <c r="H84" s="16">
        <v>300000</v>
      </c>
      <c r="I84" s="12">
        <v>0</v>
      </c>
      <c r="J84" s="12">
        <v>0</v>
      </c>
      <c r="K84" s="12"/>
    </row>
    <row r="85" spans="1:11" ht="15" customHeight="1">
      <c r="A85" s="15">
        <v>24149676</v>
      </c>
      <c r="B85" s="13" t="s">
        <v>2492</v>
      </c>
      <c r="C85" s="13" t="s">
        <v>2493</v>
      </c>
      <c r="D85" s="14">
        <f>VLOOKUP(A85,'[1]ExportarAExcel (2)'!E:G,3,0)</f>
        <v>0</v>
      </c>
      <c r="E85" s="14" t="s">
        <v>2494</v>
      </c>
      <c r="F85" s="14" t="s">
        <v>602</v>
      </c>
      <c r="G85" s="12"/>
      <c r="H85" s="16">
        <v>2000000</v>
      </c>
      <c r="I85" s="12">
        <v>0</v>
      </c>
      <c r="J85" s="12">
        <v>0</v>
      </c>
      <c r="K85" s="12"/>
    </row>
    <row r="86" spans="1:11" ht="15" customHeight="1">
      <c r="A86" s="15">
        <v>24149706</v>
      </c>
      <c r="B86" s="13" t="s">
        <v>2495</v>
      </c>
      <c r="C86" s="13" t="s">
        <v>2496</v>
      </c>
      <c r="D86" s="14">
        <f>VLOOKUP(A86,'[1]ExportarAExcel (2)'!E:G,3,0)</f>
        <v>320357054</v>
      </c>
      <c r="E86" s="14" t="s">
        <v>2497</v>
      </c>
      <c r="F86" s="14" t="s">
        <v>750</v>
      </c>
      <c r="G86" s="12"/>
      <c r="H86" s="16">
        <v>30000</v>
      </c>
      <c r="I86" s="12">
        <v>0</v>
      </c>
      <c r="J86" s="12">
        <v>0</v>
      </c>
      <c r="K86" s="12"/>
    </row>
    <row r="87" spans="1:11" ht="15" customHeight="1">
      <c r="A87" s="15">
        <v>24182928</v>
      </c>
      <c r="B87" s="13" t="s">
        <v>2498</v>
      </c>
      <c r="C87" s="13" t="s">
        <v>2499</v>
      </c>
      <c r="D87" s="14">
        <f>VLOOKUP(A87,'[1]ExportarAExcel (2)'!E:G,3,0)</f>
        <v>3212196216</v>
      </c>
      <c r="E87" s="13" t="s">
        <v>2500</v>
      </c>
      <c r="F87" s="13" t="s">
        <v>717</v>
      </c>
      <c r="G87" s="12"/>
      <c r="H87" s="16">
        <v>143000</v>
      </c>
      <c r="I87" s="12">
        <v>0</v>
      </c>
      <c r="J87" s="12">
        <v>0</v>
      </c>
      <c r="K87" s="12"/>
    </row>
    <row r="88" spans="1:11" ht="15" customHeight="1">
      <c r="A88" s="15">
        <v>24183075</v>
      </c>
      <c r="B88" s="13" t="s">
        <v>2501</v>
      </c>
      <c r="C88" s="13" t="s">
        <v>2502</v>
      </c>
      <c r="D88" s="14">
        <f>VLOOKUP(A88,'[1]ExportarAExcel (2)'!E:G,3,0)</f>
        <v>3118465719</v>
      </c>
      <c r="E88" s="14" t="s">
        <v>2503</v>
      </c>
      <c r="F88" s="14" t="s">
        <v>717</v>
      </c>
      <c r="G88" s="12"/>
      <c r="H88" s="16">
        <v>4000000</v>
      </c>
      <c r="I88" s="12">
        <v>0</v>
      </c>
      <c r="J88" s="12">
        <v>0</v>
      </c>
      <c r="K88" s="12"/>
    </row>
    <row r="89" spans="1:11" ht="15" customHeight="1">
      <c r="A89" s="15">
        <v>28020130</v>
      </c>
      <c r="B89" s="13" t="s">
        <v>2504</v>
      </c>
      <c r="C89" s="13" t="s">
        <v>2505</v>
      </c>
      <c r="D89" s="14">
        <f>VLOOKUP(A89,'[1]ExportarAExcel (2)'!E:G,3,0)</f>
        <v>3144164798</v>
      </c>
      <c r="E89" s="14" t="s">
        <v>2365</v>
      </c>
      <c r="F89" s="14" t="s">
        <v>554</v>
      </c>
      <c r="G89" s="12"/>
      <c r="H89" s="16">
        <v>15785000</v>
      </c>
      <c r="I89" s="12">
        <v>0</v>
      </c>
      <c r="J89" s="12">
        <v>0</v>
      </c>
      <c r="K89" s="12"/>
    </row>
    <row r="90" spans="1:11" ht="15" customHeight="1">
      <c r="A90" s="15">
        <v>30343448</v>
      </c>
      <c r="B90" s="13" t="s">
        <v>2506</v>
      </c>
      <c r="C90" s="13" t="s">
        <v>2507</v>
      </c>
      <c r="D90" s="14">
        <f>VLOOKUP(A90,'[1]ExportarAExcel (2)'!E:G,3,0)</f>
        <v>3203451163</v>
      </c>
      <c r="E90" s="13" t="s">
        <v>2508</v>
      </c>
      <c r="F90" s="13" t="s">
        <v>643</v>
      </c>
      <c r="G90" s="12"/>
      <c r="H90" s="16">
        <v>80000</v>
      </c>
      <c r="I90" s="12">
        <v>0</v>
      </c>
      <c r="J90" s="12">
        <v>0</v>
      </c>
      <c r="K90" s="12"/>
    </row>
    <row r="91" spans="1:11" ht="15" customHeight="1">
      <c r="A91" s="15">
        <v>33368722</v>
      </c>
      <c r="B91" s="13" t="s">
        <v>2509</v>
      </c>
      <c r="C91" s="13" t="s">
        <v>2510</v>
      </c>
      <c r="D91" s="14">
        <f>VLOOKUP(A91,'[1]ExportarAExcel (2)'!E:G,3,0)</f>
        <v>3133790480</v>
      </c>
      <c r="E91" s="14" t="s">
        <v>2511</v>
      </c>
      <c r="F91" s="14" t="s">
        <v>695</v>
      </c>
      <c r="G91" s="12"/>
      <c r="H91" s="16">
        <v>1402000</v>
      </c>
      <c r="I91" s="12">
        <v>0</v>
      </c>
      <c r="J91" s="12">
        <v>0</v>
      </c>
      <c r="K91" s="12"/>
    </row>
    <row r="92" spans="1:11" ht="15" customHeight="1">
      <c r="A92" s="15">
        <v>33375426</v>
      </c>
      <c r="B92" s="13" t="s">
        <v>2512</v>
      </c>
      <c r="C92" s="13" t="s">
        <v>2513</v>
      </c>
      <c r="D92" s="14">
        <f>VLOOKUP(A92,'[1]ExportarAExcel (2)'!E:G,3,0)</f>
        <v>3142277462</v>
      </c>
      <c r="E92" s="14" t="s">
        <v>2400</v>
      </c>
      <c r="F92" s="14" t="s">
        <v>695</v>
      </c>
      <c r="G92" s="12"/>
      <c r="H92" s="16">
        <v>822500</v>
      </c>
      <c r="I92" s="12">
        <v>0</v>
      </c>
      <c r="J92" s="12">
        <v>0</v>
      </c>
      <c r="K92" s="12"/>
    </row>
    <row r="93" spans="1:11" ht="15" customHeight="1">
      <c r="A93" s="15">
        <v>33435340</v>
      </c>
      <c r="B93" s="13" t="s">
        <v>2514</v>
      </c>
      <c r="C93" s="13" t="s">
        <v>2515</v>
      </c>
      <c r="D93" s="14">
        <f>VLOOKUP(A93,'[1]ExportarAExcel (2)'!E:G,3,0)</f>
        <v>3203692946</v>
      </c>
      <c r="E93" s="13" t="s">
        <v>2516</v>
      </c>
      <c r="F93" s="13" t="s">
        <v>643</v>
      </c>
      <c r="G93" s="12"/>
      <c r="H93" s="16">
        <v>72000</v>
      </c>
      <c r="I93" s="12">
        <v>0</v>
      </c>
      <c r="J93" s="12">
        <v>0</v>
      </c>
      <c r="K93" s="12"/>
    </row>
    <row r="94" spans="1:11" ht="15" customHeight="1">
      <c r="A94" s="15">
        <v>33435658</v>
      </c>
      <c r="B94" s="13" t="s">
        <v>2517</v>
      </c>
      <c r="C94" s="13" t="s">
        <v>2518</v>
      </c>
      <c r="D94" s="14">
        <f>VLOOKUP(A94,'[1]ExportarAExcel (2)'!E:G,3,0)</f>
        <v>3138331358</v>
      </c>
      <c r="E94" s="14" t="s">
        <v>2519</v>
      </c>
      <c r="F94" s="14" t="s">
        <v>643</v>
      </c>
      <c r="G94" s="12"/>
      <c r="H94" s="16">
        <v>130000</v>
      </c>
      <c r="I94" s="12">
        <v>0</v>
      </c>
      <c r="J94" s="12">
        <v>0</v>
      </c>
      <c r="K94" s="12"/>
    </row>
    <row r="95" spans="1:11" ht="15" customHeight="1">
      <c r="A95" s="15">
        <v>33676324</v>
      </c>
      <c r="B95" s="13" t="s">
        <v>2520</v>
      </c>
      <c r="C95" s="13" t="s">
        <v>2521</v>
      </c>
      <c r="D95" s="14">
        <f>VLOOKUP(A95,'[1]ExportarAExcel (2)'!E:G,3,0)</f>
        <v>3213635974</v>
      </c>
      <c r="E95" s="14" t="s">
        <v>2522</v>
      </c>
      <c r="F95" s="14" t="s">
        <v>602</v>
      </c>
      <c r="G95" s="12"/>
      <c r="H95" s="16">
        <v>54167</v>
      </c>
      <c r="I95" s="12">
        <v>0</v>
      </c>
      <c r="J95" s="12">
        <v>0</v>
      </c>
      <c r="K95" s="12"/>
    </row>
    <row r="96" spans="1:11" ht="15" customHeight="1">
      <c r="A96" s="15">
        <v>33701199</v>
      </c>
      <c r="B96" s="13" t="s">
        <v>2523</v>
      </c>
      <c r="C96" s="13" t="s">
        <v>2524</v>
      </c>
      <c r="D96" s="14">
        <f>VLOOKUP(A96,'[1]ExportarAExcel (2)'!E:G,3,0)</f>
        <v>3142131280</v>
      </c>
      <c r="E96" s="14" t="s">
        <v>2525</v>
      </c>
      <c r="F96" s="14" t="s">
        <v>649</v>
      </c>
      <c r="G96" s="12"/>
      <c r="H96" s="16">
        <v>2575653</v>
      </c>
      <c r="I96" s="12">
        <v>0</v>
      </c>
      <c r="J96" s="12">
        <v>0</v>
      </c>
      <c r="K96" s="12"/>
    </row>
    <row r="97" spans="1:11" ht="15" customHeight="1">
      <c r="A97" s="15">
        <v>37338461</v>
      </c>
      <c r="B97" s="13" t="s">
        <v>2526</v>
      </c>
      <c r="C97" s="13" t="s">
        <v>2527</v>
      </c>
      <c r="D97" s="14">
        <f>VLOOKUP(A97,'[1]ExportarAExcel (2)'!E:G,3,0)</f>
        <v>3138686865</v>
      </c>
      <c r="E97" s="13" t="s">
        <v>2528</v>
      </c>
      <c r="F97" s="13" t="s">
        <v>602</v>
      </c>
      <c r="G97" s="12"/>
      <c r="H97" s="16">
        <v>54155</v>
      </c>
      <c r="I97" s="12">
        <v>0</v>
      </c>
      <c r="J97" s="12">
        <v>0</v>
      </c>
      <c r="K97" s="12"/>
    </row>
    <row r="98" spans="1:11" ht="15" customHeight="1">
      <c r="A98" s="15">
        <v>37860907</v>
      </c>
      <c r="B98" s="13" t="s">
        <v>2529</v>
      </c>
      <c r="C98" s="13" t="s">
        <v>2530</v>
      </c>
      <c r="D98" s="14">
        <f>VLOOKUP(A98,'[1]ExportarAExcel (2)'!E:G,3,0)</f>
        <v>3103546257</v>
      </c>
      <c r="E98" s="13" t="s">
        <v>2531</v>
      </c>
      <c r="F98" s="13" t="s">
        <v>744</v>
      </c>
      <c r="G98" s="12"/>
      <c r="H98" s="16">
        <v>60000</v>
      </c>
      <c r="I98" s="12">
        <v>0</v>
      </c>
      <c r="J98" s="12">
        <v>0</v>
      </c>
      <c r="K98" s="12"/>
    </row>
    <row r="99" spans="1:11" ht="15" customHeight="1">
      <c r="A99" s="15">
        <v>38247565</v>
      </c>
      <c r="B99" s="13" t="s">
        <v>2532</v>
      </c>
      <c r="C99" s="13" t="s">
        <v>2533</v>
      </c>
      <c r="D99" s="14">
        <f>VLOOKUP(A99,'[1]ExportarAExcel (2)'!E:G,3,0)</f>
        <v>3006635297</v>
      </c>
      <c r="E99" s="14" t="s">
        <v>2534</v>
      </c>
      <c r="F99" s="14" t="s">
        <v>713</v>
      </c>
      <c r="G99" s="12"/>
      <c r="H99" s="16">
        <v>2584064</v>
      </c>
      <c r="I99" s="12">
        <v>0</v>
      </c>
      <c r="J99" s="12">
        <v>0</v>
      </c>
      <c r="K99" s="12"/>
    </row>
    <row r="100" spans="1:11" ht="15" customHeight="1">
      <c r="A100" s="15">
        <v>40024046</v>
      </c>
      <c r="B100" s="13" t="s">
        <v>2535</v>
      </c>
      <c r="C100" s="13" t="s">
        <v>2536</v>
      </c>
      <c r="D100" s="14">
        <f>VLOOKUP(A100,'[1]ExportarAExcel (2)'!E:G,3,0)</f>
        <v>7442016</v>
      </c>
      <c r="E100" s="13" t="s">
        <v>2537</v>
      </c>
      <c r="F100" s="13" t="s">
        <v>534</v>
      </c>
      <c r="G100" s="12"/>
      <c r="H100" s="16">
        <v>42182000</v>
      </c>
      <c r="I100" s="12">
        <v>0</v>
      </c>
      <c r="J100" s="12">
        <v>0</v>
      </c>
      <c r="K100" s="12"/>
    </row>
    <row r="101" spans="1:11" ht="15" customHeight="1">
      <c r="A101" s="15">
        <v>40029130</v>
      </c>
      <c r="B101" s="13" t="s">
        <v>2538</v>
      </c>
      <c r="C101" s="13" t="s">
        <v>2539</v>
      </c>
      <c r="D101" s="14">
        <f>VLOOKUP(A101,'[1]ExportarAExcel (2)'!E:G,3,0)</f>
        <v>3138705739</v>
      </c>
      <c r="E101" s="13" t="s">
        <v>2540</v>
      </c>
      <c r="F101" s="13" t="s">
        <v>713</v>
      </c>
      <c r="G101" s="12"/>
      <c r="H101" s="16">
        <v>15292222</v>
      </c>
      <c r="I101" s="12">
        <v>0</v>
      </c>
      <c r="J101" s="12">
        <v>0</v>
      </c>
      <c r="K101" s="12"/>
    </row>
    <row r="102" spans="1:11" ht="15" customHeight="1">
      <c r="A102" s="15">
        <v>40032836</v>
      </c>
      <c r="B102" s="13" t="s">
        <v>2541</v>
      </c>
      <c r="C102" s="13" t="s">
        <v>2542</v>
      </c>
      <c r="D102" s="14">
        <f>VLOOKUP(A102,'[1]ExportarAExcel (2)'!E:G,3,0)</f>
        <v>3115135371</v>
      </c>
      <c r="E102" s="13" t="s">
        <v>2543</v>
      </c>
      <c r="F102" s="13" t="s">
        <v>729</v>
      </c>
      <c r="G102" s="12"/>
      <c r="H102" s="16">
        <v>7173321</v>
      </c>
      <c r="I102" s="12">
        <v>0</v>
      </c>
      <c r="J102" s="12">
        <v>0</v>
      </c>
      <c r="K102" s="12"/>
    </row>
    <row r="103" spans="1:11" ht="15" customHeight="1">
      <c r="A103" s="15">
        <v>40033976</v>
      </c>
      <c r="B103" s="13" t="s">
        <v>2544</v>
      </c>
      <c r="C103" s="13" t="s">
        <v>2249</v>
      </c>
      <c r="D103" s="14">
        <f>VLOOKUP(A103,'[1]ExportarAExcel (2)'!E:G,3,0)</f>
        <v>3107896633</v>
      </c>
      <c r="E103" s="13" t="s">
        <v>2545</v>
      </c>
      <c r="F103" s="13" t="s">
        <v>534</v>
      </c>
      <c r="G103" s="12"/>
      <c r="H103" s="16">
        <v>300000</v>
      </c>
      <c r="I103" s="12">
        <v>0</v>
      </c>
      <c r="J103" s="12">
        <v>0</v>
      </c>
      <c r="K103" s="12"/>
    </row>
    <row r="104" spans="1:11" ht="15" customHeight="1">
      <c r="A104" s="15">
        <v>40036335</v>
      </c>
      <c r="B104" s="13" t="s">
        <v>2546</v>
      </c>
      <c r="C104" s="13" t="s">
        <v>2547</v>
      </c>
      <c r="D104" s="14">
        <f>VLOOKUP(A104,'[1]ExportarAExcel (2)'!E:G,3,0)</f>
        <v>3223098883</v>
      </c>
      <c r="E104" s="14" t="s">
        <v>2548</v>
      </c>
      <c r="F104" s="14" t="s">
        <v>695</v>
      </c>
      <c r="G104" s="12"/>
      <c r="H104" s="16">
        <v>150000</v>
      </c>
      <c r="I104" s="12">
        <v>0</v>
      </c>
      <c r="J104" s="12">
        <v>0</v>
      </c>
      <c r="K104" s="12"/>
    </row>
    <row r="105" spans="1:11" ht="15" customHeight="1">
      <c r="A105" s="15">
        <v>40038985</v>
      </c>
      <c r="B105" s="13" t="s">
        <v>2549</v>
      </c>
      <c r="C105" s="13" t="s">
        <v>2550</v>
      </c>
      <c r="D105" s="14">
        <f>VLOOKUP(A105,'[1]ExportarAExcel (2)'!E:G,3,0)</f>
        <v>3107637048</v>
      </c>
      <c r="E105" s="13" t="s">
        <v>2551</v>
      </c>
      <c r="F105" s="13" t="s">
        <v>677</v>
      </c>
      <c r="G105" s="12"/>
      <c r="H105" s="16">
        <v>120000</v>
      </c>
      <c r="I105" s="12">
        <v>0</v>
      </c>
      <c r="J105" s="12">
        <v>0</v>
      </c>
      <c r="K105" s="12"/>
    </row>
    <row r="106" spans="1:11" ht="15" customHeight="1">
      <c r="A106" s="15">
        <v>41751395</v>
      </c>
      <c r="B106" s="13" t="s">
        <v>2552</v>
      </c>
      <c r="C106" s="13" t="s">
        <v>2553</v>
      </c>
      <c r="D106" s="14">
        <f>VLOOKUP(A106,'[1]ExportarAExcel (2)'!E:G,3,0)</f>
        <v>3105762025</v>
      </c>
      <c r="E106" s="13" t="s">
        <v>2554</v>
      </c>
      <c r="F106" s="13" t="s">
        <v>695</v>
      </c>
      <c r="G106" s="12"/>
      <c r="H106" s="16">
        <v>2359000</v>
      </c>
      <c r="I106" s="12">
        <v>0</v>
      </c>
      <c r="J106" s="12">
        <v>0</v>
      </c>
      <c r="K106" s="12"/>
    </row>
    <row r="107" spans="1:11" ht="15" customHeight="1">
      <c r="A107" s="15">
        <v>46351485</v>
      </c>
      <c r="B107" s="13" t="s">
        <v>2555</v>
      </c>
      <c r="C107" s="13" t="s">
        <v>2556</v>
      </c>
      <c r="D107" s="14">
        <f>VLOOKUP(A107,'[1]ExportarAExcel (2)'!E:G,3,0)</f>
        <v>3102957264</v>
      </c>
      <c r="E107" s="13" t="s">
        <v>2557</v>
      </c>
      <c r="F107" s="13" t="s">
        <v>713</v>
      </c>
      <c r="G107" s="12"/>
      <c r="H107" s="16">
        <v>9967100</v>
      </c>
      <c r="I107" s="12">
        <v>0</v>
      </c>
      <c r="J107" s="12">
        <v>0</v>
      </c>
      <c r="K107" s="12"/>
    </row>
    <row r="108" spans="1:11" ht="15" customHeight="1">
      <c r="A108" s="15">
        <v>46356617</v>
      </c>
      <c r="B108" s="13" t="s">
        <v>2558</v>
      </c>
      <c r="C108" s="13" t="s">
        <v>2559</v>
      </c>
      <c r="D108" s="14">
        <f>VLOOKUP(A108,'[1]ExportarAExcel (2)'!E:G,3,0)</f>
        <v>6087717949</v>
      </c>
      <c r="E108" s="13" t="s">
        <v>2560</v>
      </c>
      <c r="F108" s="13" t="s">
        <v>713</v>
      </c>
      <c r="G108" s="12"/>
      <c r="H108" s="16">
        <v>342125</v>
      </c>
      <c r="I108" s="12">
        <v>0</v>
      </c>
      <c r="J108" s="12">
        <v>0</v>
      </c>
      <c r="K108" s="12"/>
    </row>
    <row r="109" spans="1:11" ht="15" customHeight="1">
      <c r="A109" s="15">
        <v>46357040</v>
      </c>
      <c r="B109" s="13" t="s">
        <v>2561</v>
      </c>
      <c r="C109" s="17"/>
      <c r="D109" s="14">
        <f>VLOOKUP(A109,'[1]ExportarAExcel (2)'!E:G,3,0)</f>
        <v>3108186039</v>
      </c>
      <c r="E109" s="14" t="s">
        <v>2562</v>
      </c>
      <c r="F109" s="14" t="s">
        <v>695</v>
      </c>
      <c r="G109" s="12"/>
      <c r="H109" s="16">
        <v>3753000</v>
      </c>
      <c r="I109" s="12">
        <v>0</v>
      </c>
      <c r="J109" s="12">
        <v>0</v>
      </c>
      <c r="K109" s="12"/>
    </row>
    <row r="110" spans="1:11" ht="15" customHeight="1">
      <c r="A110" s="15">
        <v>46366637</v>
      </c>
      <c r="B110" s="13" t="s">
        <v>2563</v>
      </c>
      <c r="C110" s="13" t="s">
        <v>2564</v>
      </c>
      <c r="D110" s="14">
        <f>VLOOKUP(A110,'[1]ExportarAExcel (2)'!E:G,3,0)</f>
        <v>3112677750</v>
      </c>
      <c r="E110" s="13" t="s">
        <v>2565</v>
      </c>
      <c r="F110" s="13" t="s">
        <v>713</v>
      </c>
      <c r="G110" s="12"/>
      <c r="H110" s="16">
        <v>140000</v>
      </c>
      <c r="I110" s="12">
        <v>0</v>
      </c>
      <c r="J110" s="12">
        <v>0</v>
      </c>
      <c r="K110" s="12"/>
    </row>
    <row r="111" spans="1:11" ht="15" customHeight="1">
      <c r="A111" s="15">
        <v>46369778</v>
      </c>
      <c r="B111" s="13" t="s">
        <v>2566</v>
      </c>
      <c r="C111" s="13" t="s">
        <v>2567</v>
      </c>
      <c r="D111" s="14">
        <f>VLOOKUP(A111,'[1]ExportarAExcel (2)'!E:G,3,0)</f>
        <v>3108029999</v>
      </c>
      <c r="E111" s="13" t="s">
        <v>2568</v>
      </c>
      <c r="F111" s="13" t="s">
        <v>713</v>
      </c>
      <c r="G111" s="12"/>
      <c r="H111" s="16">
        <v>571500</v>
      </c>
      <c r="I111" s="12">
        <v>0</v>
      </c>
      <c r="J111" s="12">
        <v>0</v>
      </c>
      <c r="K111" s="12"/>
    </row>
    <row r="112" spans="1:11" ht="15" customHeight="1">
      <c r="A112" s="15">
        <v>46369972</v>
      </c>
      <c r="B112" s="13" t="s">
        <v>2569</v>
      </c>
      <c r="C112" s="13" t="s">
        <v>2570</v>
      </c>
      <c r="D112" s="14">
        <f>VLOOKUP(A112,'[1]ExportarAExcel (2)'!E:G,3,0)</f>
        <v>3158657615</v>
      </c>
      <c r="E112" s="13" t="s">
        <v>2571</v>
      </c>
      <c r="F112" s="13" t="s">
        <v>713</v>
      </c>
      <c r="G112" s="12"/>
      <c r="H112" s="16">
        <v>280000</v>
      </c>
      <c r="I112" s="12">
        <v>0</v>
      </c>
      <c r="J112" s="12">
        <v>0</v>
      </c>
      <c r="K112" s="12"/>
    </row>
    <row r="113" spans="1:11" ht="15" customHeight="1">
      <c r="A113" s="15">
        <v>46372071</v>
      </c>
      <c r="B113" s="13" t="s">
        <v>2572</v>
      </c>
      <c r="C113" s="13" t="s">
        <v>2573</v>
      </c>
      <c r="D113" s="14">
        <f>VLOOKUP(A113,'[1]ExportarAExcel (2)'!E:G,3,0)</f>
        <v>3142155034</v>
      </c>
      <c r="E113" s="13" t="s">
        <v>2574</v>
      </c>
      <c r="F113" s="13" t="s">
        <v>713</v>
      </c>
      <c r="G113" s="12"/>
      <c r="H113" s="16">
        <v>140000</v>
      </c>
      <c r="I113" s="12">
        <v>0</v>
      </c>
      <c r="J113" s="12">
        <v>0</v>
      </c>
      <c r="K113" s="12"/>
    </row>
    <row r="114" spans="1:11" ht="15" customHeight="1">
      <c r="A114" s="15">
        <v>46372793</v>
      </c>
      <c r="B114" s="13" t="s">
        <v>2575</v>
      </c>
      <c r="C114" s="13" t="s">
        <v>2576</v>
      </c>
      <c r="D114" s="14">
        <f>VLOOKUP(A114,'[1]ExportarAExcel (2)'!E:G,3,0)</f>
        <v>0</v>
      </c>
      <c r="E114" s="14" t="s">
        <v>2577</v>
      </c>
      <c r="F114" s="14" t="s">
        <v>713</v>
      </c>
      <c r="G114" s="12"/>
      <c r="H114" s="16">
        <v>400000</v>
      </c>
      <c r="I114" s="12">
        <v>0</v>
      </c>
      <c r="J114" s="12">
        <v>0</v>
      </c>
      <c r="K114" s="12"/>
    </row>
    <row r="115" spans="1:11" ht="15" customHeight="1">
      <c r="A115" s="15">
        <v>46372824</v>
      </c>
      <c r="B115" s="13" t="s">
        <v>2578</v>
      </c>
      <c r="C115" s="13" t="s">
        <v>2579</v>
      </c>
      <c r="D115" s="14">
        <f>VLOOKUP(A115,'[1]ExportarAExcel (2)'!E:G,3,0)</f>
        <v>3112205197</v>
      </c>
      <c r="E115" s="14" t="s">
        <v>2580</v>
      </c>
      <c r="F115" s="14" t="s">
        <v>713</v>
      </c>
      <c r="G115" s="12"/>
      <c r="H115" s="16">
        <v>200000</v>
      </c>
      <c r="I115" s="12">
        <v>0</v>
      </c>
      <c r="J115" s="12">
        <v>0</v>
      </c>
      <c r="K115" s="12"/>
    </row>
    <row r="116" spans="1:11" ht="15" customHeight="1">
      <c r="A116" s="15">
        <v>46375906</v>
      </c>
      <c r="B116" s="13" t="s">
        <v>2581</v>
      </c>
      <c r="C116" s="13" t="s">
        <v>2582</v>
      </c>
      <c r="D116" s="14">
        <f>VLOOKUP(A116,'[1]ExportarAExcel (2)'!E:G,3,0)</f>
        <v>3124985459</v>
      </c>
      <c r="E116" s="14" t="s">
        <v>2583</v>
      </c>
      <c r="F116" s="14" t="s">
        <v>695</v>
      </c>
      <c r="G116" s="12"/>
      <c r="H116" s="16">
        <v>200000</v>
      </c>
      <c r="I116" s="12">
        <v>0</v>
      </c>
      <c r="J116" s="12">
        <v>0</v>
      </c>
      <c r="K116" s="12"/>
    </row>
    <row r="117" spans="1:11" ht="15" customHeight="1">
      <c r="A117" s="15">
        <v>46376601</v>
      </c>
      <c r="B117" s="13" t="s">
        <v>2584</v>
      </c>
      <c r="C117" s="13" t="s">
        <v>2585</v>
      </c>
      <c r="D117" s="14">
        <f>VLOOKUP(A117,'[1]ExportarAExcel (2)'!E:G,3,0)</f>
        <v>3112670960</v>
      </c>
      <c r="E117" s="13" t="s">
        <v>2586</v>
      </c>
      <c r="F117" s="13" t="s">
        <v>713</v>
      </c>
      <c r="G117" s="12"/>
      <c r="H117" s="16">
        <v>99841</v>
      </c>
      <c r="I117" s="12">
        <v>0</v>
      </c>
      <c r="J117" s="12">
        <v>0</v>
      </c>
      <c r="K117" s="12"/>
    </row>
    <row r="118" spans="1:11" ht="15" customHeight="1">
      <c r="A118" s="15">
        <v>46377392</v>
      </c>
      <c r="B118" s="13" t="s">
        <v>2587</v>
      </c>
      <c r="C118" s="13" t="s">
        <v>2588</v>
      </c>
      <c r="D118" s="14">
        <f>VLOOKUP(A118,'[1]ExportarAExcel (2)'!E:G,3,0)</f>
        <v>3105845002</v>
      </c>
      <c r="E118" s="13" t="s">
        <v>2589</v>
      </c>
      <c r="F118" s="13" t="s">
        <v>695</v>
      </c>
      <c r="G118" s="12"/>
      <c r="H118" s="16">
        <v>2260000</v>
      </c>
      <c r="I118" s="12">
        <v>0</v>
      </c>
      <c r="J118" s="12">
        <v>0</v>
      </c>
      <c r="K118" s="12"/>
    </row>
    <row r="119" spans="1:11" ht="15" customHeight="1">
      <c r="A119" s="15">
        <v>46377511</v>
      </c>
      <c r="B119" s="13" t="s">
        <v>2590</v>
      </c>
      <c r="C119" s="13" t="s">
        <v>2591</v>
      </c>
      <c r="D119" s="14">
        <f>VLOOKUP(A119,'[1]ExportarAExcel (2)'!E:G,3,0)</f>
        <v>3212703896</v>
      </c>
      <c r="E119" s="14" t="s">
        <v>2592</v>
      </c>
      <c r="F119" s="14" t="s">
        <v>709</v>
      </c>
      <c r="G119" s="12"/>
      <c r="H119" s="16">
        <v>3500000</v>
      </c>
      <c r="I119" s="12">
        <v>0</v>
      </c>
      <c r="J119" s="12">
        <v>0</v>
      </c>
      <c r="K119" s="12"/>
    </row>
    <row r="120" spans="1:11" ht="15" customHeight="1">
      <c r="A120" s="15">
        <v>46377635</v>
      </c>
      <c r="B120" s="13" t="s">
        <v>2593</v>
      </c>
      <c r="C120" s="13" t="s">
        <v>2594</v>
      </c>
      <c r="D120" s="14">
        <f>VLOOKUP(A120,'[1]ExportarAExcel (2)'!E:G,3,0)</f>
        <v>3112125515</v>
      </c>
      <c r="E120" s="13" t="s">
        <v>2595</v>
      </c>
      <c r="F120" s="13" t="s">
        <v>713</v>
      </c>
      <c r="G120" s="12"/>
      <c r="H120" s="16">
        <v>280000</v>
      </c>
      <c r="I120" s="12">
        <v>0</v>
      </c>
      <c r="J120" s="12">
        <v>0</v>
      </c>
      <c r="K120" s="12"/>
    </row>
    <row r="121" spans="1:11" ht="15" customHeight="1">
      <c r="A121" s="15">
        <v>46377649</v>
      </c>
      <c r="B121" s="13" t="s">
        <v>2596</v>
      </c>
      <c r="C121" s="13" t="s">
        <v>2597</v>
      </c>
      <c r="D121" s="14">
        <f>VLOOKUP(A121,'[1]ExportarAExcel (2)'!E:G,3,0)</f>
        <v>3124316949</v>
      </c>
      <c r="E121" s="13" t="s">
        <v>2598</v>
      </c>
      <c r="F121" s="13" t="s">
        <v>713</v>
      </c>
      <c r="G121" s="12"/>
      <c r="H121" s="16">
        <v>280000</v>
      </c>
      <c r="I121" s="12">
        <v>0</v>
      </c>
      <c r="J121" s="12">
        <v>0</v>
      </c>
      <c r="K121" s="12"/>
    </row>
    <row r="122" spans="1:11" ht="15" customHeight="1">
      <c r="A122" s="15">
        <v>46378312</v>
      </c>
      <c r="B122" s="13" t="s">
        <v>2599</v>
      </c>
      <c r="C122" s="13" t="s">
        <v>2600</v>
      </c>
      <c r="D122" s="14">
        <f>VLOOKUP(A122,'[1]ExportarAExcel (2)'!E:G,3,0)</f>
        <v>0</v>
      </c>
      <c r="E122" s="14" t="s">
        <v>2601</v>
      </c>
      <c r="F122" s="14" t="s">
        <v>560</v>
      </c>
      <c r="G122" s="12"/>
      <c r="H122" s="16">
        <v>4000000</v>
      </c>
      <c r="I122" s="12">
        <v>0</v>
      </c>
      <c r="J122" s="12">
        <v>0</v>
      </c>
      <c r="K122" s="12"/>
    </row>
    <row r="123" spans="1:11" ht="15" customHeight="1">
      <c r="A123" s="15">
        <v>46378865</v>
      </c>
      <c r="B123" s="13" t="s">
        <v>2602</v>
      </c>
      <c r="C123" s="13" t="s">
        <v>2603</v>
      </c>
      <c r="D123" s="14">
        <f>VLOOKUP(A123,'[1]ExportarAExcel (2)'!E:G,3,0)</f>
        <v>0</v>
      </c>
      <c r="E123" s="13" t="s">
        <v>2365</v>
      </c>
      <c r="F123" s="13" t="s">
        <v>554</v>
      </c>
      <c r="G123" s="12"/>
      <c r="H123" s="16">
        <v>80000</v>
      </c>
      <c r="I123" s="12">
        <v>0</v>
      </c>
      <c r="J123" s="12">
        <v>0</v>
      </c>
      <c r="K123" s="12"/>
    </row>
    <row r="124" spans="1:11" ht="15" customHeight="1">
      <c r="A124" s="15">
        <v>46378985</v>
      </c>
      <c r="B124" s="13" t="s">
        <v>2604</v>
      </c>
      <c r="C124" s="13" t="s">
        <v>2605</v>
      </c>
      <c r="D124" s="14">
        <f>VLOOKUP(A124,'[1]ExportarAExcel (2)'!E:G,3,0)</f>
        <v>3168725781</v>
      </c>
      <c r="E124" s="13" t="s">
        <v>2606</v>
      </c>
      <c r="F124" s="13" t="s">
        <v>713</v>
      </c>
      <c r="G124" s="12"/>
      <c r="H124" s="16">
        <v>360000</v>
      </c>
      <c r="I124" s="12">
        <v>0</v>
      </c>
      <c r="J124" s="12">
        <v>0</v>
      </c>
      <c r="K124" s="12"/>
    </row>
    <row r="125" spans="1:11" ht="15" customHeight="1">
      <c r="A125" s="15">
        <v>46379681</v>
      </c>
      <c r="B125" s="13" t="s">
        <v>2607</v>
      </c>
      <c r="C125" s="13" t="s">
        <v>2608</v>
      </c>
      <c r="D125" s="14">
        <f>VLOOKUP(A125,'[1]ExportarAExcel (2)'!E:G,3,0)</f>
        <v>3214872710</v>
      </c>
      <c r="E125" s="14" t="s">
        <v>2400</v>
      </c>
      <c r="F125" s="14" t="s">
        <v>695</v>
      </c>
      <c r="G125" s="12"/>
      <c r="H125" s="16">
        <v>2000000</v>
      </c>
      <c r="I125" s="12">
        <v>0</v>
      </c>
      <c r="J125" s="12">
        <v>0</v>
      </c>
      <c r="K125" s="12"/>
    </row>
    <row r="126" spans="1:11" ht="15" customHeight="1">
      <c r="A126" s="15">
        <v>46383488</v>
      </c>
      <c r="B126" s="13" t="s">
        <v>2609</v>
      </c>
      <c r="C126" s="13" t="s">
        <v>2610</v>
      </c>
      <c r="D126" s="14">
        <f>VLOOKUP(A126,'[1]ExportarAExcel (2)'!E:G,3,0)</f>
        <v>3146358504</v>
      </c>
      <c r="E126" s="13" t="s">
        <v>2611</v>
      </c>
      <c r="F126" s="13" t="s">
        <v>713</v>
      </c>
      <c r="G126" s="12"/>
      <c r="H126" s="16">
        <v>280000</v>
      </c>
      <c r="I126" s="12">
        <v>0</v>
      </c>
      <c r="J126" s="12">
        <v>0</v>
      </c>
      <c r="K126" s="12"/>
    </row>
    <row r="127" spans="1:11" ht="15" customHeight="1">
      <c r="A127" s="15">
        <v>46383616</v>
      </c>
      <c r="B127" s="13" t="s">
        <v>2612</v>
      </c>
      <c r="C127" s="13" t="s">
        <v>2613</v>
      </c>
      <c r="D127" s="14">
        <f>VLOOKUP(A127,'[1]ExportarAExcel (2)'!E:G,3,0)</f>
        <v>3132708125</v>
      </c>
      <c r="E127" s="13" t="s">
        <v>2614</v>
      </c>
      <c r="F127" s="13" t="s">
        <v>713</v>
      </c>
      <c r="G127" s="12"/>
      <c r="H127" s="16">
        <v>852044</v>
      </c>
      <c r="I127" s="12">
        <v>0</v>
      </c>
      <c r="J127" s="12">
        <v>0</v>
      </c>
      <c r="K127" s="12"/>
    </row>
    <row r="128" spans="1:11" ht="15" customHeight="1">
      <c r="A128" s="15">
        <v>46384065</v>
      </c>
      <c r="B128" s="13" t="s">
        <v>2615</v>
      </c>
      <c r="C128" s="13" t="s">
        <v>2616</v>
      </c>
      <c r="D128" s="14">
        <f>VLOOKUP(A128,'[1]ExportarAExcel (2)'!E:G,3,0)</f>
        <v>3143708686</v>
      </c>
      <c r="E128" s="13" t="s">
        <v>2617</v>
      </c>
      <c r="F128" s="13" t="s">
        <v>554</v>
      </c>
      <c r="G128" s="12"/>
      <c r="H128" s="16">
        <f>1600000+900000</f>
        <v>2500000</v>
      </c>
      <c r="I128" s="12">
        <v>0</v>
      </c>
      <c r="J128" s="12">
        <v>0</v>
      </c>
      <c r="K128" s="12"/>
    </row>
    <row r="129" spans="1:11" ht="15" customHeight="1">
      <c r="A129" s="15">
        <v>46385018</v>
      </c>
      <c r="B129" s="13" t="s">
        <v>2618</v>
      </c>
      <c r="C129" s="13" t="s">
        <v>2619</v>
      </c>
      <c r="D129" s="14">
        <f>VLOOKUP(A129,'[1]ExportarAExcel (2)'!E:G,3,0)</f>
        <v>3142568527</v>
      </c>
      <c r="E129" s="13" t="s">
        <v>2620</v>
      </c>
      <c r="F129" s="13" t="s">
        <v>727</v>
      </c>
      <c r="G129" s="12"/>
      <c r="H129" s="16">
        <v>20000</v>
      </c>
      <c r="I129" s="12">
        <v>0</v>
      </c>
      <c r="J129" s="12">
        <v>0</v>
      </c>
      <c r="K129" s="12"/>
    </row>
    <row r="130" spans="1:11" ht="15" customHeight="1">
      <c r="A130" s="15">
        <v>46385258</v>
      </c>
      <c r="B130" s="13" t="s">
        <v>2621</v>
      </c>
      <c r="C130" s="13" t="s">
        <v>2622</v>
      </c>
      <c r="D130" s="14">
        <f>VLOOKUP(A130,'[1]ExportarAExcel (2)'!E:G,3,0)</f>
        <v>3223091542</v>
      </c>
      <c r="E130" s="14" t="s">
        <v>2623</v>
      </c>
      <c r="F130" s="14" t="s">
        <v>713</v>
      </c>
      <c r="G130" s="12"/>
      <c r="H130" s="16">
        <v>3500000</v>
      </c>
      <c r="I130" s="12">
        <v>0</v>
      </c>
      <c r="J130" s="12">
        <v>0</v>
      </c>
      <c r="K130" s="12"/>
    </row>
    <row r="131" spans="1:11" ht="15" customHeight="1">
      <c r="A131" s="15">
        <v>46385886</v>
      </c>
      <c r="B131" s="13" t="s">
        <v>2624</v>
      </c>
      <c r="C131" s="13" t="s">
        <v>2625</v>
      </c>
      <c r="D131" s="14">
        <f>VLOOKUP(A131,'[1]ExportarAExcel (2)'!E:G,3,0)</f>
        <v>3178953164</v>
      </c>
      <c r="E131" s="14" t="s">
        <v>2626</v>
      </c>
      <c r="F131" s="14" t="s">
        <v>713</v>
      </c>
      <c r="G131" s="12"/>
      <c r="H131" s="16">
        <v>54150</v>
      </c>
      <c r="I131" s="12">
        <v>0</v>
      </c>
      <c r="J131" s="12">
        <v>0</v>
      </c>
      <c r="K131" s="12"/>
    </row>
    <row r="132" spans="1:11" ht="15" customHeight="1">
      <c r="A132" s="15">
        <v>46387377</v>
      </c>
      <c r="B132" s="13" t="s">
        <v>2627</v>
      </c>
      <c r="C132" s="13" t="s">
        <v>2628</v>
      </c>
      <c r="D132" s="14">
        <f>VLOOKUP(A132,'[1]ExportarAExcel (2)'!E:G,3,0)</f>
        <v>3206620217</v>
      </c>
      <c r="E132" s="13" t="s">
        <v>2629</v>
      </c>
      <c r="F132" s="13" t="s">
        <v>717</v>
      </c>
      <c r="G132" s="12"/>
      <c r="H132" s="16">
        <v>120000</v>
      </c>
      <c r="I132" s="12">
        <v>0</v>
      </c>
      <c r="J132" s="12">
        <v>0</v>
      </c>
      <c r="K132" s="12"/>
    </row>
    <row r="133" spans="1:11" ht="15" customHeight="1">
      <c r="A133" s="15">
        <v>46387683</v>
      </c>
      <c r="B133" s="13" t="s">
        <v>2630</v>
      </c>
      <c r="C133" s="13" t="s">
        <v>2250</v>
      </c>
      <c r="D133" s="14">
        <f>VLOOKUP(A133,'[1]ExportarAExcel (2)'!E:G,3,0)</f>
        <v>0</v>
      </c>
      <c r="E133" s="13" t="s">
        <v>2631</v>
      </c>
      <c r="F133" s="13" t="s">
        <v>713</v>
      </c>
      <c r="G133" s="12"/>
      <c r="H133" s="16">
        <v>770000</v>
      </c>
      <c r="I133" s="12">
        <v>0</v>
      </c>
      <c r="J133" s="12">
        <v>0</v>
      </c>
      <c r="K133" s="12"/>
    </row>
    <row r="134" spans="1:11" ht="15" customHeight="1">
      <c r="A134" s="15">
        <v>46666550</v>
      </c>
      <c r="B134" s="13" t="s">
        <v>2632</v>
      </c>
      <c r="C134" s="13" t="s">
        <v>2633</v>
      </c>
      <c r="D134" s="14">
        <f>VLOOKUP(A134,'[1]ExportarAExcel (2)'!E:G,3,0)</f>
        <v>3115363138</v>
      </c>
      <c r="E134" s="14" t="s">
        <v>2634</v>
      </c>
      <c r="F134" s="14" t="s">
        <v>695</v>
      </c>
      <c r="G134" s="12"/>
      <c r="H134" s="16">
        <v>3000000</v>
      </c>
      <c r="I134" s="12">
        <v>0</v>
      </c>
      <c r="J134" s="12">
        <v>0</v>
      </c>
      <c r="K134" s="12"/>
    </row>
    <row r="135" spans="1:11" ht="15" customHeight="1">
      <c r="A135" s="15">
        <v>46677768</v>
      </c>
      <c r="B135" s="13" t="s">
        <v>2635</v>
      </c>
      <c r="C135" s="13" t="s">
        <v>2636</v>
      </c>
      <c r="D135" s="14">
        <f>VLOOKUP(A135,'[1]ExportarAExcel (2)'!E:G,3,0)</f>
        <v>0</v>
      </c>
      <c r="E135" s="14" t="s">
        <v>2362</v>
      </c>
      <c r="F135" s="14" t="s">
        <v>649</v>
      </c>
      <c r="G135" s="12"/>
      <c r="H135" s="16">
        <v>1440000</v>
      </c>
      <c r="I135" s="12">
        <v>0</v>
      </c>
      <c r="J135" s="12">
        <v>0</v>
      </c>
      <c r="K135" s="12"/>
    </row>
    <row r="136" spans="1:11" ht="15" customHeight="1">
      <c r="A136" s="15">
        <v>46682684</v>
      </c>
      <c r="B136" s="13" t="s">
        <v>2637</v>
      </c>
      <c r="C136" s="13" t="s">
        <v>2638</v>
      </c>
      <c r="D136" s="14">
        <f>VLOOKUP(A136,'[1]ExportarAExcel (2)'!E:G,3,0)</f>
        <v>3213537286</v>
      </c>
      <c r="E136" s="13" t="s">
        <v>2639</v>
      </c>
      <c r="F136" s="13" t="s">
        <v>733</v>
      </c>
      <c r="G136" s="12">
        <v>324</v>
      </c>
      <c r="H136" s="16">
        <v>345000</v>
      </c>
      <c r="I136" s="12">
        <v>3450</v>
      </c>
      <c r="J136" s="12"/>
      <c r="K136" s="12"/>
    </row>
    <row r="137" spans="1:11" ht="15" customHeight="1">
      <c r="A137" s="15">
        <v>46682708</v>
      </c>
      <c r="B137" s="13" t="s">
        <v>2640</v>
      </c>
      <c r="C137" s="13" t="s">
        <v>2641</v>
      </c>
      <c r="D137" s="14">
        <f>VLOOKUP(A137,'[1]ExportarAExcel (2)'!E:G,3,0)</f>
        <v>0</v>
      </c>
      <c r="E137" s="13" t="s">
        <v>2642</v>
      </c>
      <c r="F137" s="13" t="s">
        <v>695</v>
      </c>
      <c r="G137" s="12"/>
      <c r="H137" s="16">
        <v>5006650</v>
      </c>
      <c r="I137" s="12">
        <v>0</v>
      </c>
      <c r="J137" s="12">
        <v>0</v>
      </c>
      <c r="K137" s="12"/>
    </row>
    <row r="138" spans="1:11" ht="15" customHeight="1">
      <c r="A138" s="15">
        <v>47438124</v>
      </c>
      <c r="B138" s="13" t="s">
        <v>2643</v>
      </c>
      <c r="C138" s="13" t="s">
        <v>2644</v>
      </c>
      <c r="D138" s="14">
        <f>VLOOKUP(A138,'[1]ExportarAExcel (2)'!E:G,3,0)</f>
        <v>0</v>
      </c>
      <c r="E138" s="13" t="s">
        <v>2645</v>
      </c>
      <c r="F138" s="13" t="s">
        <v>560</v>
      </c>
      <c r="G138" s="12"/>
      <c r="H138" s="16">
        <v>433520</v>
      </c>
      <c r="I138" s="12">
        <v>0</v>
      </c>
      <c r="J138" s="12">
        <v>0</v>
      </c>
      <c r="K138" s="12"/>
    </row>
    <row r="139" spans="1:11" ht="15" customHeight="1">
      <c r="A139" s="15">
        <v>47438489</v>
      </c>
      <c r="B139" s="13" t="s">
        <v>2646</v>
      </c>
      <c r="C139" s="13" t="s">
        <v>2647</v>
      </c>
      <c r="D139" s="14">
        <f>VLOOKUP(A139,'[1]ExportarAExcel (2)'!E:G,3,0)</f>
        <v>3203013472</v>
      </c>
      <c r="E139" s="14" t="s">
        <v>2648</v>
      </c>
      <c r="F139" s="14" t="s">
        <v>558</v>
      </c>
      <c r="G139" s="12"/>
      <c r="H139" s="16">
        <v>22540000</v>
      </c>
      <c r="I139" s="12">
        <v>0</v>
      </c>
      <c r="J139" s="12">
        <v>0</v>
      </c>
      <c r="K139" s="12"/>
    </row>
    <row r="140" spans="1:11" ht="15" customHeight="1">
      <c r="A140" s="15">
        <v>47441028</v>
      </c>
      <c r="B140" s="13" t="s">
        <v>2649</v>
      </c>
      <c r="C140" s="13" t="s">
        <v>2650</v>
      </c>
      <c r="D140" s="14">
        <f>VLOOKUP(A140,'[1]ExportarAExcel (2)'!E:G,3,0)</f>
        <v>3114596947</v>
      </c>
      <c r="E140" s="13" t="s">
        <v>2651</v>
      </c>
      <c r="F140" s="13" t="s">
        <v>554</v>
      </c>
      <c r="G140" s="12"/>
      <c r="H140" s="16">
        <v>80000</v>
      </c>
      <c r="I140" s="12">
        <v>0</v>
      </c>
      <c r="J140" s="12">
        <v>0</v>
      </c>
      <c r="K140" s="12"/>
    </row>
    <row r="141" spans="1:11" ht="15" customHeight="1">
      <c r="A141" s="15">
        <v>49782420</v>
      </c>
      <c r="B141" s="13" t="s">
        <v>2652</v>
      </c>
      <c r="C141" s="13" t="s">
        <v>2653</v>
      </c>
      <c r="D141" s="14">
        <f>VLOOKUP(A141,'[1]ExportarAExcel (2)'!E:G,3,0)</f>
        <v>3102104787</v>
      </c>
      <c r="E141" s="13" t="s">
        <v>2365</v>
      </c>
      <c r="F141" s="13" t="s">
        <v>554</v>
      </c>
      <c r="G141" s="12"/>
      <c r="H141" s="16">
        <v>135875</v>
      </c>
      <c r="I141" s="12">
        <v>0</v>
      </c>
      <c r="J141" s="12">
        <v>0</v>
      </c>
      <c r="K141" s="12"/>
    </row>
    <row r="142" spans="1:11" ht="15" customHeight="1">
      <c r="A142" s="15">
        <v>49793696</v>
      </c>
      <c r="B142" s="13" t="s">
        <v>2654</v>
      </c>
      <c r="C142" s="13" t="s">
        <v>2655</v>
      </c>
      <c r="D142" s="14">
        <f>VLOOKUP(A142,'[1]ExportarAExcel (2)'!E:G,3,0)</f>
        <v>0</v>
      </c>
      <c r="E142" s="14" t="s">
        <v>2656</v>
      </c>
      <c r="F142" s="14" t="s">
        <v>560</v>
      </c>
      <c r="G142" s="12"/>
      <c r="H142" s="16">
        <v>1000000</v>
      </c>
      <c r="I142" s="12">
        <v>0</v>
      </c>
      <c r="J142" s="12">
        <v>0</v>
      </c>
      <c r="K142" s="12"/>
    </row>
    <row r="143" spans="1:11" ht="15" customHeight="1">
      <c r="A143" s="15">
        <v>52123843</v>
      </c>
      <c r="B143" s="13" t="s">
        <v>2657</v>
      </c>
      <c r="C143" s="13" t="s">
        <v>2658</v>
      </c>
      <c r="D143" s="14">
        <f>VLOOKUP(A143,'[1]ExportarAExcel (2)'!E:G,3,0)</f>
        <v>7701011</v>
      </c>
      <c r="E143" s="13" t="s">
        <v>2659</v>
      </c>
      <c r="F143" s="13" t="s">
        <v>713</v>
      </c>
      <c r="G143" s="12"/>
      <c r="H143" s="16">
        <v>4500</v>
      </c>
      <c r="I143" s="12">
        <v>0</v>
      </c>
      <c r="J143" s="12">
        <v>0</v>
      </c>
      <c r="K143" s="12"/>
    </row>
    <row r="144" spans="1:11" ht="15" customHeight="1">
      <c r="A144" s="15">
        <v>52145809</v>
      </c>
      <c r="B144" s="13" t="s">
        <v>2660</v>
      </c>
      <c r="C144" s="13" t="s">
        <v>2661</v>
      </c>
      <c r="D144" s="14">
        <f>VLOOKUP(A144,'[1]ExportarAExcel (2)'!E:G,3,0)</f>
        <v>3112323513</v>
      </c>
      <c r="E144" s="14" t="s">
        <v>2662</v>
      </c>
      <c r="F144" s="14" t="s">
        <v>554</v>
      </c>
      <c r="G144" s="12"/>
      <c r="H144" s="16">
        <v>34436667</v>
      </c>
      <c r="I144" s="12">
        <v>0</v>
      </c>
      <c r="J144" s="12">
        <v>0</v>
      </c>
      <c r="K144" s="12"/>
    </row>
    <row r="145" spans="1:11" ht="15" customHeight="1">
      <c r="A145" s="15">
        <v>52273420</v>
      </c>
      <c r="B145" s="13" t="s">
        <v>2663</v>
      </c>
      <c r="C145" s="13" t="s">
        <v>2664</v>
      </c>
      <c r="D145" s="14">
        <f>VLOOKUP(A145,'[1]ExportarAExcel (2)'!E:G,3,0)</f>
        <v>0</v>
      </c>
      <c r="E145" s="14" t="s">
        <v>2473</v>
      </c>
      <c r="F145" s="14" t="s">
        <v>679</v>
      </c>
      <c r="G145" s="12"/>
      <c r="H145" s="16">
        <v>480000</v>
      </c>
      <c r="I145" s="12">
        <v>0</v>
      </c>
      <c r="J145" s="12">
        <v>0</v>
      </c>
      <c r="K145" s="12"/>
    </row>
    <row r="146" spans="1:11" ht="15" customHeight="1">
      <c r="A146" s="15">
        <v>52326065</v>
      </c>
      <c r="B146" s="13" t="s">
        <v>2665</v>
      </c>
      <c r="C146" s="13" t="s">
        <v>2666</v>
      </c>
      <c r="D146" s="14">
        <f>VLOOKUP(A146,'[1]ExportarAExcel (2)'!E:G,3,0)</f>
        <v>3182218327</v>
      </c>
      <c r="E146" s="14" t="s">
        <v>2648</v>
      </c>
      <c r="F146" s="14" t="s">
        <v>558</v>
      </c>
      <c r="G146" s="12"/>
      <c r="H146" s="16">
        <v>6000000</v>
      </c>
      <c r="I146" s="12">
        <v>0</v>
      </c>
      <c r="J146" s="12">
        <v>0</v>
      </c>
      <c r="K146" s="12"/>
    </row>
    <row r="147" spans="1:11" ht="15" customHeight="1">
      <c r="A147" s="15">
        <v>52620852</v>
      </c>
      <c r="B147" s="13" t="s">
        <v>2667</v>
      </c>
      <c r="C147" s="13" t="s">
        <v>2668</v>
      </c>
      <c r="D147" s="14">
        <f>VLOOKUP(A147,'[1]ExportarAExcel (2)'!E:G,3,0)</f>
        <v>3104881196</v>
      </c>
      <c r="E147" s="14" t="s">
        <v>2669</v>
      </c>
      <c r="F147" s="14" t="s">
        <v>713</v>
      </c>
      <c r="G147" s="12"/>
      <c r="H147" s="16">
        <v>1000000</v>
      </c>
      <c r="I147" s="12">
        <v>0</v>
      </c>
      <c r="J147" s="12">
        <v>0</v>
      </c>
      <c r="K147" s="12"/>
    </row>
    <row r="148" spans="1:11" ht="15" customHeight="1">
      <c r="A148" s="15">
        <v>52836278</v>
      </c>
      <c r="B148" s="13" t="s">
        <v>2670</v>
      </c>
      <c r="C148" s="13" t="s">
        <v>2671</v>
      </c>
      <c r="D148" s="14">
        <f>VLOOKUP(A148,'[1]ExportarAExcel (2)'!E:G,3,0)</f>
        <v>0</v>
      </c>
      <c r="E148" s="14" t="s">
        <v>2672</v>
      </c>
      <c r="F148" s="14" t="s">
        <v>703</v>
      </c>
      <c r="G148" s="12"/>
      <c r="H148" s="16">
        <v>600000</v>
      </c>
      <c r="I148" s="12">
        <v>0</v>
      </c>
      <c r="J148" s="12">
        <v>0</v>
      </c>
      <c r="K148" s="12"/>
    </row>
    <row r="149" spans="1:11" ht="15" customHeight="1">
      <c r="A149" s="15">
        <v>53113645</v>
      </c>
      <c r="B149" s="13" t="s">
        <v>2673</v>
      </c>
      <c r="C149" s="13" t="s">
        <v>2674</v>
      </c>
      <c r="D149" s="14">
        <f>VLOOKUP(A149,'[1]ExportarAExcel (2)'!E:G,3,0)</f>
        <v>0</v>
      </c>
      <c r="E149" s="13" t="s">
        <v>2675</v>
      </c>
      <c r="F149" s="13" t="s">
        <v>628</v>
      </c>
      <c r="G149" s="12"/>
      <c r="H149" s="16">
        <v>48600</v>
      </c>
      <c r="I149" s="12">
        <v>0</v>
      </c>
      <c r="J149" s="12">
        <v>0</v>
      </c>
      <c r="K149" s="12"/>
    </row>
    <row r="150" spans="1:11" ht="15" customHeight="1">
      <c r="A150" s="15">
        <v>56089036</v>
      </c>
      <c r="B150" s="13" t="s">
        <v>2676</v>
      </c>
      <c r="C150" s="13" t="s">
        <v>2677</v>
      </c>
      <c r="D150" s="14">
        <f>VLOOKUP(A150,'[1]ExportarAExcel (2)'!E:G,3,0)</f>
        <v>3008852326</v>
      </c>
      <c r="E150" s="14" t="s">
        <v>2678</v>
      </c>
      <c r="F150" s="14" t="s">
        <v>534</v>
      </c>
      <c r="G150" s="12"/>
      <c r="H150" s="16">
        <v>9700000</v>
      </c>
      <c r="I150" s="12">
        <v>0</v>
      </c>
      <c r="J150" s="12">
        <v>0</v>
      </c>
      <c r="K150" s="12"/>
    </row>
    <row r="151" spans="1:11" ht="15" customHeight="1">
      <c r="A151" s="15">
        <v>57271148</v>
      </c>
      <c r="B151" s="13" t="s">
        <v>2679</v>
      </c>
      <c r="C151" s="13" t="s">
        <v>2680</v>
      </c>
      <c r="D151" s="14">
        <f>VLOOKUP(A151,'[1]ExportarAExcel (2)'!E:G,3,0)</f>
        <v>3046217547</v>
      </c>
      <c r="E151" s="14" t="s">
        <v>2681</v>
      </c>
      <c r="F151" s="14" t="s">
        <v>554</v>
      </c>
      <c r="G151" s="12"/>
      <c r="H151" s="16">
        <v>32500000</v>
      </c>
      <c r="I151" s="12">
        <v>0</v>
      </c>
      <c r="J151" s="12">
        <v>0</v>
      </c>
      <c r="K151" s="12"/>
    </row>
    <row r="152" spans="1:11" ht="15" customHeight="1">
      <c r="A152" s="15">
        <v>63254959</v>
      </c>
      <c r="B152" s="13" t="s">
        <v>2682</v>
      </c>
      <c r="C152" s="13" t="s">
        <v>2683</v>
      </c>
      <c r="D152" s="14">
        <f>VLOOKUP(A152,'[1]ExportarAExcel (2)'!E:G,3,0)</f>
        <v>3163996119</v>
      </c>
      <c r="E152" s="13" t="s">
        <v>2684</v>
      </c>
      <c r="F152" s="13" t="s">
        <v>713</v>
      </c>
      <c r="G152" s="12"/>
      <c r="H152" s="16">
        <v>324900</v>
      </c>
      <c r="I152" s="12">
        <v>0</v>
      </c>
      <c r="J152" s="12">
        <v>0</v>
      </c>
      <c r="K152" s="12"/>
    </row>
    <row r="153" spans="1:11" ht="15" customHeight="1">
      <c r="A153" s="15">
        <v>71374524</v>
      </c>
      <c r="B153" s="13" t="s">
        <v>2685</v>
      </c>
      <c r="C153" s="13" t="s">
        <v>2686</v>
      </c>
      <c r="D153" s="14">
        <f>VLOOKUP(A153,'[1]ExportarAExcel (2)'!E:G,3,0)</f>
        <v>3104895281</v>
      </c>
      <c r="E153" s="13" t="s">
        <v>2687</v>
      </c>
      <c r="F153" s="13" t="s">
        <v>418</v>
      </c>
      <c r="G153" s="12"/>
      <c r="H153" s="16">
        <v>151000</v>
      </c>
      <c r="I153" s="12">
        <v>0</v>
      </c>
      <c r="J153" s="12">
        <v>0</v>
      </c>
      <c r="K153" s="12"/>
    </row>
    <row r="154" spans="1:11" ht="15" customHeight="1">
      <c r="A154" s="15">
        <v>72181195</v>
      </c>
      <c r="B154" s="13" t="s">
        <v>2688</v>
      </c>
      <c r="C154" s="13" t="s">
        <v>2689</v>
      </c>
      <c r="D154" s="14">
        <f>VLOOKUP(A154,'[1]ExportarAExcel (2)'!E:G,3,0)</f>
        <v>3218134904</v>
      </c>
      <c r="E154" s="14" t="s">
        <v>2648</v>
      </c>
      <c r="F154" s="14" t="s">
        <v>558</v>
      </c>
      <c r="G154" s="12"/>
      <c r="H154" s="16">
        <v>6000000</v>
      </c>
      <c r="I154" s="12">
        <v>0</v>
      </c>
      <c r="J154" s="12">
        <v>0</v>
      </c>
      <c r="K154" s="12"/>
    </row>
    <row r="155" spans="1:11" ht="15" customHeight="1">
      <c r="A155" s="15">
        <v>74082397</v>
      </c>
      <c r="B155" s="13" t="s">
        <v>2690</v>
      </c>
      <c r="C155" s="13" t="s">
        <v>2691</v>
      </c>
      <c r="D155" s="14">
        <f>VLOOKUP(A155,'[1]ExportarAExcel (2)'!E:G,3,0)</f>
        <v>3118486950</v>
      </c>
      <c r="E155" s="14" t="s">
        <v>2692</v>
      </c>
      <c r="F155" s="14" t="s">
        <v>713</v>
      </c>
      <c r="G155" s="12"/>
      <c r="H155" s="16">
        <v>5124000</v>
      </c>
      <c r="I155" s="12">
        <v>0</v>
      </c>
      <c r="J155" s="12">
        <v>0</v>
      </c>
      <c r="K155" s="12"/>
    </row>
    <row r="156" spans="1:11" ht="15" customHeight="1">
      <c r="A156" s="15">
        <v>74084640</v>
      </c>
      <c r="B156" s="13" t="s">
        <v>2693</v>
      </c>
      <c r="C156" s="13" t="s">
        <v>2694</v>
      </c>
      <c r="D156" s="14">
        <f>VLOOKUP(A156,'[1]ExportarAExcel (2)'!E:G,3,0)</f>
        <v>3134290322</v>
      </c>
      <c r="E156" s="13" t="s">
        <v>2695</v>
      </c>
      <c r="F156" s="13" t="s">
        <v>713</v>
      </c>
      <c r="G156" s="12"/>
      <c r="H156" s="16">
        <v>182750</v>
      </c>
      <c r="I156" s="12">
        <v>0</v>
      </c>
      <c r="J156" s="12">
        <v>0</v>
      </c>
      <c r="K156" s="12"/>
    </row>
    <row r="157" spans="1:11" ht="15" customHeight="1">
      <c r="A157" s="15">
        <v>74186995</v>
      </c>
      <c r="B157" s="13" t="s">
        <v>2696</v>
      </c>
      <c r="C157" s="13" t="s">
        <v>2697</v>
      </c>
      <c r="D157" s="14">
        <f>VLOOKUP(A157,'[1]ExportarAExcel (2)'!E:G,3,0)</f>
        <v>3112217603</v>
      </c>
      <c r="E157" s="13" t="s">
        <v>2698</v>
      </c>
      <c r="F157" s="13" t="s">
        <v>703</v>
      </c>
      <c r="G157" s="12"/>
      <c r="H157" s="16">
        <f>853000+940000</f>
        <v>1793000</v>
      </c>
      <c r="I157" s="12">
        <v>0</v>
      </c>
      <c r="J157" s="12">
        <v>0</v>
      </c>
      <c r="K157" s="12"/>
    </row>
    <row r="158" spans="1:11" ht="15" customHeight="1">
      <c r="A158" s="15">
        <v>74189004</v>
      </c>
      <c r="B158" s="13" t="s">
        <v>2699</v>
      </c>
      <c r="C158" s="13" t="s">
        <v>2700</v>
      </c>
      <c r="D158" s="14">
        <f>VLOOKUP(A158,'[1]ExportarAExcel (2)'!E:G,3,0)</f>
        <v>3177722965</v>
      </c>
      <c r="E158" s="13" t="s">
        <v>2701</v>
      </c>
      <c r="F158" s="13" t="s">
        <v>713</v>
      </c>
      <c r="G158" s="12"/>
      <c r="H158" s="16">
        <v>17500</v>
      </c>
      <c r="I158" s="12">
        <v>0</v>
      </c>
      <c r="J158" s="12">
        <v>0</v>
      </c>
      <c r="K158" s="12"/>
    </row>
    <row r="159" spans="1:11" ht="15" customHeight="1">
      <c r="A159" s="15">
        <v>74270022</v>
      </c>
      <c r="B159" s="13" t="s">
        <v>2702</v>
      </c>
      <c r="C159" s="13" t="s">
        <v>2703</v>
      </c>
      <c r="D159" s="14">
        <f>VLOOKUP(A159,'[1]ExportarAExcel (2)'!E:G,3,0)</f>
        <v>3123365555</v>
      </c>
      <c r="E159" s="14" t="s">
        <v>2704</v>
      </c>
      <c r="F159" s="14" t="s">
        <v>750</v>
      </c>
      <c r="G159" s="12"/>
      <c r="H159" s="16">
        <v>200000</v>
      </c>
      <c r="I159" s="12">
        <v>0</v>
      </c>
      <c r="J159" s="12">
        <v>0</v>
      </c>
      <c r="K159" s="12"/>
    </row>
    <row r="160" spans="1:11" ht="15" customHeight="1">
      <c r="A160" s="15">
        <v>74281331</v>
      </c>
      <c r="B160" s="13" t="s">
        <v>2705</v>
      </c>
      <c r="C160" s="13" t="s">
        <v>2706</v>
      </c>
      <c r="D160" s="14">
        <f>VLOOKUP(A160,'[1]ExportarAExcel (2)'!E:G,3,0)</f>
        <v>0</v>
      </c>
      <c r="E160" s="13" t="s">
        <v>2359</v>
      </c>
      <c r="F160" s="13" t="s">
        <v>649</v>
      </c>
      <c r="G160" s="12"/>
      <c r="H160" s="16">
        <v>520000</v>
      </c>
      <c r="I160" s="12">
        <v>0</v>
      </c>
      <c r="J160" s="12">
        <v>0</v>
      </c>
      <c r="K160" s="12"/>
    </row>
    <row r="161" spans="1:11" ht="15" customHeight="1">
      <c r="A161" s="15">
        <v>74335887</v>
      </c>
      <c r="B161" s="13" t="s">
        <v>2707</v>
      </c>
      <c r="C161" s="13" t="s">
        <v>2708</v>
      </c>
      <c r="D161" s="14">
        <f>VLOOKUP(A161,'[1]ExportarAExcel (2)'!E:G,3,0)</f>
        <v>3164264265</v>
      </c>
      <c r="E161" s="13" t="s">
        <v>2709</v>
      </c>
      <c r="F161" s="13" t="s">
        <v>667</v>
      </c>
      <c r="G161" s="12"/>
      <c r="H161" s="16">
        <v>108750</v>
      </c>
      <c r="I161" s="12">
        <v>0</v>
      </c>
      <c r="J161" s="12">
        <v>0</v>
      </c>
      <c r="K161" s="12"/>
    </row>
    <row r="162" spans="1:11" ht="15" customHeight="1">
      <c r="A162" s="15">
        <v>74358684</v>
      </c>
      <c r="B162" s="13" t="s">
        <v>2710</v>
      </c>
      <c r="C162" s="13" t="s">
        <v>2711</v>
      </c>
      <c r="D162" s="14">
        <f>VLOOKUP(A162,'[1]ExportarAExcel (2)'!E:G,3,0)</f>
        <v>3118076878</v>
      </c>
      <c r="E162" s="14" t="s">
        <v>2712</v>
      </c>
      <c r="F162" s="14" t="s">
        <v>729</v>
      </c>
      <c r="G162" s="12"/>
      <c r="H162" s="16">
        <v>25712000</v>
      </c>
      <c r="I162" s="12">
        <v>0</v>
      </c>
      <c r="J162" s="12">
        <v>0</v>
      </c>
      <c r="K162" s="12"/>
    </row>
    <row r="163" spans="1:11" ht="15" customHeight="1">
      <c r="A163" s="18">
        <v>74359094</v>
      </c>
      <c r="B163" s="19" t="s">
        <v>2713</v>
      </c>
      <c r="C163" s="19" t="s">
        <v>2714</v>
      </c>
      <c r="D163" s="12">
        <f>VLOOKUP(A163,'[1]ExportarAExcel (2)'!E:G,3,0)</f>
        <v>7852003</v>
      </c>
      <c r="E163" s="19" t="s">
        <v>2715</v>
      </c>
      <c r="F163" s="19" t="s">
        <v>733</v>
      </c>
      <c r="G163" s="12">
        <v>204</v>
      </c>
      <c r="H163" s="16">
        <v>340000</v>
      </c>
      <c r="I163" s="12">
        <v>1700</v>
      </c>
      <c r="J163" s="12"/>
      <c r="K163" s="12"/>
    </row>
    <row r="164" spans="1:11" ht="15" customHeight="1">
      <c r="A164" s="15">
        <v>74360580</v>
      </c>
      <c r="B164" s="13" t="s">
        <v>2716</v>
      </c>
      <c r="C164" s="13" t="s">
        <v>2717</v>
      </c>
      <c r="D164" s="14">
        <f>VLOOKUP(A164,'[1]ExportarAExcel (2)'!E:G,3,0)</f>
        <v>3217838373</v>
      </c>
      <c r="E164" s="13" t="s">
        <v>2400</v>
      </c>
      <c r="F164" s="13" t="s">
        <v>695</v>
      </c>
      <c r="G164" s="12"/>
      <c r="H164" s="16">
        <v>8000000</v>
      </c>
      <c r="I164" s="12">
        <v>0</v>
      </c>
      <c r="J164" s="12">
        <v>0</v>
      </c>
      <c r="K164" s="12"/>
    </row>
    <row r="165" spans="1:11" ht="15" customHeight="1">
      <c r="A165" s="15">
        <v>74373503</v>
      </c>
      <c r="B165" s="13" t="s">
        <v>2718</v>
      </c>
      <c r="C165" s="13" t="s">
        <v>2719</v>
      </c>
      <c r="D165" s="14">
        <f>VLOOKUP(A165,'[1]ExportarAExcel (2)'!E:G,3,0)</f>
        <v>3112302085</v>
      </c>
      <c r="E165" s="13" t="s">
        <v>2720</v>
      </c>
      <c r="F165" s="13" t="s">
        <v>713</v>
      </c>
      <c r="G165" s="12"/>
      <c r="H165" s="16">
        <v>210000</v>
      </c>
      <c r="I165" s="12">
        <v>0</v>
      </c>
      <c r="J165" s="12">
        <v>0</v>
      </c>
      <c r="K165" s="12"/>
    </row>
    <row r="166" spans="1:11" ht="15" customHeight="1">
      <c r="A166" s="15">
        <v>74857567</v>
      </c>
      <c r="B166" s="13" t="s">
        <v>2721</v>
      </c>
      <c r="C166" s="13" t="s">
        <v>2722</v>
      </c>
      <c r="D166" s="14">
        <f>VLOOKUP(A166,'[1]ExportarAExcel (2)'!E:G,3,0)</f>
        <v>3118249638</v>
      </c>
      <c r="E166" s="13" t="s">
        <v>2645</v>
      </c>
      <c r="F166" s="13" t="s">
        <v>560</v>
      </c>
      <c r="G166" s="12"/>
      <c r="H166" s="16">
        <v>433520</v>
      </c>
      <c r="I166" s="12">
        <v>0</v>
      </c>
      <c r="J166" s="12">
        <v>0</v>
      </c>
      <c r="K166" s="12"/>
    </row>
    <row r="167" spans="1:11" ht="15" customHeight="1">
      <c r="A167" s="15">
        <v>79048618</v>
      </c>
      <c r="B167" s="13" t="s">
        <v>2723</v>
      </c>
      <c r="C167" s="13" t="s">
        <v>2724</v>
      </c>
      <c r="D167" s="14">
        <f>VLOOKUP(A167,'[1]ExportarAExcel (2)'!E:G,3,0)</f>
        <v>3001365665</v>
      </c>
      <c r="E167" s="14" t="s">
        <v>2400</v>
      </c>
      <c r="F167" s="14" t="s">
        <v>695</v>
      </c>
      <c r="G167" s="12"/>
      <c r="H167" s="16">
        <v>2500000</v>
      </c>
      <c r="I167" s="12">
        <v>0</v>
      </c>
      <c r="J167" s="12">
        <v>0</v>
      </c>
      <c r="K167" s="12"/>
    </row>
    <row r="168" spans="1:11" ht="15" customHeight="1">
      <c r="A168" s="15">
        <v>79456245</v>
      </c>
      <c r="B168" s="13" t="s">
        <v>2725</v>
      </c>
      <c r="C168" s="13" t="s">
        <v>2726</v>
      </c>
      <c r="D168" s="14">
        <f>VLOOKUP(A168,'[1]ExportarAExcel (2)'!E:G,3,0)</f>
        <v>7707304</v>
      </c>
      <c r="E168" s="14" t="s">
        <v>2727</v>
      </c>
      <c r="F168" s="14" t="s">
        <v>713</v>
      </c>
      <c r="G168" s="12"/>
      <c r="H168" s="16">
        <v>2590000</v>
      </c>
      <c r="I168" s="12">
        <v>0</v>
      </c>
      <c r="J168" s="12">
        <v>0</v>
      </c>
      <c r="K168" s="12"/>
    </row>
    <row r="169" spans="1:11" ht="15" customHeight="1">
      <c r="A169" s="15">
        <v>79514237</v>
      </c>
      <c r="B169" s="13" t="s">
        <v>2728</v>
      </c>
      <c r="C169" s="13" t="s">
        <v>2729</v>
      </c>
      <c r="D169" s="14">
        <f>VLOOKUP(A169,'[1]ExportarAExcel (2)'!E:G,3,0)</f>
        <v>3212164936</v>
      </c>
      <c r="E169" s="13" t="s">
        <v>2730</v>
      </c>
      <c r="F169" s="13" t="s">
        <v>602</v>
      </c>
      <c r="G169" s="12"/>
      <c r="H169" s="16">
        <v>416000</v>
      </c>
      <c r="I169" s="12">
        <v>0</v>
      </c>
      <c r="J169" s="12">
        <v>0</v>
      </c>
      <c r="K169" s="12"/>
    </row>
    <row r="170" spans="1:11" ht="15" customHeight="1">
      <c r="A170" s="15">
        <v>79754990</v>
      </c>
      <c r="B170" s="13" t="s">
        <v>2731</v>
      </c>
      <c r="C170" s="13" t="s">
        <v>2732</v>
      </c>
      <c r="D170" s="14">
        <f>VLOOKUP(A170,'[1]ExportarAExcel (2)'!E:G,3,0)</f>
        <v>3114474289</v>
      </c>
      <c r="E170" s="13" t="s">
        <v>2733</v>
      </c>
      <c r="F170" s="13" t="s">
        <v>534</v>
      </c>
      <c r="G170" s="12"/>
      <c r="H170" s="16">
        <v>600000</v>
      </c>
      <c r="I170" s="12">
        <v>0</v>
      </c>
      <c r="J170" s="12">
        <v>0</v>
      </c>
      <c r="K170" s="12"/>
    </row>
    <row r="171" spans="1:11" ht="15" customHeight="1">
      <c r="A171" s="15">
        <v>79764895</v>
      </c>
      <c r="B171" s="13" t="s">
        <v>2734</v>
      </c>
      <c r="C171" s="13" t="s">
        <v>2735</v>
      </c>
      <c r="D171" s="14">
        <f>VLOOKUP(A171,'[1]ExportarAExcel (2)'!E:G,3,0)</f>
        <v>3118641776</v>
      </c>
      <c r="E171" s="13" t="s">
        <v>2736</v>
      </c>
      <c r="F171" s="13" t="s">
        <v>717</v>
      </c>
      <c r="G171" s="12"/>
      <c r="H171" s="16">
        <v>36000</v>
      </c>
      <c r="I171" s="12">
        <v>0</v>
      </c>
      <c r="J171" s="12">
        <v>0</v>
      </c>
      <c r="K171" s="12"/>
    </row>
    <row r="172" spans="1:11" ht="15" customHeight="1">
      <c r="A172" s="15">
        <v>80089287</v>
      </c>
      <c r="B172" s="13" t="s">
        <v>2737</v>
      </c>
      <c r="C172" s="13" t="s">
        <v>2738</v>
      </c>
      <c r="D172" s="14">
        <f>VLOOKUP(A172,'[1]ExportarAExcel (2)'!E:G,3,0)</f>
        <v>3008252811</v>
      </c>
      <c r="E172" s="13" t="s">
        <v>2645</v>
      </c>
      <c r="F172" s="13" t="s">
        <v>560</v>
      </c>
      <c r="G172" s="12"/>
      <c r="H172" s="16">
        <v>771853</v>
      </c>
      <c r="I172" s="12">
        <v>0</v>
      </c>
      <c r="J172" s="12">
        <v>0</v>
      </c>
      <c r="K172" s="12"/>
    </row>
    <row r="173" spans="1:11" ht="15" customHeight="1">
      <c r="A173" s="15">
        <v>80181463</v>
      </c>
      <c r="B173" s="13" t="s">
        <v>2739</v>
      </c>
      <c r="C173" s="13" t="s">
        <v>2740</v>
      </c>
      <c r="D173" s="14">
        <f>VLOOKUP(A173,'[1]ExportarAExcel (2)'!E:G,3,0)</f>
        <v>3007356910</v>
      </c>
      <c r="E173" s="13" t="s">
        <v>2741</v>
      </c>
      <c r="F173" s="13" t="s">
        <v>713</v>
      </c>
      <c r="G173" s="12"/>
      <c r="H173" s="16">
        <v>89153</v>
      </c>
      <c r="I173" s="12">
        <v>0</v>
      </c>
      <c r="J173" s="12">
        <v>0</v>
      </c>
      <c r="K173" s="12"/>
    </row>
    <row r="174" spans="1:11" ht="15" customHeight="1">
      <c r="A174" s="15">
        <v>80267608</v>
      </c>
      <c r="B174" s="13" t="s">
        <v>2742</v>
      </c>
      <c r="C174" s="13" t="s">
        <v>2743</v>
      </c>
      <c r="D174" s="14">
        <f>VLOOKUP(A174,'[1]ExportarAExcel (2)'!E:G,3,0)</f>
        <v>3212366102</v>
      </c>
      <c r="E174" s="13" t="s">
        <v>2744</v>
      </c>
      <c r="F174" s="13" t="s">
        <v>750</v>
      </c>
      <c r="G174" s="12"/>
      <c r="H174" s="16">
        <v>1276000</v>
      </c>
      <c r="I174" s="12">
        <v>0</v>
      </c>
      <c r="J174" s="12">
        <v>0</v>
      </c>
      <c r="K174" s="12"/>
    </row>
    <row r="175" spans="1:11" ht="15" customHeight="1">
      <c r="A175" s="15">
        <v>80390916</v>
      </c>
      <c r="B175" s="13" t="s">
        <v>2745</v>
      </c>
      <c r="C175" s="13" t="s">
        <v>2746</v>
      </c>
      <c r="D175" s="14">
        <f>VLOOKUP(A175,'[1]ExportarAExcel (2)'!E:G,3,0)</f>
        <v>3103418550</v>
      </c>
      <c r="E175" s="13" t="s">
        <v>2747</v>
      </c>
      <c r="F175" s="13" t="s">
        <v>687</v>
      </c>
      <c r="G175" s="12"/>
      <c r="H175" s="16">
        <v>200500</v>
      </c>
      <c r="I175" s="12">
        <v>0</v>
      </c>
      <c r="J175" s="12">
        <v>0</v>
      </c>
      <c r="K175" s="12"/>
    </row>
    <row r="176" spans="1:11" ht="15" customHeight="1">
      <c r="A176" s="15">
        <v>80808053</v>
      </c>
      <c r="B176" s="13" t="s">
        <v>2748</v>
      </c>
      <c r="C176" s="13" t="s">
        <v>2749</v>
      </c>
      <c r="D176" s="14">
        <f>VLOOKUP(A176,'[1]ExportarAExcel (2)'!E:G,3,0)</f>
        <v>6013339501</v>
      </c>
      <c r="E176" s="13" t="s">
        <v>2750</v>
      </c>
      <c r="F176" s="13" t="s">
        <v>418</v>
      </c>
      <c r="G176" s="12"/>
      <c r="H176" s="16">
        <v>2270000</v>
      </c>
      <c r="I176" s="12">
        <v>0</v>
      </c>
      <c r="J176" s="12">
        <v>0</v>
      </c>
      <c r="K176" s="12"/>
    </row>
    <row r="177" spans="1:11" ht="15" customHeight="1">
      <c r="A177" s="15">
        <v>80849933</v>
      </c>
      <c r="B177" s="13" t="s">
        <v>2751</v>
      </c>
      <c r="C177" s="13" t="s">
        <v>2752</v>
      </c>
      <c r="D177" s="14">
        <f>VLOOKUP(A177,'[1]ExportarAExcel (2)'!E:G,3,0)</f>
        <v>3104483743</v>
      </c>
      <c r="E177" s="13" t="s">
        <v>2753</v>
      </c>
      <c r="F177" s="13" t="s">
        <v>628</v>
      </c>
      <c r="G177" s="12"/>
      <c r="H177" s="16">
        <v>72500</v>
      </c>
      <c r="I177" s="12">
        <v>0</v>
      </c>
      <c r="J177" s="12">
        <v>0</v>
      </c>
      <c r="K177" s="12"/>
    </row>
    <row r="178" spans="1:11" ht="15" customHeight="1">
      <c r="A178" s="15">
        <v>86050606</v>
      </c>
      <c r="B178" s="13" t="s">
        <v>2754</v>
      </c>
      <c r="C178" s="13" t="s">
        <v>2755</v>
      </c>
      <c r="D178" s="14">
        <f>VLOOKUP(A178,'[1]ExportarAExcel (2)'!E:G,3,0)</f>
        <v>0</v>
      </c>
      <c r="E178" s="13" t="s">
        <v>2720</v>
      </c>
      <c r="F178" s="13" t="s">
        <v>713</v>
      </c>
      <c r="G178" s="12"/>
      <c r="H178" s="16">
        <v>70000</v>
      </c>
      <c r="I178" s="12">
        <v>0</v>
      </c>
      <c r="J178" s="12">
        <v>0</v>
      </c>
      <c r="K178" s="12"/>
    </row>
    <row r="179" spans="1:11" ht="15" customHeight="1">
      <c r="A179" s="15">
        <v>800153993</v>
      </c>
      <c r="B179" s="13" t="s">
        <v>2252</v>
      </c>
      <c r="C179" s="13" t="s">
        <v>2253</v>
      </c>
      <c r="D179" s="14">
        <f>VLOOKUP(A179,'[1]ExportarAExcel (2)'!E:G,3,0)</f>
        <v>6181818</v>
      </c>
      <c r="E179" s="13" t="s">
        <v>2756</v>
      </c>
      <c r="F179" s="13" t="s">
        <v>418</v>
      </c>
      <c r="G179" s="12"/>
      <c r="H179" s="16">
        <v>2420590</v>
      </c>
      <c r="I179" s="12">
        <v>0</v>
      </c>
      <c r="J179" s="12">
        <v>0</v>
      </c>
      <c r="K179" s="12"/>
    </row>
    <row r="180" spans="1:11" ht="15" customHeight="1">
      <c r="A180" s="15">
        <v>800242106</v>
      </c>
      <c r="B180" s="13" t="s">
        <v>2254</v>
      </c>
      <c r="C180" s="13" t="s">
        <v>2255</v>
      </c>
      <c r="D180" s="14">
        <f>VLOOKUP(A180,'[1]ExportarAExcel (2)'!E:G,3,0)</f>
        <v>3208899933</v>
      </c>
      <c r="E180" s="13" t="s">
        <v>2757</v>
      </c>
      <c r="F180" s="13" t="s">
        <v>534</v>
      </c>
      <c r="G180" s="12"/>
      <c r="H180" s="16">
        <v>2527200</v>
      </c>
      <c r="I180" s="12">
        <v>0</v>
      </c>
      <c r="J180" s="12">
        <v>0</v>
      </c>
      <c r="K180" s="12"/>
    </row>
    <row r="181" spans="1:11" ht="15" customHeight="1">
      <c r="A181" s="15">
        <v>800251569</v>
      </c>
      <c r="B181" s="13" t="s">
        <v>2758</v>
      </c>
      <c r="C181" s="13" t="s">
        <v>2256</v>
      </c>
      <c r="D181" s="14">
        <f>VLOOKUP(A181,'[1]ExportarAExcel (2)'!E:G,3,0)</f>
        <v>5605000</v>
      </c>
      <c r="E181" s="13" t="s">
        <v>2759</v>
      </c>
      <c r="F181" s="13" t="s">
        <v>418</v>
      </c>
      <c r="G181" s="12"/>
      <c r="H181" s="16">
        <v>192100</v>
      </c>
      <c r="I181" s="12">
        <v>0</v>
      </c>
      <c r="J181" s="12">
        <v>0</v>
      </c>
      <c r="K181" s="12"/>
    </row>
    <row r="182" spans="1:11" ht="15" customHeight="1">
      <c r="A182" s="15">
        <v>800256769</v>
      </c>
      <c r="B182" s="13" t="s">
        <v>2760</v>
      </c>
      <c r="C182" s="13" t="s">
        <v>2761</v>
      </c>
      <c r="D182" s="14">
        <f>VLOOKUP(A182,'[1]ExportarAExcel (2)'!E:G,3,0)</f>
        <v>18000971097</v>
      </c>
      <c r="E182" s="13" t="s">
        <v>2762</v>
      </c>
      <c r="F182" s="13" t="s">
        <v>713</v>
      </c>
      <c r="G182" s="12"/>
      <c r="H182" s="16">
        <v>1090900</v>
      </c>
      <c r="I182" s="12">
        <v>0</v>
      </c>
      <c r="J182" s="12">
        <v>0</v>
      </c>
      <c r="K182" s="12"/>
    </row>
    <row r="183" spans="1:11" ht="15" customHeight="1">
      <c r="A183" s="15">
        <v>830052998</v>
      </c>
      <c r="B183" s="13" t="s">
        <v>2763</v>
      </c>
      <c r="C183" s="13" t="s">
        <v>2257</v>
      </c>
      <c r="D183" s="14">
        <f>VLOOKUP(A183,'[1]ExportarAExcel (2)'!E:G,3,0)</f>
        <v>0</v>
      </c>
      <c r="E183" s="13" t="s">
        <v>2764</v>
      </c>
      <c r="F183" s="13" t="s">
        <v>534</v>
      </c>
      <c r="G183" s="12"/>
      <c r="H183" s="16">
        <v>2424800</v>
      </c>
      <c r="I183" s="12">
        <v>0</v>
      </c>
      <c r="J183" s="12">
        <v>0</v>
      </c>
      <c r="K183" s="12"/>
    </row>
    <row r="184" spans="1:11" ht="15" customHeight="1">
      <c r="A184" s="15">
        <v>830054581</v>
      </c>
      <c r="B184" s="13" t="s">
        <v>2765</v>
      </c>
      <c r="C184" s="13" t="s">
        <v>2766</v>
      </c>
      <c r="D184" s="14">
        <f>VLOOKUP(A184,'[1]ExportarAExcel (2)'!E:G,3,0)</f>
        <v>4076769</v>
      </c>
      <c r="E184" s="13" t="s">
        <v>2767</v>
      </c>
      <c r="F184" s="13" t="s">
        <v>418</v>
      </c>
      <c r="G184" s="12"/>
      <c r="H184" s="16">
        <v>120000</v>
      </c>
      <c r="I184" s="12">
        <v>0</v>
      </c>
      <c r="J184" s="12">
        <v>0</v>
      </c>
      <c r="K184" s="12"/>
    </row>
    <row r="185" spans="1:11" ht="15" customHeight="1">
      <c r="A185" s="15">
        <v>830503988</v>
      </c>
      <c r="B185" s="13" t="s">
        <v>2768</v>
      </c>
      <c r="C185" s="13" t="s">
        <v>2769</v>
      </c>
      <c r="D185" s="14">
        <f>VLOOKUP(A185,'[1]ExportarAExcel (2)'!E:G,3,0)</f>
        <v>3143581117</v>
      </c>
      <c r="E185" s="13" t="s">
        <v>2770</v>
      </c>
      <c r="F185" s="13" t="s">
        <v>713</v>
      </c>
      <c r="G185" s="12"/>
      <c r="H185" s="16">
        <v>117137</v>
      </c>
      <c r="I185" s="12">
        <v>0</v>
      </c>
      <c r="J185" s="12">
        <v>0</v>
      </c>
      <c r="K185" s="12"/>
    </row>
    <row r="186" spans="1:11" ht="15" customHeight="1">
      <c r="A186" s="15">
        <v>860003020</v>
      </c>
      <c r="B186" s="13" t="s">
        <v>2771</v>
      </c>
      <c r="C186" s="13" t="s">
        <v>2772</v>
      </c>
      <c r="D186" s="14">
        <f>VLOOKUP(A186,'[1]ExportarAExcel (2)'!E:G,3,0)</f>
        <v>7600127</v>
      </c>
      <c r="E186" s="13" t="s">
        <v>2773</v>
      </c>
      <c r="F186" s="13" t="s">
        <v>729</v>
      </c>
      <c r="G186" s="12"/>
      <c r="H186" s="16">
        <v>9557987</v>
      </c>
      <c r="I186" s="12">
        <v>0</v>
      </c>
      <c r="J186" s="12">
        <v>0</v>
      </c>
      <c r="K186" s="12"/>
    </row>
    <row r="187" spans="1:11" ht="15" customHeight="1">
      <c r="A187" s="15">
        <v>860009174</v>
      </c>
      <c r="B187" s="13" t="s">
        <v>2774</v>
      </c>
      <c r="C187" s="13" t="s">
        <v>2259</v>
      </c>
      <c r="D187" s="14">
        <f>VLOOKUP(A187,'[1]ExportarAExcel (2)'!E:G,3,0)</f>
        <v>3078288</v>
      </c>
      <c r="E187" s="13" t="s">
        <v>2775</v>
      </c>
      <c r="F187" s="13" t="s">
        <v>418</v>
      </c>
      <c r="G187" s="12"/>
      <c r="H187" s="16">
        <v>7588340</v>
      </c>
      <c r="I187" s="12">
        <v>0</v>
      </c>
      <c r="J187" s="12">
        <v>0</v>
      </c>
      <c r="K187" s="12"/>
    </row>
    <row r="188" spans="1:11" ht="15" customHeight="1">
      <c r="A188" s="15">
        <v>860009578</v>
      </c>
      <c r="B188" s="13" t="s">
        <v>2258</v>
      </c>
      <c r="C188" s="13" t="s">
        <v>2259</v>
      </c>
      <c r="D188" s="14">
        <f>VLOOKUP(A188,'[1]ExportarAExcel (2)'!E:G,3,0)</f>
        <v>2186977</v>
      </c>
      <c r="E188" s="13" t="s">
        <v>2775</v>
      </c>
      <c r="F188" s="13" t="s">
        <v>418</v>
      </c>
      <c r="G188" s="12"/>
      <c r="H188" s="16">
        <v>63287881</v>
      </c>
      <c r="I188" s="12">
        <v>0</v>
      </c>
      <c r="J188" s="12">
        <v>0</v>
      </c>
      <c r="K188" s="12"/>
    </row>
    <row r="189" spans="1:11" ht="15" customHeight="1">
      <c r="A189" s="15">
        <v>860027404</v>
      </c>
      <c r="B189" s="13" t="s">
        <v>2776</v>
      </c>
      <c r="C189" s="13" t="s">
        <v>2260</v>
      </c>
      <c r="D189" s="14">
        <f>VLOOKUP(A189,'[1]ExportarAExcel (2)'!E:G,3,0)</f>
        <v>6065900</v>
      </c>
      <c r="E189" s="13" t="s">
        <v>2777</v>
      </c>
      <c r="F189" s="13" t="s">
        <v>418</v>
      </c>
      <c r="G189" s="12"/>
      <c r="H189" s="16">
        <v>8769626</v>
      </c>
      <c r="I189" s="12">
        <v>0</v>
      </c>
      <c r="J189" s="12">
        <v>0</v>
      </c>
      <c r="K189" s="12"/>
    </row>
    <row r="190" spans="1:11" ht="15" customHeight="1">
      <c r="A190" s="15">
        <v>860062440</v>
      </c>
      <c r="B190" s="13" t="s">
        <v>2778</v>
      </c>
      <c r="C190" s="13" t="s">
        <v>2779</v>
      </c>
      <c r="D190" s="14">
        <f>VLOOKUP(A190,'[1]ExportarAExcel (2)'!E:G,3,0)</f>
        <v>6014108971</v>
      </c>
      <c r="E190" s="13" t="s">
        <v>2780</v>
      </c>
      <c r="F190" s="13" t="s">
        <v>418</v>
      </c>
      <c r="G190" s="12"/>
      <c r="H190" s="16">
        <v>230000</v>
      </c>
      <c r="I190" s="12">
        <v>0</v>
      </c>
      <c r="J190" s="12">
        <v>0</v>
      </c>
      <c r="K190" s="12"/>
    </row>
    <row r="191" spans="1:11" ht="15" customHeight="1">
      <c r="A191" s="15">
        <v>860514592</v>
      </c>
      <c r="B191" s="13" t="s">
        <v>2781</v>
      </c>
      <c r="C191" s="13" t="s">
        <v>2782</v>
      </c>
      <c r="D191" s="14">
        <f>VLOOKUP(A191,'[1]ExportarAExcel (2)'!E:G,3,0)</f>
        <v>0</v>
      </c>
      <c r="E191" s="13" t="s">
        <v>2783</v>
      </c>
      <c r="F191" s="13" t="s">
        <v>713</v>
      </c>
      <c r="G191" s="12"/>
      <c r="H191" s="16">
        <v>49900</v>
      </c>
      <c r="I191" s="12">
        <v>0</v>
      </c>
      <c r="J191" s="12">
        <v>0</v>
      </c>
      <c r="K191" s="12"/>
    </row>
    <row r="192" spans="1:11" ht="15" customHeight="1">
      <c r="A192" s="15">
        <v>860533413</v>
      </c>
      <c r="B192" s="13" t="s">
        <v>2784</v>
      </c>
      <c r="C192" s="13" t="s">
        <v>2785</v>
      </c>
      <c r="D192" s="14">
        <f>VLOOKUP(A192,'[1]ExportarAExcel (2)'!E:G,3,0)</f>
        <v>3219599939</v>
      </c>
      <c r="E192" s="13" t="s">
        <v>2786</v>
      </c>
      <c r="F192" s="13" t="s">
        <v>534</v>
      </c>
      <c r="G192" s="12"/>
      <c r="H192" s="16">
        <v>60800</v>
      </c>
      <c r="I192" s="12">
        <v>0</v>
      </c>
      <c r="J192" s="12">
        <v>0</v>
      </c>
      <c r="K192" s="12"/>
    </row>
    <row r="193" spans="1:11" ht="15" customHeight="1">
      <c r="A193" s="15">
        <v>890900608</v>
      </c>
      <c r="B193" s="13" t="s">
        <v>2787</v>
      </c>
      <c r="C193" s="13" t="s">
        <v>2788</v>
      </c>
      <c r="D193" s="14">
        <f>VLOOKUP(A193,'[1]ExportarAExcel (2)'!E:G,3,0)</f>
        <v>7602273</v>
      </c>
      <c r="E193" s="13" t="s">
        <v>2789</v>
      </c>
      <c r="F193" s="13" t="s">
        <v>418</v>
      </c>
      <c r="G193" s="12"/>
      <c r="H193" s="16">
        <v>43030</v>
      </c>
      <c r="I193" s="12">
        <v>0</v>
      </c>
      <c r="J193" s="12">
        <v>0</v>
      </c>
      <c r="K193" s="12"/>
    </row>
    <row r="194" spans="1:11" ht="15" customHeight="1">
      <c r="A194" s="15">
        <v>891800031</v>
      </c>
      <c r="B194" s="13" t="s">
        <v>2790</v>
      </c>
      <c r="C194" s="13" t="s">
        <v>2791</v>
      </c>
      <c r="D194" s="14">
        <f>VLOOKUP(A194,'[1]ExportarAExcel (2)'!E:G,3,0)</f>
        <v>3104124710</v>
      </c>
      <c r="E194" s="13" t="s">
        <v>2792</v>
      </c>
      <c r="F194" s="13" t="s">
        <v>713</v>
      </c>
      <c r="G194" s="12"/>
      <c r="H194" s="16">
        <v>436770</v>
      </c>
      <c r="I194" s="12">
        <v>0</v>
      </c>
      <c r="J194" s="12">
        <v>0</v>
      </c>
      <c r="K194" s="12"/>
    </row>
    <row r="195" spans="1:11" ht="15" customHeight="1">
      <c r="A195" s="15">
        <v>891800043</v>
      </c>
      <c r="B195" s="13" t="s">
        <v>2793</v>
      </c>
      <c r="C195" s="13" t="s">
        <v>2794</v>
      </c>
      <c r="D195" s="14">
        <f>VLOOKUP(A195,'[1]ExportarAExcel (2)'!E:G,3,0)</f>
        <v>7705815</v>
      </c>
      <c r="E195" s="13" t="s">
        <v>2795</v>
      </c>
      <c r="F195" s="13" t="s">
        <v>713</v>
      </c>
      <c r="G195" s="12"/>
      <c r="H195" s="16">
        <v>289000</v>
      </c>
      <c r="I195" s="12">
        <v>0</v>
      </c>
      <c r="J195" s="12">
        <v>0</v>
      </c>
      <c r="K195" s="12"/>
    </row>
    <row r="196" spans="1:11" ht="15" customHeight="1">
      <c r="A196" s="15">
        <v>891800219</v>
      </c>
      <c r="B196" s="13" t="s">
        <v>2796</v>
      </c>
      <c r="C196" s="13" t="s">
        <v>2797</v>
      </c>
      <c r="D196" s="14">
        <f>VLOOKUP(A196,'[1]ExportarAExcel (2)'!E:G,3,0)</f>
        <v>7405000</v>
      </c>
      <c r="E196" s="13" t="s">
        <v>2798</v>
      </c>
      <c r="F196" s="13" t="s">
        <v>534</v>
      </c>
      <c r="G196" s="12"/>
      <c r="H196" s="16">
        <v>857510</v>
      </c>
      <c r="I196" s="12">
        <v>0</v>
      </c>
      <c r="J196" s="12">
        <v>0</v>
      </c>
      <c r="K196" s="12"/>
    </row>
    <row r="197" spans="1:11" ht="15" customHeight="1">
      <c r="A197" s="15">
        <v>891801940</v>
      </c>
      <c r="B197" s="13" t="s">
        <v>2799</v>
      </c>
      <c r="C197" s="13" t="s">
        <v>2800</v>
      </c>
      <c r="D197" s="14">
        <f>VLOOKUP(A197,'[1]ExportarAExcel (2)'!E:G,3,0)</f>
        <v>7423198</v>
      </c>
      <c r="E197" s="13" t="s">
        <v>2801</v>
      </c>
      <c r="F197" s="13" t="s">
        <v>534</v>
      </c>
      <c r="G197" s="12"/>
      <c r="H197" s="16">
        <v>32000</v>
      </c>
      <c r="I197" s="12">
        <v>0</v>
      </c>
      <c r="J197" s="12">
        <v>0</v>
      </c>
      <c r="K197" s="12"/>
    </row>
    <row r="198" spans="1:11" ht="15" customHeight="1">
      <c r="A198" s="15">
        <v>891855025</v>
      </c>
      <c r="B198" s="13" t="s">
        <v>2261</v>
      </c>
      <c r="C198" s="13" t="s">
        <v>2262</v>
      </c>
      <c r="D198" s="14">
        <f>VLOOKUP(A198,'[1]ExportarAExcel (2)'!E:G,3,0)</f>
        <v>7602596</v>
      </c>
      <c r="E198" s="13" t="s">
        <v>2802</v>
      </c>
      <c r="F198" s="13" t="s">
        <v>729</v>
      </c>
      <c r="G198" s="12"/>
      <c r="H198" s="16">
        <v>4639400</v>
      </c>
      <c r="I198" s="12">
        <v>0</v>
      </c>
      <c r="J198" s="12">
        <v>0</v>
      </c>
      <c r="K198" s="12"/>
    </row>
    <row r="199" spans="1:11" ht="15" customHeight="1">
      <c r="A199" s="15">
        <v>891855257</v>
      </c>
      <c r="B199" s="13" t="s">
        <v>2803</v>
      </c>
      <c r="C199" s="13" t="s">
        <v>2804</v>
      </c>
      <c r="D199" s="14">
        <f>VLOOKUP(A199,'[1]ExportarAExcel (2)'!E:G,3,0)</f>
        <v>7703256</v>
      </c>
      <c r="E199" s="13" t="s">
        <v>2805</v>
      </c>
      <c r="F199" s="13" t="s">
        <v>713</v>
      </c>
      <c r="G199" s="12"/>
      <c r="H199" s="16">
        <v>376000</v>
      </c>
      <c r="I199" s="12">
        <v>0</v>
      </c>
      <c r="J199" s="12">
        <v>0</v>
      </c>
      <c r="K199" s="12"/>
    </row>
    <row r="200" spans="1:11" ht="15" customHeight="1">
      <c r="A200" s="15">
        <v>891855492</v>
      </c>
      <c r="B200" s="13" t="s">
        <v>2806</v>
      </c>
      <c r="C200" s="13" t="s">
        <v>2807</v>
      </c>
      <c r="D200" s="14">
        <f>VLOOKUP(A200,'[1]ExportarAExcel (2)'!E:G,3,0)</f>
        <v>7794681</v>
      </c>
      <c r="E200" s="13" t="s">
        <v>2808</v>
      </c>
      <c r="F200" s="13" t="s">
        <v>695</v>
      </c>
      <c r="G200" s="12"/>
      <c r="H200" s="16">
        <v>471000</v>
      </c>
      <c r="I200" s="12">
        <v>0</v>
      </c>
      <c r="J200" s="12">
        <v>0</v>
      </c>
      <c r="K200" s="12"/>
    </row>
    <row r="201" spans="1:11" ht="15" customHeight="1">
      <c r="A201" s="15">
        <v>891855600</v>
      </c>
      <c r="B201" s="13" t="s">
        <v>2809</v>
      </c>
      <c r="C201" s="13" t="s">
        <v>2810</v>
      </c>
      <c r="D201" s="14">
        <f>VLOOKUP(A201,'[1]ExportarAExcel (2)'!E:G,3,0)</f>
        <v>7602371</v>
      </c>
      <c r="E201" s="13" t="s">
        <v>2315</v>
      </c>
      <c r="F201" s="13" t="s">
        <v>530</v>
      </c>
      <c r="G201" s="12"/>
      <c r="H201" s="16">
        <v>189214</v>
      </c>
      <c r="I201" s="12">
        <v>0</v>
      </c>
      <c r="J201" s="12">
        <v>0</v>
      </c>
      <c r="K201" s="12"/>
    </row>
    <row r="202" spans="1:11" ht="15" customHeight="1">
      <c r="A202" s="15">
        <v>900014237</v>
      </c>
      <c r="B202" s="13" t="s">
        <v>2811</v>
      </c>
      <c r="C202" s="13" t="s">
        <v>2812</v>
      </c>
      <c r="D202" s="14">
        <f>VLOOKUP(A202,'[1]ExportarAExcel (2)'!E:G,3,0)</f>
        <v>6357082</v>
      </c>
      <c r="E202" s="13" t="s">
        <v>2813</v>
      </c>
      <c r="F202" s="13" t="s">
        <v>871</v>
      </c>
      <c r="G202" s="12"/>
      <c r="H202" s="16">
        <v>31500</v>
      </c>
      <c r="I202" s="12">
        <v>0</v>
      </c>
      <c r="J202" s="12">
        <v>0</v>
      </c>
      <c r="K202" s="12"/>
    </row>
    <row r="203" spans="1:11" ht="15" customHeight="1">
      <c r="A203" s="15">
        <v>900078103</v>
      </c>
      <c r="B203" s="13" t="s">
        <v>2814</v>
      </c>
      <c r="C203" s="13" t="s">
        <v>2815</v>
      </c>
      <c r="D203" s="14">
        <f>VLOOKUP(A203,'[1]ExportarAExcel (2)'!E:G,3,0)</f>
        <v>2131786</v>
      </c>
      <c r="E203" s="13" t="s">
        <v>2816</v>
      </c>
      <c r="F203" s="13" t="s">
        <v>418</v>
      </c>
      <c r="G203" s="12"/>
      <c r="H203" s="16">
        <v>189214</v>
      </c>
      <c r="I203" s="12">
        <v>0</v>
      </c>
      <c r="J203" s="12">
        <v>0</v>
      </c>
      <c r="K203" s="12"/>
    </row>
    <row r="204" spans="1:11" ht="15" customHeight="1">
      <c r="A204" s="15">
        <v>900147344</v>
      </c>
      <c r="B204" s="13" t="s">
        <v>2817</v>
      </c>
      <c r="C204" s="13" t="s">
        <v>2818</v>
      </c>
      <c r="D204" s="14">
        <f>VLOOKUP(A204,'[1]ExportarAExcel (2)'!E:G,3,0)</f>
        <v>7263228</v>
      </c>
      <c r="E204" s="13" t="s">
        <v>2819</v>
      </c>
      <c r="F204" s="13" t="s">
        <v>628</v>
      </c>
      <c r="G204" s="12"/>
      <c r="H204" s="16">
        <v>7900</v>
      </c>
      <c r="I204" s="12">
        <v>0</v>
      </c>
      <c r="J204" s="12">
        <v>0</v>
      </c>
      <c r="K204" s="12"/>
    </row>
    <row r="205" spans="1:11" ht="15" customHeight="1">
      <c r="A205" s="15">
        <v>900171211</v>
      </c>
      <c r="B205" s="13" t="s">
        <v>2820</v>
      </c>
      <c r="C205" s="13" t="s">
        <v>2821</v>
      </c>
      <c r="D205" s="14">
        <f>VLOOKUP(A205,'[1]ExportarAExcel (2)'!E:G,3,0)</f>
        <v>6722844</v>
      </c>
      <c r="E205" s="13" t="s">
        <v>2822</v>
      </c>
      <c r="F205" s="13" t="s">
        <v>418</v>
      </c>
      <c r="G205" s="12"/>
      <c r="H205" s="16">
        <v>3500000</v>
      </c>
      <c r="I205" s="12">
        <v>0</v>
      </c>
      <c r="J205" s="12">
        <v>0</v>
      </c>
      <c r="K205" s="12"/>
    </row>
    <row r="206" spans="1:11" ht="15" customHeight="1">
      <c r="A206" s="15">
        <v>900243488</v>
      </c>
      <c r="B206" s="13" t="s">
        <v>2823</v>
      </c>
      <c r="C206" s="13" t="s">
        <v>2824</v>
      </c>
      <c r="D206" s="14">
        <f>VLOOKUP(A206,'[1]ExportarAExcel (2)'!E:G,3,0)</f>
        <v>16041750</v>
      </c>
      <c r="E206" s="13" t="s">
        <v>2825</v>
      </c>
      <c r="F206" s="13" t="s">
        <v>418</v>
      </c>
      <c r="G206" s="12"/>
      <c r="H206" s="16">
        <v>3290000</v>
      </c>
      <c r="I206" s="12">
        <v>0</v>
      </c>
      <c r="J206" s="12">
        <v>0</v>
      </c>
      <c r="K206" s="12"/>
    </row>
    <row r="207" spans="1:11" ht="15" customHeight="1">
      <c r="A207" s="15">
        <v>900276962</v>
      </c>
      <c r="B207" s="13" t="s">
        <v>2826</v>
      </c>
      <c r="C207" s="13" t="s">
        <v>2263</v>
      </c>
      <c r="D207" s="14">
        <f>VLOOKUP(A207,'[1]ExportarAExcel (2)'!E:G,3,0)</f>
        <v>2541050</v>
      </c>
      <c r="E207" s="13" t="s">
        <v>2827</v>
      </c>
      <c r="F207" s="13" t="s">
        <v>1258</v>
      </c>
      <c r="G207" s="12"/>
      <c r="H207" s="16">
        <v>1065979</v>
      </c>
      <c r="I207" s="12">
        <v>0</v>
      </c>
      <c r="J207" s="12">
        <v>0</v>
      </c>
      <c r="K207" s="12"/>
    </row>
    <row r="208" spans="1:11" ht="15" customHeight="1">
      <c r="A208" s="15">
        <v>900491889</v>
      </c>
      <c r="B208" s="13" t="s">
        <v>2828</v>
      </c>
      <c r="C208" s="13" t="s">
        <v>2829</v>
      </c>
      <c r="D208" s="14">
        <f>VLOOKUP(A208,'[1]ExportarAExcel (2)'!E:G,3,0)</f>
        <v>3202757602</v>
      </c>
      <c r="E208" s="13" t="s">
        <v>2830</v>
      </c>
      <c r="F208" s="13" t="s">
        <v>530</v>
      </c>
      <c r="G208" s="12"/>
      <c r="H208" s="16">
        <v>605112</v>
      </c>
      <c r="I208" s="12">
        <v>0</v>
      </c>
      <c r="J208" s="12">
        <v>0</v>
      </c>
      <c r="K208" s="12"/>
    </row>
    <row r="209" spans="1:11" ht="15" customHeight="1">
      <c r="A209" s="15">
        <v>900528564</v>
      </c>
      <c r="B209" s="13" t="s">
        <v>2831</v>
      </c>
      <c r="C209" s="13" t="s">
        <v>2832</v>
      </c>
      <c r="D209" s="14">
        <f>VLOOKUP(A209,'[1]ExportarAExcel (2)'!E:G,3,0)</f>
        <v>3107749556</v>
      </c>
      <c r="E209" s="13" t="s">
        <v>2833</v>
      </c>
      <c r="F209" s="13" t="s">
        <v>534</v>
      </c>
      <c r="G209" s="12"/>
      <c r="H209" s="16">
        <v>330000</v>
      </c>
      <c r="I209" s="12">
        <v>0</v>
      </c>
      <c r="J209" s="12">
        <v>0</v>
      </c>
      <c r="K209" s="12"/>
    </row>
    <row r="210" spans="1:11" ht="15" customHeight="1">
      <c r="A210" s="15">
        <v>900534356</v>
      </c>
      <c r="B210" s="13" t="s">
        <v>2834</v>
      </c>
      <c r="C210" s="13" t="s">
        <v>2264</v>
      </c>
      <c r="D210" s="14">
        <f>VLOOKUP(A210,'[1]ExportarAExcel (2)'!E:G,3,0)</f>
        <v>2950884</v>
      </c>
      <c r="E210" s="13" t="s">
        <v>2835</v>
      </c>
      <c r="F210" s="13" t="s">
        <v>418</v>
      </c>
      <c r="G210" s="12"/>
      <c r="H210" s="16">
        <v>1361821</v>
      </c>
      <c r="I210" s="12">
        <v>0</v>
      </c>
      <c r="J210" s="12">
        <v>0</v>
      </c>
      <c r="K210" s="12"/>
    </row>
    <row r="211" spans="1:11" ht="15" customHeight="1">
      <c r="A211" s="15">
        <v>900581542</v>
      </c>
      <c r="B211" s="13" t="s">
        <v>2836</v>
      </c>
      <c r="C211" s="13" t="s">
        <v>2837</v>
      </c>
      <c r="D211" s="14">
        <f>VLOOKUP(A211,'[1]ExportarAExcel (2)'!E:G,3,0)</f>
        <v>7733999</v>
      </c>
      <c r="E211" s="13" t="s">
        <v>2838</v>
      </c>
      <c r="F211" s="13" t="s">
        <v>713</v>
      </c>
      <c r="G211" s="12"/>
      <c r="H211" s="16">
        <v>32410</v>
      </c>
      <c r="I211" s="12">
        <v>0</v>
      </c>
      <c r="J211" s="12">
        <v>0</v>
      </c>
      <c r="K211" s="12"/>
    </row>
    <row r="212" spans="1:11" ht="15" customHeight="1">
      <c r="A212" s="15">
        <v>900582741</v>
      </c>
      <c r="B212" s="13" t="s">
        <v>2839</v>
      </c>
      <c r="C212" s="13" t="s">
        <v>2840</v>
      </c>
      <c r="D212" s="14">
        <f>VLOOKUP(A212,'[1]ExportarAExcel (2)'!E:G,3,0)</f>
        <v>7870026</v>
      </c>
      <c r="E212" s="13" t="s">
        <v>2841</v>
      </c>
      <c r="F212" s="13" t="s">
        <v>721</v>
      </c>
      <c r="G212" s="12"/>
      <c r="H212" s="16">
        <v>109080</v>
      </c>
      <c r="I212" s="12">
        <v>0</v>
      </c>
      <c r="J212" s="12">
        <v>0</v>
      </c>
      <c r="K212" s="12"/>
    </row>
    <row r="213" spans="1:11" ht="15" customHeight="1">
      <c r="A213" s="15">
        <v>900611019</v>
      </c>
      <c r="B213" s="13" t="s">
        <v>2842</v>
      </c>
      <c r="C213" s="13" t="s">
        <v>2843</v>
      </c>
      <c r="D213" s="14">
        <f>VLOOKUP(A213,'[1]ExportarAExcel (2)'!E:G,3,0)</f>
        <v>0</v>
      </c>
      <c r="E213" s="13" t="s">
        <v>2844</v>
      </c>
      <c r="F213" s="13" t="s">
        <v>351</v>
      </c>
      <c r="G213" s="12"/>
      <c r="H213" s="16">
        <v>473900</v>
      </c>
      <c r="I213" s="12">
        <v>0</v>
      </c>
      <c r="J213" s="12">
        <v>0</v>
      </c>
      <c r="K213" s="12"/>
    </row>
    <row r="214" spans="1:11" ht="15" customHeight="1">
      <c r="A214" s="15">
        <v>900623273</v>
      </c>
      <c r="B214" s="13" t="s">
        <v>2845</v>
      </c>
      <c r="C214" s="13" t="s">
        <v>2846</v>
      </c>
      <c r="D214" s="14">
        <f>VLOOKUP(A214,'[1]ExportarAExcel (2)'!E:G,3,0)</f>
        <v>3158953325</v>
      </c>
      <c r="E214" s="13" t="s">
        <v>2847</v>
      </c>
      <c r="F214" s="13" t="s">
        <v>418</v>
      </c>
      <c r="G214" s="12"/>
      <c r="H214" s="16">
        <v>205168</v>
      </c>
      <c r="I214" s="12">
        <v>0</v>
      </c>
      <c r="J214" s="12">
        <v>0</v>
      </c>
      <c r="K214" s="12"/>
    </row>
    <row r="215" spans="1:11" ht="15" customHeight="1">
      <c r="A215" s="15">
        <v>900632459</v>
      </c>
      <c r="B215" s="13" t="s">
        <v>2848</v>
      </c>
      <c r="C215" s="13" t="s">
        <v>2849</v>
      </c>
      <c r="D215" s="14">
        <f>VLOOKUP(A215,'[1]ExportarAExcel (2)'!E:G,3,0)</f>
        <v>0</v>
      </c>
      <c r="E215" s="13" t="s">
        <v>2850</v>
      </c>
      <c r="F215" s="13" t="s">
        <v>713</v>
      </c>
      <c r="G215" s="12"/>
      <c r="H215" s="16">
        <v>147000</v>
      </c>
      <c r="I215" s="12">
        <v>0</v>
      </c>
      <c r="J215" s="12">
        <v>0</v>
      </c>
      <c r="K215" s="12"/>
    </row>
    <row r="216" spans="1:11" ht="15" customHeight="1">
      <c r="A216" s="15">
        <v>900779365</v>
      </c>
      <c r="B216" s="13" t="s">
        <v>2851</v>
      </c>
      <c r="C216" s="13" t="s">
        <v>2852</v>
      </c>
      <c r="D216" s="14">
        <f>VLOOKUP(A216,'[1]ExportarAExcel (2)'!E:G,3,0)</f>
        <v>3123142964</v>
      </c>
      <c r="E216" s="13" t="s">
        <v>2853</v>
      </c>
      <c r="F216" s="13" t="s">
        <v>713</v>
      </c>
      <c r="G216" s="12"/>
      <c r="H216" s="16">
        <v>90000</v>
      </c>
      <c r="I216" s="12">
        <v>0</v>
      </c>
      <c r="J216" s="12">
        <v>0</v>
      </c>
      <c r="K216" s="12"/>
    </row>
    <row r="217" spans="1:11" ht="15" customHeight="1">
      <c r="A217" s="15">
        <v>900803721</v>
      </c>
      <c r="B217" s="13" t="s">
        <v>2854</v>
      </c>
      <c r="C217" s="13" t="s">
        <v>2855</v>
      </c>
      <c r="D217" s="14">
        <f>VLOOKUP(A217,'[1]ExportarAExcel (2)'!E:G,3,0)</f>
        <v>3132516217</v>
      </c>
      <c r="E217" s="13" t="s">
        <v>2856</v>
      </c>
      <c r="F217" s="13" t="s">
        <v>536</v>
      </c>
      <c r="G217" s="12"/>
      <c r="H217" s="16">
        <v>19247800</v>
      </c>
      <c r="I217" s="12">
        <v>0</v>
      </c>
      <c r="J217" s="12">
        <v>0</v>
      </c>
      <c r="K217" s="12"/>
    </row>
    <row r="218" spans="1:11" ht="15" customHeight="1">
      <c r="A218" s="15">
        <v>900832159</v>
      </c>
      <c r="B218" s="13" t="s">
        <v>2857</v>
      </c>
      <c r="C218" s="13" t="s">
        <v>2858</v>
      </c>
      <c r="D218" s="14">
        <f>VLOOKUP(A218,'[1]ExportarAExcel (2)'!E:G,3,0)</f>
        <v>3118600870</v>
      </c>
      <c r="E218" s="13" t="s">
        <v>2859</v>
      </c>
      <c r="F218" s="13" t="s">
        <v>534</v>
      </c>
      <c r="G218" s="12"/>
      <c r="H218" s="16">
        <v>300000</v>
      </c>
      <c r="I218" s="12">
        <v>0</v>
      </c>
      <c r="J218" s="12">
        <v>0</v>
      </c>
      <c r="K218" s="12"/>
    </row>
    <row r="219" spans="1:11" ht="15" customHeight="1">
      <c r="A219" s="15">
        <v>900841093</v>
      </c>
      <c r="B219" s="13" t="s">
        <v>2860</v>
      </c>
      <c r="C219" s="13" t="s">
        <v>2861</v>
      </c>
      <c r="D219" s="14">
        <f>VLOOKUP(A219,'[1]ExportarAExcel (2)'!E:G,3,0)</f>
        <v>3214224024</v>
      </c>
      <c r="E219" s="13" t="s">
        <v>2862</v>
      </c>
      <c r="F219" s="13" t="s">
        <v>713</v>
      </c>
      <c r="G219" s="12"/>
      <c r="H219" s="16">
        <v>75600</v>
      </c>
      <c r="I219" s="12">
        <v>0</v>
      </c>
      <c r="J219" s="12">
        <v>0</v>
      </c>
      <c r="K219" s="12"/>
    </row>
    <row r="220" spans="1:11" ht="15" customHeight="1">
      <c r="A220" s="15">
        <v>900843288</v>
      </c>
      <c r="B220" s="13" t="s">
        <v>2863</v>
      </c>
      <c r="C220" s="13" t="s">
        <v>2864</v>
      </c>
      <c r="D220" s="14">
        <f>VLOOKUP(A220,'[1]ExportarAExcel (2)'!E:G,3,0)</f>
        <v>3214681402</v>
      </c>
      <c r="E220" s="13" t="s">
        <v>2865</v>
      </c>
      <c r="F220" s="13" t="s">
        <v>418</v>
      </c>
      <c r="G220" s="12"/>
      <c r="H220" s="16">
        <v>411300</v>
      </c>
      <c r="I220" s="12">
        <v>0</v>
      </c>
      <c r="J220" s="12">
        <v>0</v>
      </c>
      <c r="K220" s="12"/>
    </row>
    <row r="221" spans="1:11" ht="15" customHeight="1">
      <c r="A221" s="15">
        <v>900943243</v>
      </c>
      <c r="B221" s="13" t="s">
        <v>2866</v>
      </c>
      <c r="C221" s="13" t="s">
        <v>2867</v>
      </c>
      <c r="D221" s="14">
        <f>VLOOKUP(A221,'[1]ExportarAExcel (2)'!E:G,3,0)</f>
        <v>222181</v>
      </c>
      <c r="E221" s="13" t="s">
        <v>2868</v>
      </c>
      <c r="F221" s="13" t="s">
        <v>713</v>
      </c>
      <c r="G221" s="12"/>
      <c r="H221" s="16">
        <v>465000</v>
      </c>
      <c r="I221" s="12">
        <v>0</v>
      </c>
      <c r="J221" s="12">
        <v>0</v>
      </c>
      <c r="K221" s="12"/>
    </row>
    <row r="222" spans="1:11" ht="15" customHeight="1">
      <c r="A222" s="15">
        <v>901002083</v>
      </c>
      <c r="B222" s="13" t="s">
        <v>2869</v>
      </c>
      <c r="C222" s="13" t="s">
        <v>2870</v>
      </c>
      <c r="D222" s="14">
        <f>VLOOKUP(A222,'[1]ExportarAExcel (2)'!E:G,3,0)</f>
        <v>0</v>
      </c>
      <c r="E222" s="13" t="s">
        <v>2871</v>
      </c>
      <c r="F222" s="13" t="s">
        <v>713</v>
      </c>
      <c r="G222" s="12"/>
      <c r="H222" s="16">
        <v>5543045</v>
      </c>
      <c r="I222" s="12">
        <v>0</v>
      </c>
      <c r="J222" s="12">
        <v>0</v>
      </c>
      <c r="K222" s="12"/>
    </row>
    <row r="223" spans="1:11" ht="15" customHeight="1">
      <c r="A223" s="15">
        <v>901046216</v>
      </c>
      <c r="B223" s="13" t="s">
        <v>2872</v>
      </c>
      <c r="C223" s="13" t="s">
        <v>2873</v>
      </c>
      <c r="D223" s="14">
        <f>VLOOKUP(A223,'[1]ExportarAExcel (2)'!E:G,3,0)</f>
        <v>3123866778</v>
      </c>
      <c r="E223" s="13" t="s">
        <v>2874</v>
      </c>
      <c r="F223" s="13" t="s">
        <v>729</v>
      </c>
      <c r="G223" s="12"/>
      <c r="H223" s="16">
        <v>800782</v>
      </c>
      <c r="I223" s="12">
        <v>0</v>
      </c>
      <c r="J223" s="12">
        <v>0</v>
      </c>
      <c r="K223" s="12"/>
    </row>
    <row r="224" spans="1:11" ht="15" customHeight="1">
      <c r="A224" s="15">
        <v>901096090</v>
      </c>
      <c r="B224" s="13" t="s">
        <v>2875</v>
      </c>
      <c r="C224" s="13" t="s">
        <v>2876</v>
      </c>
      <c r="D224" s="14">
        <f>VLOOKUP(A224,'[1]ExportarAExcel (2)'!E:G,3,0)</f>
        <v>3007210463</v>
      </c>
      <c r="E224" s="13" t="s">
        <v>2877</v>
      </c>
      <c r="F224" s="13" t="s">
        <v>713</v>
      </c>
      <c r="G224" s="12"/>
      <c r="H224" s="16">
        <v>200000</v>
      </c>
      <c r="I224" s="12">
        <v>0</v>
      </c>
      <c r="J224" s="12">
        <v>0</v>
      </c>
      <c r="K224" s="12"/>
    </row>
    <row r="225" spans="1:11" ht="15" customHeight="1">
      <c r="A225" s="15">
        <v>901194997</v>
      </c>
      <c r="B225" s="13" t="s">
        <v>2878</v>
      </c>
      <c r="C225" s="13" t="s">
        <v>2879</v>
      </c>
      <c r="D225" s="14">
        <f>VLOOKUP(A225,'[1]ExportarAExcel (2)'!E:G,3,0)</f>
        <v>0</v>
      </c>
      <c r="E225" s="13" t="s">
        <v>2880</v>
      </c>
      <c r="F225" s="13" t="s">
        <v>1908</v>
      </c>
      <c r="G225" s="12"/>
      <c r="H225" s="16">
        <v>810000</v>
      </c>
      <c r="I225" s="12">
        <v>0</v>
      </c>
      <c r="J225" s="12">
        <v>0</v>
      </c>
      <c r="K225" s="12"/>
    </row>
    <row r="226" spans="1:11" ht="15" customHeight="1">
      <c r="A226" s="15">
        <v>901232690</v>
      </c>
      <c r="B226" s="13" t="s">
        <v>2881</v>
      </c>
      <c r="C226" s="13" t="s">
        <v>2882</v>
      </c>
      <c r="D226" s="14">
        <f>VLOOKUP(A226,'[1]ExportarAExcel (2)'!E:G,3,0)</f>
        <v>0</v>
      </c>
      <c r="E226" s="13" t="s">
        <v>2883</v>
      </c>
      <c r="F226" s="13" t="s">
        <v>558</v>
      </c>
      <c r="G226" s="12"/>
      <c r="H226" s="16">
        <v>1900000</v>
      </c>
      <c r="I226" s="12">
        <v>0</v>
      </c>
      <c r="J226" s="12">
        <v>0</v>
      </c>
      <c r="K226" s="12"/>
    </row>
    <row r="227" spans="1:11" ht="15" customHeight="1">
      <c r="A227" s="15">
        <v>901243351</v>
      </c>
      <c r="B227" s="13" t="s">
        <v>2884</v>
      </c>
      <c r="C227" s="13" t="s">
        <v>2885</v>
      </c>
      <c r="D227" s="14">
        <f>VLOOKUP(A227,'[1]ExportarAExcel (2)'!E:G,3,0)</f>
        <v>0</v>
      </c>
      <c r="E227" s="13" t="s">
        <v>2886</v>
      </c>
      <c r="F227" s="13" t="s">
        <v>695</v>
      </c>
      <c r="G227" s="12"/>
      <c r="H227" s="16">
        <v>1221660</v>
      </c>
      <c r="I227" s="12">
        <v>0</v>
      </c>
      <c r="J227" s="12">
        <v>0</v>
      </c>
      <c r="K227" s="12"/>
    </row>
    <row r="228" spans="1:11" ht="15" customHeight="1">
      <c r="A228" s="15">
        <v>901294241</v>
      </c>
      <c r="B228" s="13" t="s">
        <v>2887</v>
      </c>
      <c r="C228" s="13" t="s">
        <v>2888</v>
      </c>
      <c r="D228" s="14">
        <f>VLOOKUP(A228,'[1]ExportarAExcel (2)'!E:G,3,0)</f>
        <v>6014864436</v>
      </c>
      <c r="E228" s="13" t="s">
        <v>2889</v>
      </c>
      <c r="F228" s="13" t="s">
        <v>418</v>
      </c>
      <c r="G228" s="12"/>
      <c r="H228" s="16">
        <v>20000</v>
      </c>
      <c r="I228" s="12">
        <v>0</v>
      </c>
      <c r="J228" s="12">
        <v>0</v>
      </c>
      <c r="K228" s="12"/>
    </row>
    <row r="229" spans="1:11" ht="15" customHeight="1">
      <c r="A229" s="15">
        <v>901329864</v>
      </c>
      <c r="B229" s="13" t="s">
        <v>2890</v>
      </c>
      <c r="C229" s="13" t="s">
        <v>2891</v>
      </c>
      <c r="D229" s="14">
        <f>VLOOKUP(A229,'[1]ExportarAExcel (2)'!E:G,3,0)</f>
        <v>3144494259</v>
      </c>
      <c r="E229" s="13" t="s">
        <v>2892</v>
      </c>
      <c r="F229" s="13" t="s">
        <v>713</v>
      </c>
      <c r="G229" s="12"/>
      <c r="H229" s="16">
        <v>1900000</v>
      </c>
      <c r="I229" s="12">
        <v>0</v>
      </c>
      <c r="J229" s="12">
        <v>0</v>
      </c>
      <c r="K229" s="12"/>
    </row>
    <row r="230" spans="1:11" ht="15" customHeight="1">
      <c r="A230" s="15">
        <v>901335327</v>
      </c>
      <c r="B230" s="13" t="s">
        <v>2893</v>
      </c>
      <c r="C230" s="13" t="s">
        <v>2894</v>
      </c>
      <c r="D230" s="14">
        <f>VLOOKUP(A230,'[1]ExportarAExcel (2)'!E:G,3,0)</f>
        <v>0</v>
      </c>
      <c r="E230" s="13" t="s">
        <v>2895</v>
      </c>
      <c r="F230" s="13" t="s">
        <v>418</v>
      </c>
      <c r="G230" s="12"/>
      <c r="H230" s="16">
        <v>40000</v>
      </c>
      <c r="I230" s="12">
        <v>0</v>
      </c>
      <c r="J230" s="12">
        <v>0</v>
      </c>
      <c r="K230" s="12"/>
    </row>
    <row r="231" spans="1:11" ht="15" customHeight="1">
      <c r="A231" s="15">
        <v>901371452</v>
      </c>
      <c r="B231" s="13" t="s">
        <v>2896</v>
      </c>
      <c r="C231" s="13" t="s">
        <v>2897</v>
      </c>
      <c r="D231" s="14">
        <f>VLOOKUP(A231,'[1]ExportarAExcel (2)'!E:G,3,0)</f>
        <v>3174341030</v>
      </c>
      <c r="E231" s="13" t="s">
        <v>2898</v>
      </c>
      <c r="F231" s="13" t="s">
        <v>418</v>
      </c>
      <c r="G231" s="12"/>
      <c r="H231" s="16">
        <v>447400</v>
      </c>
      <c r="I231" s="12">
        <v>0</v>
      </c>
      <c r="J231" s="12">
        <v>0</v>
      </c>
      <c r="K231" s="12"/>
    </row>
    <row r="232" spans="1:11" ht="15" customHeight="1">
      <c r="A232" s="15">
        <v>901696817</v>
      </c>
      <c r="B232" s="13" t="s">
        <v>2899</v>
      </c>
      <c r="C232" s="13" t="s">
        <v>2900</v>
      </c>
      <c r="D232" s="14">
        <f>VLOOKUP(A232,'[1]ExportarAExcel (2)'!E:G,3,0)</f>
        <v>0</v>
      </c>
      <c r="E232" s="13" t="s">
        <v>2901</v>
      </c>
      <c r="F232" s="13" t="s">
        <v>534</v>
      </c>
      <c r="G232" s="12"/>
      <c r="H232" s="16">
        <v>166900</v>
      </c>
      <c r="I232" s="12">
        <v>0</v>
      </c>
      <c r="J232" s="12">
        <v>0</v>
      </c>
      <c r="K232" s="12"/>
    </row>
    <row r="233" spans="1:11" ht="15" customHeight="1">
      <c r="A233" s="15">
        <v>901731686</v>
      </c>
      <c r="B233" s="13" t="s">
        <v>2902</v>
      </c>
      <c r="C233" s="13" t="s">
        <v>2903</v>
      </c>
      <c r="D233" s="14">
        <f>VLOOKUP(A233,'[1]ExportarAExcel (2)'!E:G,3,0)</f>
        <v>0</v>
      </c>
      <c r="E233" s="13" t="s">
        <v>2904</v>
      </c>
      <c r="F233" s="13" t="s">
        <v>534</v>
      </c>
      <c r="G233" s="12"/>
      <c r="H233" s="16">
        <v>293000</v>
      </c>
      <c r="I233" s="12">
        <v>0</v>
      </c>
      <c r="J233" s="12">
        <v>0</v>
      </c>
      <c r="K233" s="12"/>
    </row>
    <row r="234" spans="1:11" ht="15" customHeight="1">
      <c r="A234" s="15">
        <v>901838878</v>
      </c>
      <c r="B234" s="13" t="s">
        <v>2905</v>
      </c>
      <c r="C234" s="13" t="s">
        <v>2906</v>
      </c>
      <c r="D234" s="14">
        <f>VLOOKUP(A234,'[1]ExportarAExcel (2)'!E:G,3,0)</f>
        <v>3115141216</v>
      </c>
      <c r="E234" s="13" t="s">
        <v>2907</v>
      </c>
      <c r="F234" s="13" t="s">
        <v>713</v>
      </c>
      <c r="G234" s="12"/>
      <c r="H234" s="16">
        <v>128000</v>
      </c>
      <c r="I234" s="12">
        <v>0</v>
      </c>
      <c r="J234" s="12">
        <v>0</v>
      </c>
      <c r="K234" s="12"/>
    </row>
    <row r="235" spans="1:11" ht="15" customHeight="1">
      <c r="A235" s="15">
        <v>901857193</v>
      </c>
      <c r="B235" s="13" t="s">
        <v>2908</v>
      </c>
      <c r="C235" s="13" t="s">
        <v>2909</v>
      </c>
      <c r="D235" s="14">
        <f>VLOOKUP(A235,'[1]ExportarAExcel (2)'!E:G,3,0)</f>
        <v>3103101931</v>
      </c>
      <c r="E235" s="13" t="s">
        <v>2910</v>
      </c>
      <c r="F235" s="13" t="s">
        <v>695</v>
      </c>
      <c r="G235" s="12"/>
      <c r="H235" s="16">
        <v>280500</v>
      </c>
      <c r="I235" s="12">
        <v>0</v>
      </c>
      <c r="J235" s="12">
        <v>0</v>
      </c>
      <c r="K235" s="12"/>
    </row>
    <row r="236" spans="1:11" ht="15" customHeight="1">
      <c r="A236" s="15">
        <v>1000136396</v>
      </c>
      <c r="B236" s="13" t="s">
        <v>2911</v>
      </c>
      <c r="C236" s="13" t="s">
        <v>2912</v>
      </c>
      <c r="D236" s="14">
        <f>VLOOKUP(A236,'[1]ExportarAExcel (2)'!E:G,3,0)</f>
        <v>3222912671</v>
      </c>
      <c r="E236" s="14" t="s">
        <v>2913</v>
      </c>
      <c r="F236" s="14" t="s">
        <v>713</v>
      </c>
      <c r="G236" s="12"/>
      <c r="H236" s="16">
        <v>1530000</v>
      </c>
      <c r="I236" s="12">
        <v>0</v>
      </c>
      <c r="J236" s="12">
        <v>0</v>
      </c>
      <c r="K236" s="12"/>
    </row>
    <row r="237" spans="1:11" ht="15" customHeight="1">
      <c r="A237" s="15">
        <v>1001047807</v>
      </c>
      <c r="B237" s="13" t="s">
        <v>2914</v>
      </c>
      <c r="C237" s="13" t="s">
        <v>2915</v>
      </c>
      <c r="D237" s="14">
        <f>VLOOKUP(A237,'[1]ExportarAExcel (2)'!E:G,3,0)</f>
        <v>3228949646</v>
      </c>
      <c r="E237" s="13" t="s">
        <v>2916</v>
      </c>
      <c r="F237" s="13" t="s">
        <v>695</v>
      </c>
      <c r="G237" s="12"/>
      <c r="H237" s="16">
        <v>316000</v>
      </c>
      <c r="I237" s="12">
        <v>0</v>
      </c>
      <c r="J237" s="12">
        <v>0</v>
      </c>
      <c r="K237" s="12"/>
    </row>
    <row r="238" spans="1:11" ht="15" customHeight="1">
      <c r="A238" s="15">
        <v>1002261709</v>
      </c>
      <c r="B238" s="13" t="s">
        <v>2917</v>
      </c>
      <c r="C238" s="13" t="s">
        <v>2918</v>
      </c>
      <c r="D238" s="14">
        <f>VLOOKUP(A238,'[1]ExportarAExcel (2)'!E:G,3,0)</f>
        <v>3208455754</v>
      </c>
      <c r="E238" s="13" t="s">
        <v>2919</v>
      </c>
      <c r="F238" s="13" t="s">
        <v>739</v>
      </c>
      <c r="G238" s="12"/>
      <c r="H238" s="16">
        <v>30000</v>
      </c>
      <c r="I238" s="12">
        <v>0</v>
      </c>
      <c r="J238" s="12">
        <v>0</v>
      </c>
      <c r="K238" s="12"/>
    </row>
    <row r="239" spans="1:11" ht="15" customHeight="1">
      <c r="A239" s="15">
        <v>1002313816</v>
      </c>
      <c r="B239" s="13" t="s">
        <v>2920</v>
      </c>
      <c r="C239" s="13" t="s">
        <v>2921</v>
      </c>
      <c r="D239" s="14">
        <f>VLOOKUP(A239,'[1]ExportarAExcel (2)'!E:G,3,0)</f>
        <v>3223798688</v>
      </c>
      <c r="E239" s="13" t="s">
        <v>2709</v>
      </c>
      <c r="F239" s="13" t="s">
        <v>602</v>
      </c>
      <c r="G239" s="12"/>
      <c r="H239" s="16">
        <v>108750</v>
      </c>
      <c r="I239" s="12">
        <v>0</v>
      </c>
      <c r="J239" s="12">
        <v>0</v>
      </c>
      <c r="K239" s="12"/>
    </row>
    <row r="240" spans="1:11" ht="15" customHeight="1">
      <c r="A240" s="15">
        <v>1002328820</v>
      </c>
      <c r="B240" s="13" t="s">
        <v>2922</v>
      </c>
      <c r="C240" s="13" t="s">
        <v>2923</v>
      </c>
      <c r="D240" s="14">
        <f>VLOOKUP(A240,'[1]ExportarAExcel (2)'!E:G,3,0)</f>
        <v>3206644227</v>
      </c>
      <c r="E240" s="14" t="s">
        <v>2924</v>
      </c>
      <c r="F240" s="14" t="s">
        <v>695</v>
      </c>
      <c r="G240" s="12"/>
      <c r="H240" s="16">
        <v>800000</v>
      </c>
      <c r="I240" s="12">
        <v>0</v>
      </c>
      <c r="J240" s="12">
        <v>0</v>
      </c>
      <c r="K240" s="12"/>
    </row>
    <row r="241" spans="1:11" ht="15" customHeight="1">
      <c r="A241" s="15">
        <v>1002332210</v>
      </c>
      <c r="B241" s="13" t="s">
        <v>2925</v>
      </c>
      <c r="C241" s="13" t="s">
        <v>2926</v>
      </c>
      <c r="D241" s="14">
        <f>VLOOKUP(A241,'[1]ExportarAExcel (2)'!E:G,3,0)</f>
        <v>3112162644</v>
      </c>
      <c r="E241" s="13" t="s">
        <v>2540</v>
      </c>
      <c r="F241" s="13" t="s">
        <v>713</v>
      </c>
      <c r="G241" s="12"/>
      <c r="H241" s="16">
        <v>130000</v>
      </c>
      <c r="I241" s="12">
        <v>0</v>
      </c>
      <c r="J241" s="12">
        <v>0</v>
      </c>
      <c r="K241" s="12"/>
    </row>
    <row r="242" spans="1:11" ht="15" customHeight="1">
      <c r="A242" s="15">
        <v>1002339223</v>
      </c>
      <c r="B242" s="13" t="s">
        <v>2927</v>
      </c>
      <c r="C242" s="13" t="s">
        <v>2928</v>
      </c>
      <c r="D242" s="14">
        <f>VLOOKUP(A242,'[1]ExportarAExcel (2)'!E:G,3,0)</f>
        <v>3208391093</v>
      </c>
      <c r="E242" s="14" t="s">
        <v>2359</v>
      </c>
      <c r="F242" s="14" t="s">
        <v>649</v>
      </c>
      <c r="G242" s="12"/>
      <c r="H242" s="16">
        <v>21630000</v>
      </c>
      <c r="I242" s="12">
        <v>0</v>
      </c>
      <c r="J242" s="12">
        <v>0</v>
      </c>
      <c r="K242" s="12"/>
    </row>
    <row r="243" spans="1:11" ht="15" customHeight="1">
      <c r="A243" s="15">
        <v>1002365850</v>
      </c>
      <c r="B243" s="13" t="s">
        <v>2929</v>
      </c>
      <c r="C243" s="13" t="s">
        <v>2930</v>
      </c>
      <c r="D243" s="14">
        <f>VLOOKUP(A243,'[1]ExportarAExcel (2)'!E:G,3,0)</f>
        <v>3015767369</v>
      </c>
      <c r="E243" s="14" t="s">
        <v>2931</v>
      </c>
      <c r="F243" s="14" t="s">
        <v>695</v>
      </c>
      <c r="G243" s="12"/>
      <c r="H243" s="16">
        <v>2621745</v>
      </c>
      <c r="I243" s="12">
        <v>0</v>
      </c>
      <c r="J243" s="12">
        <v>0</v>
      </c>
      <c r="K243" s="12"/>
    </row>
    <row r="244" spans="1:11" ht="15" customHeight="1">
      <c r="A244" s="15">
        <v>1002367334</v>
      </c>
      <c r="B244" s="13" t="s">
        <v>2932</v>
      </c>
      <c r="C244" s="13" t="s">
        <v>2933</v>
      </c>
      <c r="D244" s="14">
        <f>VLOOKUP(A244,'[1]ExportarAExcel (2)'!E:G,3,0)</f>
        <v>0</v>
      </c>
      <c r="E244" s="14" t="s">
        <v>2934</v>
      </c>
      <c r="F244" s="14" t="s">
        <v>558</v>
      </c>
      <c r="G244" s="12"/>
      <c r="H244" s="16">
        <v>8120000</v>
      </c>
      <c r="I244" s="12">
        <v>0</v>
      </c>
      <c r="J244" s="12">
        <v>0</v>
      </c>
      <c r="K244" s="12"/>
    </row>
    <row r="245" spans="1:11" ht="15" customHeight="1">
      <c r="A245" s="15">
        <v>1002413895</v>
      </c>
      <c r="B245" s="13" t="s">
        <v>2935</v>
      </c>
      <c r="C245" s="17"/>
      <c r="D245" s="14">
        <f>VLOOKUP(A245,'[1]ExportarAExcel (2)'!E:G,3,0)</f>
        <v>3204894181</v>
      </c>
      <c r="E245" s="14" t="s">
        <v>2936</v>
      </c>
      <c r="F245" s="14" t="s">
        <v>695</v>
      </c>
      <c r="G245" s="12"/>
      <c r="H245" s="16">
        <v>8000000</v>
      </c>
      <c r="I245" s="12">
        <v>0</v>
      </c>
      <c r="J245" s="12">
        <v>0</v>
      </c>
      <c r="K245" s="12"/>
    </row>
    <row r="246" spans="1:11" ht="15" customHeight="1">
      <c r="A246" s="15">
        <v>1002415057</v>
      </c>
      <c r="B246" s="13" t="s">
        <v>2937</v>
      </c>
      <c r="C246" s="13" t="s">
        <v>2938</v>
      </c>
      <c r="D246" s="14">
        <f>VLOOKUP(A246,'[1]ExportarAExcel (2)'!E:G,3,0)</f>
        <v>3147355813</v>
      </c>
      <c r="E246" s="14" t="s">
        <v>2939</v>
      </c>
      <c r="F246" s="14" t="s">
        <v>695</v>
      </c>
      <c r="G246" s="12"/>
      <c r="H246" s="16">
        <v>5133334</v>
      </c>
      <c r="I246" s="12">
        <v>0</v>
      </c>
      <c r="J246" s="12">
        <v>0</v>
      </c>
      <c r="K246" s="12"/>
    </row>
    <row r="247" spans="1:11" ht="15" customHeight="1">
      <c r="A247" s="15">
        <v>1002415072</v>
      </c>
      <c r="B247" s="13" t="s">
        <v>2940</v>
      </c>
      <c r="C247" s="13" t="s">
        <v>2941</v>
      </c>
      <c r="D247" s="14">
        <f>VLOOKUP(A247,'[1]ExportarAExcel (2)'!E:G,3,0)</f>
        <v>3184349812</v>
      </c>
      <c r="E247" s="14" t="s">
        <v>2942</v>
      </c>
      <c r="F247" s="14" t="s">
        <v>695</v>
      </c>
      <c r="G247" s="12"/>
      <c r="H247" s="16">
        <v>8000000</v>
      </c>
      <c r="I247" s="12">
        <v>0</v>
      </c>
      <c r="J247" s="12">
        <v>0</v>
      </c>
      <c r="K247" s="12"/>
    </row>
    <row r="248" spans="1:11" ht="15" customHeight="1">
      <c r="A248" s="15">
        <v>1002458390</v>
      </c>
      <c r="B248" s="13" t="s">
        <v>2943</v>
      </c>
      <c r="C248" s="13" t="s">
        <v>2944</v>
      </c>
      <c r="D248" s="14">
        <f>VLOOKUP(A248,'[1]ExportarAExcel (2)'!E:G,3,0)</f>
        <v>3232019184</v>
      </c>
      <c r="E248" s="14" t="s">
        <v>2945</v>
      </c>
      <c r="F248" s="14" t="s">
        <v>748</v>
      </c>
      <c r="G248" s="12"/>
      <c r="H248" s="16">
        <v>500000</v>
      </c>
      <c r="I248" s="12">
        <v>0</v>
      </c>
      <c r="J248" s="12">
        <v>0</v>
      </c>
      <c r="K248" s="12"/>
    </row>
    <row r="249" spans="1:11" ht="15" customHeight="1">
      <c r="A249" s="15">
        <v>1002461307</v>
      </c>
      <c r="B249" s="13" t="s">
        <v>2946</v>
      </c>
      <c r="C249" s="13" t="s">
        <v>2947</v>
      </c>
      <c r="D249" s="14">
        <f>VLOOKUP(A249,'[1]ExportarAExcel (2)'!E:G,3,0)</f>
        <v>0</v>
      </c>
      <c r="E249" s="14" t="s">
        <v>2948</v>
      </c>
      <c r="F249" s="14" t="s">
        <v>677</v>
      </c>
      <c r="G249" s="12"/>
      <c r="H249" s="16">
        <v>180000</v>
      </c>
      <c r="I249" s="12">
        <v>0</v>
      </c>
      <c r="J249" s="12">
        <v>0</v>
      </c>
      <c r="K249" s="12"/>
    </row>
    <row r="250" spans="1:11" ht="15" customHeight="1">
      <c r="A250" s="15">
        <v>1002534524</v>
      </c>
      <c r="B250" s="13" t="s">
        <v>2949</v>
      </c>
      <c r="C250" s="13" t="s">
        <v>2950</v>
      </c>
      <c r="D250" s="14">
        <f>VLOOKUP(A250,'[1]ExportarAExcel (2)'!E:G,3,0)</f>
        <v>3228156460</v>
      </c>
      <c r="E250" s="13" t="s">
        <v>2951</v>
      </c>
      <c r="F250" s="13" t="s">
        <v>701</v>
      </c>
      <c r="G250" s="12"/>
      <c r="H250" s="16">
        <v>400000</v>
      </c>
      <c r="I250" s="12">
        <v>0</v>
      </c>
      <c r="J250" s="12">
        <v>0</v>
      </c>
      <c r="K250" s="12"/>
    </row>
    <row r="251" spans="1:11" ht="15" customHeight="1">
      <c r="A251" s="15">
        <v>1002538717</v>
      </c>
      <c r="B251" s="13" t="s">
        <v>2952</v>
      </c>
      <c r="C251" s="13" t="s">
        <v>2953</v>
      </c>
      <c r="D251" s="14">
        <f>VLOOKUP(A251,'[1]ExportarAExcel (2)'!E:G,3,0)</f>
        <v>3142849524</v>
      </c>
      <c r="E251" s="13" t="s">
        <v>2954</v>
      </c>
      <c r="F251" s="13" t="s">
        <v>733</v>
      </c>
      <c r="G251" s="12">
        <v>206</v>
      </c>
      <c r="H251" s="16">
        <v>16349000</v>
      </c>
      <c r="I251" s="20">
        <v>114443</v>
      </c>
      <c r="J251" s="12"/>
      <c r="K251" s="12"/>
    </row>
    <row r="252" spans="1:11" ht="15" customHeight="1">
      <c r="A252" s="15">
        <v>1002550488</v>
      </c>
      <c r="B252" s="13" t="s">
        <v>2955</v>
      </c>
      <c r="C252" s="13" t="s">
        <v>2956</v>
      </c>
      <c r="D252" s="14">
        <f>VLOOKUP(A252,'[1]ExportarAExcel (2)'!E:G,3,0)</f>
        <v>3105801802</v>
      </c>
      <c r="E252" s="14" t="s">
        <v>2957</v>
      </c>
      <c r="F252" s="14" t="s">
        <v>707</v>
      </c>
      <c r="G252" s="12"/>
      <c r="H252" s="16">
        <v>1500000</v>
      </c>
      <c r="I252" s="12">
        <v>0</v>
      </c>
      <c r="J252" s="12">
        <v>0</v>
      </c>
      <c r="K252" s="12"/>
    </row>
    <row r="253" spans="1:11" ht="15" customHeight="1">
      <c r="A253" s="15">
        <v>1002623579</v>
      </c>
      <c r="B253" s="13" t="s">
        <v>2958</v>
      </c>
      <c r="C253" s="13" t="s">
        <v>2959</v>
      </c>
      <c r="D253" s="14">
        <f>VLOOKUP(A253,'[1]ExportarAExcel (2)'!E:G,3,0)</f>
        <v>0</v>
      </c>
      <c r="E253" s="14" t="s">
        <v>2960</v>
      </c>
      <c r="F253" s="14" t="s">
        <v>649</v>
      </c>
      <c r="G253" s="12"/>
      <c r="H253" s="16">
        <v>330000</v>
      </c>
      <c r="I253" s="12">
        <v>0</v>
      </c>
      <c r="J253" s="12">
        <v>0</v>
      </c>
      <c r="K253" s="12"/>
    </row>
    <row r="254" spans="1:11" ht="15" customHeight="1">
      <c r="A254" s="15">
        <v>1002623991</v>
      </c>
      <c r="B254" s="13" t="s">
        <v>2961</v>
      </c>
      <c r="C254" s="13" t="s">
        <v>2962</v>
      </c>
      <c r="D254" s="14">
        <f>VLOOKUP(A254,'[1]ExportarAExcel (2)'!E:G,3,0)</f>
        <v>3213616757</v>
      </c>
      <c r="E254" s="13" t="s">
        <v>2963</v>
      </c>
      <c r="F254" s="13" t="s">
        <v>649</v>
      </c>
      <c r="G254" s="12"/>
      <c r="H254" s="16">
        <v>250000</v>
      </c>
      <c r="I254" s="12">
        <v>0</v>
      </c>
      <c r="J254" s="12">
        <v>0</v>
      </c>
      <c r="K254" s="12"/>
    </row>
    <row r="255" spans="1:11" ht="15" customHeight="1">
      <c r="A255" s="15">
        <v>1002677043</v>
      </c>
      <c r="B255" s="13" t="s">
        <v>2964</v>
      </c>
      <c r="C255" s="13" t="s">
        <v>2965</v>
      </c>
      <c r="D255" s="14">
        <f>VLOOKUP(A255,'[1]ExportarAExcel (2)'!E:G,3,0)</f>
        <v>3114445433</v>
      </c>
      <c r="E255" s="14" t="s">
        <v>2966</v>
      </c>
      <c r="F255" s="14" t="s">
        <v>679</v>
      </c>
      <c r="G255" s="12"/>
      <c r="H255" s="16">
        <v>540000</v>
      </c>
      <c r="I255" s="12">
        <v>0</v>
      </c>
      <c r="J255" s="12">
        <v>0</v>
      </c>
      <c r="K255" s="12"/>
    </row>
    <row r="256" spans="1:11" ht="15" customHeight="1">
      <c r="A256" s="15">
        <v>1002678198</v>
      </c>
      <c r="B256" s="13" t="s">
        <v>2967</v>
      </c>
      <c r="C256" s="13" t="s">
        <v>2968</v>
      </c>
      <c r="D256" s="14">
        <f>VLOOKUP(A256,'[1]ExportarAExcel (2)'!E:G,3,0)</f>
        <v>0</v>
      </c>
      <c r="E256" s="13" t="s">
        <v>2969</v>
      </c>
      <c r="F256" s="13" t="s">
        <v>649</v>
      </c>
      <c r="G256" s="12"/>
      <c r="H256" s="16">
        <v>140000</v>
      </c>
      <c r="I256" s="12">
        <v>0</v>
      </c>
      <c r="J256" s="12">
        <v>0</v>
      </c>
      <c r="K256" s="12"/>
    </row>
    <row r="257" spans="1:11" ht="15" customHeight="1">
      <c r="A257" s="15">
        <v>1002678342</v>
      </c>
      <c r="B257" s="13" t="s">
        <v>2970</v>
      </c>
      <c r="C257" s="13" t="s">
        <v>2971</v>
      </c>
      <c r="D257" s="14">
        <f>VLOOKUP(A257,'[1]ExportarAExcel (2)'!E:G,3,0)</f>
        <v>3123917206</v>
      </c>
      <c r="E257" s="14" t="s">
        <v>2972</v>
      </c>
      <c r="F257" s="14" t="s">
        <v>649</v>
      </c>
      <c r="G257" s="12"/>
      <c r="H257" s="16">
        <v>300000</v>
      </c>
      <c r="I257" s="12">
        <v>0</v>
      </c>
      <c r="J257" s="12">
        <v>0</v>
      </c>
      <c r="K257" s="12"/>
    </row>
    <row r="258" spans="1:11" ht="15" customHeight="1">
      <c r="A258" s="15">
        <v>1002679171</v>
      </c>
      <c r="B258" s="13" t="s">
        <v>2973</v>
      </c>
      <c r="C258" s="13" t="s">
        <v>2974</v>
      </c>
      <c r="D258" s="14">
        <f>VLOOKUP(A258,'[1]ExportarAExcel (2)'!E:G,3,0)</f>
        <v>3144295742</v>
      </c>
      <c r="E258" s="13" t="s">
        <v>2359</v>
      </c>
      <c r="F258" s="13" t="s">
        <v>649</v>
      </c>
      <c r="G258" s="12"/>
      <c r="H258" s="16">
        <v>50000</v>
      </c>
      <c r="I258" s="12">
        <v>0</v>
      </c>
      <c r="J258" s="12">
        <v>0</v>
      </c>
      <c r="K258" s="12"/>
    </row>
    <row r="259" spans="1:11" ht="15" customHeight="1">
      <c r="A259" s="15">
        <v>1002679324</v>
      </c>
      <c r="B259" s="13" t="s">
        <v>2975</v>
      </c>
      <c r="C259" s="13" t="s">
        <v>2976</v>
      </c>
      <c r="D259" s="14">
        <f>VLOOKUP(A259,'[1]ExportarAExcel (2)'!E:G,3,0)</f>
        <v>0</v>
      </c>
      <c r="E259" s="14" t="s">
        <v>2359</v>
      </c>
      <c r="F259" s="14" t="s">
        <v>649</v>
      </c>
      <c r="G259" s="12"/>
      <c r="H259" s="16">
        <v>394557</v>
      </c>
      <c r="I259" s="12">
        <v>0</v>
      </c>
      <c r="J259" s="12">
        <v>0</v>
      </c>
      <c r="K259" s="12"/>
    </row>
    <row r="260" spans="1:11" ht="15" customHeight="1">
      <c r="A260" s="15">
        <v>1002692400</v>
      </c>
      <c r="B260" s="13" t="s">
        <v>2977</v>
      </c>
      <c r="C260" s="13" t="s">
        <v>2978</v>
      </c>
      <c r="D260" s="14">
        <f>VLOOKUP(A260,'[1]ExportarAExcel (2)'!E:G,3,0)</f>
        <v>0</v>
      </c>
      <c r="E260" s="14" t="s">
        <v>2979</v>
      </c>
      <c r="F260" s="14" t="s">
        <v>679</v>
      </c>
      <c r="G260" s="12"/>
      <c r="H260" s="16">
        <v>300000</v>
      </c>
      <c r="I260" s="12">
        <v>0</v>
      </c>
      <c r="J260" s="12">
        <v>0</v>
      </c>
      <c r="K260" s="12"/>
    </row>
    <row r="261" spans="1:11" ht="15" customHeight="1">
      <c r="A261" s="15">
        <v>1002693419</v>
      </c>
      <c r="B261" s="13" t="s">
        <v>2980</v>
      </c>
      <c r="C261" s="13" t="s">
        <v>2981</v>
      </c>
      <c r="D261" s="14">
        <f>VLOOKUP(A261,'[1]ExportarAExcel (2)'!E:G,3,0)</f>
        <v>3108831069</v>
      </c>
      <c r="E261" s="14" t="s">
        <v>2359</v>
      </c>
      <c r="F261" s="14" t="s">
        <v>649</v>
      </c>
      <c r="G261" s="12"/>
      <c r="H261" s="16">
        <v>240000</v>
      </c>
      <c r="I261" s="12">
        <v>0</v>
      </c>
      <c r="J261" s="12">
        <v>0</v>
      </c>
      <c r="K261" s="12"/>
    </row>
    <row r="262" spans="1:11" ht="15" customHeight="1">
      <c r="A262" s="15">
        <v>1002726169</v>
      </c>
      <c r="B262" s="13" t="s">
        <v>2982</v>
      </c>
      <c r="C262" s="13" t="s">
        <v>2983</v>
      </c>
      <c r="D262" s="14">
        <f>VLOOKUP(A262,'[1]ExportarAExcel (2)'!E:G,3,0)</f>
        <v>3223166812</v>
      </c>
      <c r="E262" s="14" t="s">
        <v>2984</v>
      </c>
      <c r="F262" s="14" t="s">
        <v>695</v>
      </c>
      <c r="G262" s="12"/>
      <c r="H262" s="16">
        <v>126900</v>
      </c>
      <c r="I262" s="12">
        <v>0</v>
      </c>
      <c r="J262" s="12">
        <v>0</v>
      </c>
      <c r="K262" s="12"/>
    </row>
    <row r="263" spans="1:11" ht="15" customHeight="1">
      <c r="A263" s="15">
        <v>1002727236</v>
      </c>
      <c r="B263" s="13" t="s">
        <v>2985</v>
      </c>
      <c r="C263" s="13" t="s">
        <v>2986</v>
      </c>
      <c r="D263" s="14">
        <f>VLOOKUP(A263,'[1]ExportarAExcel (2)'!E:G,3,0)</f>
        <v>3123768602</v>
      </c>
      <c r="E263" s="14" t="s">
        <v>2987</v>
      </c>
      <c r="F263" s="14" t="s">
        <v>554</v>
      </c>
      <c r="G263" s="12"/>
      <c r="H263" s="16">
        <v>901000</v>
      </c>
      <c r="I263" s="12">
        <v>0</v>
      </c>
      <c r="J263" s="12">
        <v>0</v>
      </c>
      <c r="K263" s="12"/>
    </row>
    <row r="264" spans="1:11" ht="15" customHeight="1">
      <c r="A264" s="15">
        <v>1002727402</v>
      </c>
      <c r="B264" s="13" t="s">
        <v>2988</v>
      </c>
      <c r="C264" s="13" t="s">
        <v>2989</v>
      </c>
      <c r="D264" s="14">
        <f>VLOOKUP(A264,'[1]ExportarAExcel (2)'!E:G,3,0)</f>
        <v>3105015064</v>
      </c>
      <c r="E264" s="13" t="s">
        <v>2990</v>
      </c>
      <c r="F264" s="13" t="s">
        <v>717</v>
      </c>
      <c r="G264" s="12"/>
      <c r="H264" s="16">
        <v>680435</v>
      </c>
      <c r="I264" s="12">
        <v>0</v>
      </c>
      <c r="J264" s="12">
        <v>0</v>
      </c>
      <c r="K264" s="12"/>
    </row>
    <row r="265" spans="1:11" ht="15" customHeight="1">
      <c r="A265" s="15">
        <v>1002727701</v>
      </c>
      <c r="B265" s="13" t="s">
        <v>2991</v>
      </c>
      <c r="C265" s="13" t="s">
        <v>2992</v>
      </c>
      <c r="D265" s="14">
        <f>VLOOKUP(A265,'[1]ExportarAExcel (2)'!E:G,3,0)</f>
        <v>3142651830</v>
      </c>
      <c r="E265" s="14" t="s">
        <v>2993</v>
      </c>
      <c r="F265" s="14" t="s">
        <v>744</v>
      </c>
      <c r="G265" s="12"/>
      <c r="H265" s="16">
        <v>250000</v>
      </c>
      <c r="I265" s="12">
        <v>0</v>
      </c>
      <c r="J265" s="12">
        <v>0</v>
      </c>
      <c r="K265" s="12"/>
    </row>
    <row r="266" spans="1:11" ht="15" customHeight="1">
      <c r="A266" s="15">
        <v>1002734907</v>
      </c>
      <c r="B266" s="13" t="s">
        <v>2994</v>
      </c>
      <c r="C266" s="13" t="s">
        <v>2995</v>
      </c>
      <c r="D266" s="14">
        <f>VLOOKUP(A266,'[1]ExportarAExcel (2)'!E:G,3,0)</f>
        <v>3123488374</v>
      </c>
      <c r="E266" s="14" t="s">
        <v>2996</v>
      </c>
      <c r="F266" s="14" t="s">
        <v>558</v>
      </c>
      <c r="G266" s="12"/>
      <c r="H266" s="16">
        <v>2417500</v>
      </c>
      <c r="I266" s="12">
        <v>0</v>
      </c>
      <c r="J266" s="12">
        <v>0</v>
      </c>
      <c r="K266" s="12"/>
    </row>
    <row r="267" spans="1:11" ht="15" customHeight="1">
      <c r="A267" s="15">
        <v>1002735561</v>
      </c>
      <c r="B267" s="13" t="s">
        <v>2997</v>
      </c>
      <c r="C267" s="13" t="s">
        <v>2998</v>
      </c>
      <c r="D267" s="14">
        <f>VLOOKUP(A267,'[1]ExportarAExcel (2)'!E:G,3,0)</f>
        <v>3112351271</v>
      </c>
      <c r="E267" s="14" t="s">
        <v>2999</v>
      </c>
      <c r="F267" s="14" t="s">
        <v>677</v>
      </c>
      <c r="G267" s="12"/>
      <c r="H267" s="16">
        <v>1100000</v>
      </c>
      <c r="I267" s="12">
        <v>0</v>
      </c>
      <c r="J267" s="12">
        <v>0</v>
      </c>
      <c r="K267" s="12"/>
    </row>
    <row r="268" spans="1:11" ht="15" customHeight="1">
      <c r="A268" s="15">
        <v>1002736679</v>
      </c>
      <c r="B268" s="13" t="s">
        <v>3000</v>
      </c>
      <c r="C268" s="13" t="s">
        <v>3001</v>
      </c>
      <c r="D268" s="14">
        <f>VLOOKUP(A268,'[1]ExportarAExcel (2)'!E:G,3,0)</f>
        <v>3227524389</v>
      </c>
      <c r="E268" s="13" t="s">
        <v>3002</v>
      </c>
      <c r="F268" s="13" t="s">
        <v>602</v>
      </c>
      <c r="G268" s="12"/>
      <c r="H268" s="16">
        <v>263500</v>
      </c>
      <c r="I268" s="12">
        <v>0</v>
      </c>
      <c r="J268" s="12">
        <v>0</v>
      </c>
      <c r="K268" s="12"/>
    </row>
    <row r="269" spans="1:11" ht="15" customHeight="1">
      <c r="A269" s="15">
        <v>1002737029</v>
      </c>
      <c r="B269" s="13" t="s">
        <v>3003</v>
      </c>
      <c r="C269" s="13" t="s">
        <v>3004</v>
      </c>
      <c r="D269" s="14">
        <f>VLOOKUP(A269,'[1]ExportarAExcel (2)'!E:G,3,0)</f>
        <v>3143477354</v>
      </c>
      <c r="E269" s="13" t="s">
        <v>3005</v>
      </c>
      <c r="F269" s="13" t="s">
        <v>602</v>
      </c>
      <c r="G269" s="12"/>
      <c r="H269" s="16">
        <v>585000</v>
      </c>
      <c r="I269" s="12">
        <v>0</v>
      </c>
      <c r="J269" s="12">
        <v>0</v>
      </c>
      <c r="K269" s="12"/>
    </row>
    <row r="270" spans="1:11" ht="15" customHeight="1">
      <c r="A270" s="15">
        <v>1002740757</v>
      </c>
      <c r="B270" s="13" t="s">
        <v>3006</v>
      </c>
      <c r="C270" s="13" t="s">
        <v>3007</v>
      </c>
      <c r="D270" s="14">
        <f>VLOOKUP(A270,'[1]ExportarAExcel (2)'!E:G,3,0)</f>
        <v>3217098035</v>
      </c>
      <c r="E270" s="14" t="s">
        <v>2648</v>
      </c>
      <c r="F270" s="14" t="s">
        <v>558</v>
      </c>
      <c r="G270" s="12"/>
      <c r="H270" s="16">
        <v>6486666</v>
      </c>
      <c r="I270" s="12">
        <v>0</v>
      </c>
      <c r="J270" s="12">
        <v>0</v>
      </c>
      <c r="K270" s="12"/>
    </row>
    <row r="271" spans="1:11" ht="15" customHeight="1">
      <c r="A271" s="15">
        <v>1002760256</v>
      </c>
      <c r="B271" s="13" t="s">
        <v>3008</v>
      </c>
      <c r="C271" s="13" t="s">
        <v>3009</v>
      </c>
      <c r="D271" s="14">
        <f>VLOOKUP(A271,'[1]ExportarAExcel (2)'!E:G,3,0)</f>
        <v>3214160307</v>
      </c>
      <c r="E271" s="14" t="s">
        <v>3010</v>
      </c>
      <c r="F271" s="14" t="s">
        <v>560</v>
      </c>
      <c r="G271" s="12"/>
      <c r="H271" s="16">
        <v>1000000</v>
      </c>
      <c r="I271" s="12">
        <v>0</v>
      </c>
      <c r="J271" s="12">
        <v>0</v>
      </c>
      <c r="K271" s="12"/>
    </row>
    <row r="272" spans="1:11" ht="15" customHeight="1">
      <c r="A272" s="15">
        <v>1004851277</v>
      </c>
      <c r="B272" s="13" t="s">
        <v>3011</v>
      </c>
      <c r="C272" s="13" t="s">
        <v>3012</v>
      </c>
      <c r="D272" s="14">
        <f>VLOOKUP(A272,'[1]ExportarAExcel (2)'!E:G,3,0)</f>
        <v>3232036057</v>
      </c>
      <c r="E272" s="14" t="s">
        <v>3013</v>
      </c>
      <c r="F272" s="14" t="s">
        <v>554</v>
      </c>
      <c r="G272" s="12"/>
      <c r="H272" s="16">
        <v>4698000</v>
      </c>
      <c r="I272" s="12">
        <v>0</v>
      </c>
      <c r="J272" s="12">
        <v>0</v>
      </c>
      <c r="K272" s="12"/>
    </row>
    <row r="273" spans="1:11" ht="15" customHeight="1">
      <c r="A273" s="15">
        <v>1007191575</v>
      </c>
      <c r="B273" s="13" t="s">
        <v>3014</v>
      </c>
      <c r="C273" s="13" t="s">
        <v>3015</v>
      </c>
      <c r="D273" s="14">
        <f>VLOOKUP(A273,'[1]ExportarAExcel (2)'!E:G,3,0)</f>
        <v>3133543568</v>
      </c>
      <c r="E273" s="14" t="s">
        <v>3013</v>
      </c>
      <c r="F273" s="14" t="s">
        <v>554</v>
      </c>
      <c r="G273" s="12"/>
      <c r="H273" s="16">
        <v>325000</v>
      </c>
      <c r="I273" s="12">
        <v>0</v>
      </c>
      <c r="J273" s="12">
        <v>0</v>
      </c>
      <c r="K273" s="12"/>
    </row>
    <row r="274" spans="1:11" ht="15" customHeight="1">
      <c r="A274" s="15">
        <v>1007333110</v>
      </c>
      <c r="B274" s="13" t="s">
        <v>3016</v>
      </c>
      <c r="C274" s="13" t="s">
        <v>3017</v>
      </c>
      <c r="D274" s="14">
        <f>VLOOKUP(A274,'[1]ExportarAExcel (2)'!E:G,3,0)</f>
        <v>3125120767</v>
      </c>
      <c r="E274" s="13" t="s">
        <v>3018</v>
      </c>
      <c r="F274" s="13" t="s">
        <v>643</v>
      </c>
      <c r="G274" s="12"/>
      <c r="H274" s="16">
        <v>1500000</v>
      </c>
      <c r="I274" s="12">
        <v>0</v>
      </c>
      <c r="J274" s="12">
        <v>0</v>
      </c>
      <c r="K274" s="12"/>
    </row>
    <row r="275" spans="1:11" ht="15" customHeight="1">
      <c r="A275" s="15">
        <v>1007420408</v>
      </c>
      <c r="B275" s="13" t="s">
        <v>3019</v>
      </c>
      <c r="C275" s="13" t="s">
        <v>3020</v>
      </c>
      <c r="D275" s="14">
        <f>VLOOKUP(A275,'[1]ExportarAExcel (2)'!E:G,3,0)</f>
        <v>3112913918</v>
      </c>
      <c r="E275" s="14" t="s">
        <v>3021</v>
      </c>
      <c r="F275" s="14" t="s">
        <v>713</v>
      </c>
      <c r="G275" s="12"/>
      <c r="H275" s="16">
        <v>220000</v>
      </c>
      <c r="I275" s="12">
        <v>0</v>
      </c>
      <c r="J275" s="12">
        <v>0</v>
      </c>
      <c r="K275" s="12"/>
    </row>
    <row r="276" spans="1:11" ht="15" customHeight="1">
      <c r="A276" s="15">
        <v>1007446797</v>
      </c>
      <c r="B276" s="13" t="s">
        <v>3022</v>
      </c>
      <c r="C276" s="13" t="s">
        <v>3023</v>
      </c>
      <c r="D276" s="14">
        <f>VLOOKUP(A276,'[1]ExportarAExcel (2)'!E:G,3,0)</f>
        <v>3102964141</v>
      </c>
      <c r="E276" s="14" t="s">
        <v>3024</v>
      </c>
      <c r="F276" s="14" t="s">
        <v>695</v>
      </c>
      <c r="G276" s="12"/>
      <c r="H276" s="16">
        <v>254000</v>
      </c>
      <c r="I276" s="12">
        <v>0</v>
      </c>
      <c r="J276" s="12">
        <v>0</v>
      </c>
      <c r="K276" s="12"/>
    </row>
    <row r="277" spans="1:11" ht="15" customHeight="1">
      <c r="A277" s="15">
        <v>1007493482</v>
      </c>
      <c r="B277" s="13" t="s">
        <v>3025</v>
      </c>
      <c r="C277" s="13" t="s">
        <v>3026</v>
      </c>
      <c r="D277" s="14">
        <f>VLOOKUP(A277,'[1]ExportarAExcel (2)'!E:G,3,0)</f>
        <v>3115203396</v>
      </c>
      <c r="E277" s="13" t="s">
        <v>3027</v>
      </c>
      <c r="F277" s="13" t="s">
        <v>695</v>
      </c>
      <c r="G277" s="12"/>
      <c r="H277" s="16">
        <v>64679</v>
      </c>
      <c r="I277" s="12">
        <v>0</v>
      </c>
      <c r="J277" s="12">
        <v>0</v>
      </c>
      <c r="K277" s="12"/>
    </row>
    <row r="278" spans="1:11" ht="15" customHeight="1">
      <c r="A278" s="15">
        <v>1007671073</v>
      </c>
      <c r="B278" s="13" t="s">
        <v>3028</v>
      </c>
      <c r="C278" s="13" t="s">
        <v>3029</v>
      </c>
      <c r="D278" s="14">
        <f>VLOOKUP(A278,'[1]ExportarAExcel (2)'!E:G,3,0)</f>
        <v>3234168608</v>
      </c>
      <c r="E278" s="13" t="s">
        <v>3030</v>
      </c>
      <c r="F278" s="13" t="s">
        <v>643</v>
      </c>
      <c r="G278" s="12"/>
      <c r="H278" s="16">
        <v>300000</v>
      </c>
      <c r="I278" s="12">
        <v>0</v>
      </c>
      <c r="J278" s="12">
        <v>0</v>
      </c>
      <c r="K278" s="12"/>
    </row>
    <row r="279" spans="1:11" ht="15" customHeight="1">
      <c r="A279" s="15">
        <v>1007751567</v>
      </c>
      <c r="B279" s="13" t="s">
        <v>3031</v>
      </c>
      <c r="C279" s="13" t="s">
        <v>3032</v>
      </c>
      <c r="D279" s="14">
        <f>VLOOKUP(A279,'[1]ExportarAExcel (2)'!E:G,3,0)</f>
        <v>3102839691</v>
      </c>
      <c r="E279" s="13" t="s">
        <v>3033</v>
      </c>
      <c r="F279" s="13" t="s">
        <v>713</v>
      </c>
      <c r="G279" s="12"/>
      <c r="H279" s="16">
        <v>140000</v>
      </c>
      <c r="I279" s="12">
        <v>0</v>
      </c>
      <c r="J279" s="12">
        <v>0</v>
      </c>
      <c r="K279" s="12"/>
    </row>
    <row r="280" spans="1:11" ht="15" customHeight="1">
      <c r="A280" s="15">
        <v>1007826291</v>
      </c>
      <c r="B280" s="13" t="s">
        <v>3034</v>
      </c>
      <c r="C280" s="13" t="s">
        <v>3035</v>
      </c>
      <c r="D280" s="14">
        <f>VLOOKUP(A280,'[1]ExportarAExcel (2)'!E:G,3,0)</f>
        <v>3138638219</v>
      </c>
      <c r="E280" s="14" t="s">
        <v>2957</v>
      </c>
      <c r="F280" s="14" t="s">
        <v>554</v>
      </c>
      <c r="G280" s="12"/>
      <c r="H280" s="16">
        <f>1922000+500000</f>
        <v>2422000</v>
      </c>
      <c r="I280" s="12">
        <v>0</v>
      </c>
      <c r="J280" s="12">
        <v>0</v>
      </c>
      <c r="K280" s="12"/>
    </row>
    <row r="281" spans="1:11" ht="15" customHeight="1">
      <c r="A281" s="15">
        <v>1014301623</v>
      </c>
      <c r="B281" s="13" t="s">
        <v>3036</v>
      </c>
      <c r="C281" s="13" t="s">
        <v>3037</v>
      </c>
      <c r="D281" s="14">
        <f>VLOOKUP(A281,'[1]ExportarAExcel (2)'!E:G,3,0)</f>
        <v>3115136515</v>
      </c>
      <c r="E281" s="14" t="s">
        <v>2979</v>
      </c>
      <c r="F281" s="14" t="s">
        <v>679</v>
      </c>
      <c r="G281" s="12"/>
      <c r="H281" s="16">
        <v>2625000</v>
      </c>
      <c r="I281" s="12">
        <v>0</v>
      </c>
      <c r="J281" s="12">
        <v>0</v>
      </c>
      <c r="K281" s="12"/>
    </row>
    <row r="282" spans="1:11" ht="15" customHeight="1">
      <c r="A282" s="15">
        <v>1016027233</v>
      </c>
      <c r="B282" s="13" t="s">
        <v>3038</v>
      </c>
      <c r="C282" s="13" t="s">
        <v>3039</v>
      </c>
      <c r="D282" s="14">
        <f>VLOOKUP(A282,'[1]ExportarAExcel (2)'!E:G,3,0)</f>
        <v>3103208129</v>
      </c>
      <c r="E282" s="14" t="s">
        <v>3013</v>
      </c>
      <c r="F282" s="14" t="s">
        <v>554</v>
      </c>
      <c r="G282" s="12"/>
      <c r="H282" s="16">
        <v>190000</v>
      </c>
      <c r="I282" s="12">
        <v>0</v>
      </c>
      <c r="J282" s="12">
        <v>0</v>
      </c>
      <c r="K282" s="12"/>
    </row>
    <row r="283" spans="1:11" ht="15" customHeight="1">
      <c r="A283" s="15">
        <v>1016087165</v>
      </c>
      <c r="B283" s="13" t="s">
        <v>3040</v>
      </c>
      <c r="C283" s="13" t="s">
        <v>3041</v>
      </c>
      <c r="D283" s="14">
        <f>VLOOKUP(A283,'[1]ExportarAExcel (2)'!E:G,3,0)</f>
        <v>3193799197</v>
      </c>
      <c r="E283" s="14" t="s">
        <v>3042</v>
      </c>
      <c r="F283" s="14" t="s">
        <v>707</v>
      </c>
      <c r="G283" s="12"/>
      <c r="H283" s="16">
        <v>24604661</v>
      </c>
      <c r="I283" s="12">
        <v>0</v>
      </c>
      <c r="J283" s="12">
        <v>0</v>
      </c>
      <c r="K283" s="12"/>
    </row>
    <row r="284" spans="1:11" ht="15" customHeight="1">
      <c r="A284" s="15">
        <v>1018429608</v>
      </c>
      <c r="B284" s="13" t="s">
        <v>3043</v>
      </c>
      <c r="C284" s="13" t="s">
        <v>3044</v>
      </c>
      <c r="D284" s="14">
        <f>VLOOKUP(A284,'[1]ExportarAExcel (2)'!E:G,3,0)</f>
        <v>3114790011</v>
      </c>
      <c r="E284" s="14" t="s">
        <v>3045</v>
      </c>
      <c r="F284" s="14" t="s">
        <v>717</v>
      </c>
      <c r="G284" s="12"/>
      <c r="H284" s="16">
        <v>160000</v>
      </c>
      <c r="I284" s="12">
        <v>0</v>
      </c>
      <c r="J284" s="12">
        <v>0</v>
      </c>
      <c r="K284" s="12"/>
    </row>
    <row r="285" spans="1:11" ht="15" customHeight="1">
      <c r="A285" s="15">
        <v>1018507344</v>
      </c>
      <c r="B285" s="13" t="s">
        <v>3046</v>
      </c>
      <c r="C285" s="13" t="s">
        <v>3047</v>
      </c>
      <c r="D285" s="14">
        <f>VLOOKUP(A285,'[1]ExportarAExcel (2)'!E:G,3,0)</f>
        <v>0</v>
      </c>
      <c r="E285" s="14" t="s">
        <v>3048</v>
      </c>
      <c r="F285" s="14" t="s">
        <v>677</v>
      </c>
      <c r="G285" s="12"/>
      <c r="H285" s="16">
        <v>150000</v>
      </c>
      <c r="I285" s="12">
        <v>0</v>
      </c>
      <c r="J285" s="12">
        <v>0</v>
      </c>
      <c r="K285" s="12"/>
    </row>
    <row r="286" spans="1:11" ht="15" customHeight="1">
      <c r="A286" s="15">
        <v>1019003321</v>
      </c>
      <c r="B286" s="13" t="s">
        <v>3049</v>
      </c>
      <c r="C286" s="13" t="s">
        <v>3050</v>
      </c>
      <c r="D286" s="14">
        <f>VLOOKUP(A286,'[1]ExportarAExcel (2)'!E:G,3,0)</f>
        <v>3112334869</v>
      </c>
      <c r="E286" s="13" t="s">
        <v>2709</v>
      </c>
      <c r="F286" s="13" t="s">
        <v>602</v>
      </c>
      <c r="G286" s="12"/>
      <c r="H286" s="16">
        <v>54159</v>
      </c>
      <c r="I286" s="12">
        <v>0</v>
      </c>
      <c r="J286" s="12">
        <v>0</v>
      </c>
      <c r="K286" s="12"/>
    </row>
    <row r="287" spans="1:11" ht="15" customHeight="1">
      <c r="A287" s="15">
        <v>1019053947</v>
      </c>
      <c r="B287" s="13" t="s">
        <v>3051</v>
      </c>
      <c r="C287" s="13" t="s">
        <v>3052</v>
      </c>
      <c r="D287" s="14">
        <f>VLOOKUP(A287,'[1]ExportarAExcel (2)'!E:G,3,0)</f>
        <v>0</v>
      </c>
      <c r="E287" s="14" t="s">
        <v>3013</v>
      </c>
      <c r="F287" s="14" t="s">
        <v>554</v>
      </c>
      <c r="G287" s="12"/>
      <c r="H287" s="16">
        <v>6310000</v>
      </c>
      <c r="I287" s="12">
        <v>0</v>
      </c>
      <c r="J287" s="12">
        <v>0</v>
      </c>
      <c r="K287" s="12"/>
    </row>
    <row r="288" spans="1:11" ht="15" customHeight="1">
      <c r="A288" s="15">
        <v>1022372881</v>
      </c>
      <c r="B288" s="13" t="s">
        <v>3053</v>
      </c>
      <c r="C288" s="13" t="s">
        <v>3054</v>
      </c>
      <c r="D288" s="14">
        <f>VLOOKUP(A288,'[1]ExportarAExcel (2)'!E:G,3,0)</f>
        <v>3115862350</v>
      </c>
      <c r="E288" s="14" t="s">
        <v>3055</v>
      </c>
      <c r="F288" s="14" t="s">
        <v>713</v>
      </c>
      <c r="G288" s="12"/>
      <c r="H288" s="16">
        <v>8000000</v>
      </c>
      <c r="I288" s="12">
        <v>0</v>
      </c>
      <c r="J288" s="12">
        <v>0</v>
      </c>
      <c r="K288" s="12"/>
    </row>
    <row r="289" spans="1:11" ht="15" customHeight="1">
      <c r="A289" s="15">
        <v>1024480813</v>
      </c>
      <c r="B289" s="13" t="s">
        <v>3056</v>
      </c>
      <c r="C289" s="13" t="s">
        <v>3057</v>
      </c>
      <c r="D289" s="14">
        <f>VLOOKUP(A289,'[1]ExportarAExcel (2)'!E:G,3,0)</f>
        <v>0</v>
      </c>
      <c r="E289" s="13" t="s">
        <v>2648</v>
      </c>
      <c r="F289" s="13" t="s">
        <v>558</v>
      </c>
      <c r="G289" s="12"/>
      <c r="H289" s="16">
        <v>1220000</v>
      </c>
      <c r="I289" s="12">
        <v>0</v>
      </c>
      <c r="J289" s="12">
        <v>0</v>
      </c>
      <c r="K289" s="12"/>
    </row>
    <row r="290" spans="1:11" ht="15" customHeight="1">
      <c r="A290" s="15">
        <v>1028882859</v>
      </c>
      <c r="B290" s="13" t="s">
        <v>3058</v>
      </c>
      <c r="C290" s="13" t="s">
        <v>3059</v>
      </c>
      <c r="D290" s="14">
        <f>VLOOKUP(A290,'[1]ExportarAExcel (2)'!E:G,3,0)</f>
        <v>3228448582</v>
      </c>
      <c r="E290" s="13" t="s">
        <v>3060</v>
      </c>
      <c r="F290" s="13" t="s">
        <v>643</v>
      </c>
      <c r="G290" s="12"/>
      <c r="H290" s="16">
        <v>441447</v>
      </c>
      <c r="I290" s="12">
        <v>0</v>
      </c>
      <c r="J290" s="12">
        <v>0</v>
      </c>
      <c r="K290" s="12"/>
    </row>
    <row r="291" spans="1:11" ht="15" customHeight="1">
      <c r="A291" s="15">
        <v>1030537198</v>
      </c>
      <c r="B291" s="13" t="s">
        <v>3061</v>
      </c>
      <c r="C291" s="13" t="s">
        <v>3062</v>
      </c>
      <c r="D291" s="14">
        <f>VLOOKUP(A291,'[1]ExportarAExcel (2)'!E:G,3,0)</f>
        <v>3219349550</v>
      </c>
      <c r="E291" s="14" t="s">
        <v>2362</v>
      </c>
      <c r="F291" s="14" t="s">
        <v>649</v>
      </c>
      <c r="G291" s="12"/>
      <c r="H291" s="16">
        <v>480321</v>
      </c>
      <c r="I291" s="12">
        <v>0</v>
      </c>
      <c r="J291" s="12">
        <v>0</v>
      </c>
      <c r="K291" s="12"/>
    </row>
    <row r="292" spans="1:11" ht="15" customHeight="1">
      <c r="A292" s="15">
        <v>1030591928</v>
      </c>
      <c r="B292" s="13" t="s">
        <v>3063</v>
      </c>
      <c r="C292" s="13" t="s">
        <v>3064</v>
      </c>
      <c r="D292" s="14">
        <f>VLOOKUP(A292,'[1]ExportarAExcel (2)'!E:G,3,0)</f>
        <v>3223917543</v>
      </c>
      <c r="E292" s="14" t="s">
        <v>3065</v>
      </c>
      <c r="F292" s="14" t="s">
        <v>695</v>
      </c>
      <c r="G292" s="12"/>
      <c r="H292" s="16">
        <v>216000</v>
      </c>
      <c r="I292" s="12">
        <v>0</v>
      </c>
      <c r="J292" s="12">
        <v>0</v>
      </c>
      <c r="K292" s="12"/>
    </row>
    <row r="293" spans="1:11" ht="15" customHeight="1">
      <c r="A293" s="15">
        <v>1032382158</v>
      </c>
      <c r="B293" s="13" t="s">
        <v>3066</v>
      </c>
      <c r="C293" s="13" t="s">
        <v>3067</v>
      </c>
      <c r="D293" s="14">
        <f>VLOOKUP(A293,'[1]ExportarAExcel (2)'!E:G,3,0)</f>
        <v>3208033866</v>
      </c>
      <c r="E293" s="14" t="s">
        <v>2365</v>
      </c>
      <c r="F293" s="14" t="s">
        <v>713</v>
      </c>
      <c r="G293" s="12"/>
      <c r="H293" s="16">
        <v>29759999</v>
      </c>
      <c r="I293" s="12">
        <v>0</v>
      </c>
      <c r="J293" s="12">
        <v>0</v>
      </c>
      <c r="K293" s="12"/>
    </row>
    <row r="294" spans="1:11" ht="15" customHeight="1">
      <c r="A294" s="15">
        <v>1032388103</v>
      </c>
      <c r="B294" s="13" t="s">
        <v>3068</v>
      </c>
      <c r="C294" s="13" t="s">
        <v>3069</v>
      </c>
      <c r="D294" s="14">
        <f>VLOOKUP(A294,'[1]ExportarAExcel (2)'!E:G,3,0)</f>
        <v>3212844096</v>
      </c>
      <c r="E294" s="13" t="s">
        <v>3070</v>
      </c>
      <c r="F294" s="13" t="s">
        <v>748</v>
      </c>
      <c r="G294" s="12"/>
      <c r="H294" s="16">
        <v>70000</v>
      </c>
      <c r="I294" s="12">
        <v>0</v>
      </c>
      <c r="J294" s="12">
        <v>0</v>
      </c>
      <c r="K294" s="12"/>
    </row>
    <row r="295" spans="1:11" ht="15" customHeight="1">
      <c r="A295" s="15">
        <v>1032411388</v>
      </c>
      <c r="B295" s="13" t="s">
        <v>3071</v>
      </c>
      <c r="C295" s="13" t="s">
        <v>3072</v>
      </c>
      <c r="D295" s="14">
        <f>VLOOKUP(A295,'[1]ExportarAExcel (2)'!E:G,3,0)</f>
        <v>3208758845</v>
      </c>
      <c r="E295" s="14" t="s">
        <v>3073</v>
      </c>
      <c r="F295" s="14" t="s">
        <v>695</v>
      </c>
      <c r="G295" s="12"/>
      <c r="H295" s="16">
        <v>12000000</v>
      </c>
      <c r="I295" s="12">
        <v>0</v>
      </c>
      <c r="J295" s="12">
        <v>0</v>
      </c>
      <c r="K295" s="12"/>
    </row>
    <row r="296" spans="1:11" ht="15" customHeight="1">
      <c r="A296" s="15">
        <v>1032449840</v>
      </c>
      <c r="B296" s="13" t="s">
        <v>3074</v>
      </c>
      <c r="C296" s="13" t="s">
        <v>3075</v>
      </c>
      <c r="D296" s="14">
        <f>VLOOKUP(A296,'[1]ExportarAExcel (2)'!E:G,3,0)</f>
        <v>3214128413</v>
      </c>
      <c r="E296" s="14" t="s">
        <v>3076</v>
      </c>
      <c r="F296" s="14" t="s">
        <v>713</v>
      </c>
      <c r="G296" s="12"/>
      <c r="H296" s="16">
        <v>150000</v>
      </c>
      <c r="I296" s="12">
        <v>0</v>
      </c>
      <c r="J296" s="12">
        <v>0</v>
      </c>
      <c r="K296" s="12"/>
    </row>
    <row r="297" spans="1:11" ht="15" customHeight="1">
      <c r="A297" s="15">
        <v>1032497515</v>
      </c>
      <c r="B297" s="13" t="s">
        <v>3077</v>
      </c>
      <c r="C297" s="13" t="s">
        <v>3078</v>
      </c>
      <c r="D297" s="14">
        <f>VLOOKUP(A297,'[1]ExportarAExcel (2)'!E:G,3,0)</f>
        <v>0</v>
      </c>
      <c r="E297" s="14" t="s">
        <v>2345</v>
      </c>
      <c r="F297" s="14" t="s">
        <v>750</v>
      </c>
      <c r="G297" s="12"/>
      <c r="H297" s="16">
        <v>248000</v>
      </c>
      <c r="I297" s="12">
        <v>0</v>
      </c>
      <c r="J297" s="12">
        <v>0</v>
      </c>
      <c r="K297" s="12"/>
    </row>
    <row r="298" spans="1:11" ht="15" customHeight="1">
      <c r="A298" s="15">
        <v>1042995459</v>
      </c>
      <c r="B298" s="13" t="s">
        <v>3079</v>
      </c>
      <c r="C298" s="13" t="s">
        <v>3080</v>
      </c>
      <c r="D298" s="14">
        <f>VLOOKUP(A298,'[1]ExportarAExcel (2)'!E:G,3,0)</f>
        <v>3132844921</v>
      </c>
      <c r="E298" s="13" t="s">
        <v>2996</v>
      </c>
      <c r="F298" s="13" t="s">
        <v>558</v>
      </c>
      <c r="G298" s="12"/>
      <c r="H298" s="16">
        <v>160000</v>
      </c>
      <c r="I298" s="12">
        <v>0</v>
      </c>
      <c r="J298" s="12">
        <v>0</v>
      </c>
      <c r="K298" s="12"/>
    </row>
    <row r="299" spans="1:11" ht="15" customHeight="1">
      <c r="A299" s="15">
        <v>1046426373</v>
      </c>
      <c r="B299" s="13" t="s">
        <v>3081</v>
      </c>
      <c r="C299" s="13" t="s">
        <v>3082</v>
      </c>
      <c r="D299" s="14">
        <f>VLOOKUP(A299,'[1]ExportarAExcel (2)'!E:G,3,0)</f>
        <v>3219894490</v>
      </c>
      <c r="E299" s="14" t="s">
        <v>3083</v>
      </c>
      <c r="F299" s="14" t="s">
        <v>554</v>
      </c>
      <c r="G299" s="12"/>
      <c r="H299" s="16">
        <v>53497000</v>
      </c>
      <c r="I299" s="12">
        <v>0</v>
      </c>
      <c r="J299" s="12">
        <v>0</v>
      </c>
      <c r="K299" s="12"/>
    </row>
    <row r="300" spans="1:11" ht="15" customHeight="1">
      <c r="A300" s="15">
        <v>1049607834</v>
      </c>
      <c r="B300" s="13" t="s">
        <v>3084</v>
      </c>
      <c r="C300" s="13" t="s">
        <v>3085</v>
      </c>
      <c r="D300" s="14">
        <f>VLOOKUP(A300,'[1]ExportarAExcel (2)'!E:G,3,0)</f>
        <v>3223616298</v>
      </c>
      <c r="E300" s="14" t="s">
        <v>3086</v>
      </c>
      <c r="F300" s="14" t="s">
        <v>649</v>
      </c>
      <c r="G300" s="12"/>
      <c r="H300" s="16">
        <v>340000</v>
      </c>
      <c r="I300" s="12">
        <v>0</v>
      </c>
      <c r="J300" s="12">
        <v>0</v>
      </c>
      <c r="K300" s="12"/>
    </row>
    <row r="301" spans="1:11" ht="15" customHeight="1">
      <c r="A301" s="15">
        <v>1049615545</v>
      </c>
      <c r="B301" s="13" t="s">
        <v>3087</v>
      </c>
      <c r="C301" s="13" t="s">
        <v>3088</v>
      </c>
      <c r="D301" s="14">
        <f>VLOOKUP(A301,'[1]ExportarAExcel (2)'!E:G,3,0)</f>
        <v>3112871254</v>
      </c>
      <c r="E301" s="13" t="s">
        <v>3089</v>
      </c>
      <c r="F301" s="13" t="s">
        <v>534</v>
      </c>
      <c r="G301" s="12"/>
      <c r="H301" s="16">
        <v>32738</v>
      </c>
      <c r="I301" s="12">
        <v>0</v>
      </c>
      <c r="J301" s="12">
        <v>0</v>
      </c>
      <c r="K301" s="12"/>
    </row>
    <row r="302" spans="1:11" ht="15" customHeight="1">
      <c r="A302" s="15">
        <v>1049627603</v>
      </c>
      <c r="B302" s="13" t="s">
        <v>3090</v>
      </c>
      <c r="C302" s="13" t="s">
        <v>3091</v>
      </c>
      <c r="D302" s="14">
        <f>VLOOKUP(A302,'[1]ExportarAExcel (2)'!E:G,3,0)</f>
        <v>3115198450</v>
      </c>
      <c r="E302" s="13" t="s">
        <v>3092</v>
      </c>
      <c r="F302" s="13" t="s">
        <v>534</v>
      </c>
      <c r="G302" s="12"/>
      <c r="H302" s="16">
        <v>120000</v>
      </c>
      <c r="I302" s="12">
        <v>0</v>
      </c>
      <c r="J302" s="12">
        <v>0</v>
      </c>
      <c r="K302" s="12"/>
    </row>
    <row r="303" spans="1:11" ht="15" customHeight="1">
      <c r="A303" s="15">
        <v>1049646498</v>
      </c>
      <c r="B303" s="13" t="s">
        <v>3093</v>
      </c>
      <c r="C303" s="13" t="s">
        <v>3094</v>
      </c>
      <c r="D303" s="14">
        <f>VLOOKUP(A303,'[1]ExportarAExcel (2)'!E:G,3,0)</f>
        <v>3228151741</v>
      </c>
      <c r="E303" s="13" t="s">
        <v>3095</v>
      </c>
      <c r="F303" s="13" t="s">
        <v>744</v>
      </c>
      <c r="G303" s="12"/>
      <c r="H303" s="16">
        <v>46000</v>
      </c>
      <c r="I303" s="12">
        <v>0</v>
      </c>
      <c r="J303" s="12">
        <v>0</v>
      </c>
      <c r="K303" s="12"/>
    </row>
    <row r="304" spans="1:11" ht="15" customHeight="1">
      <c r="A304" s="15">
        <v>1049651232</v>
      </c>
      <c r="B304" s="13" t="s">
        <v>3096</v>
      </c>
      <c r="C304" s="13" t="s">
        <v>3097</v>
      </c>
      <c r="D304" s="14">
        <f>VLOOKUP(A304,'[1]ExportarAExcel (2)'!E:G,3,0)</f>
        <v>3007647843</v>
      </c>
      <c r="E304" s="14" t="s">
        <v>3098</v>
      </c>
      <c r="F304" s="14" t="s">
        <v>750</v>
      </c>
      <c r="G304" s="12"/>
      <c r="H304" s="16">
        <v>774000</v>
      </c>
      <c r="I304" s="12">
        <v>0</v>
      </c>
      <c r="J304" s="12">
        <v>0</v>
      </c>
      <c r="K304" s="12"/>
    </row>
    <row r="305" spans="1:11" ht="15" customHeight="1">
      <c r="A305" s="15">
        <v>1049654766</v>
      </c>
      <c r="B305" s="13" t="s">
        <v>3099</v>
      </c>
      <c r="C305" s="13" t="s">
        <v>3100</v>
      </c>
      <c r="D305" s="14">
        <f>VLOOKUP(A305,'[1]ExportarAExcel (2)'!E:G,3,0)</f>
        <v>3028066896</v>
      </c>
      <c r="E305" s="14" t="s">
        <v>3101</v>
      </c>
      <c r="F305" s="14" t="s">
        <v>534</v>
      </c>
      <c r="G305" s="12"/>
      <c r="H305" s="16">
        <v>6000000</v>
      </c>
      <c r="I305" s="12">
        <v>0</v>
      </c>
      <c r="J305" s="12">
        <v>0</v>
      </c>
      <c r="K305" s="12"/>
    </row>
    <row r="306" spans="1:11" ht="15" customHeight="1">
      <c r="A306" s="15">
        <v>1050956587</v>
      </c>
      <c r="B306" s="13" t="s">
        <v>3102</v>
      </c>
      <c r="C306" s="13" t="s">
        <v>3103</v>
      </c>
      <c r="D306" s="14">
        <f>VLOOKUP(A306,'[1]ExportarAExcel (2)'!E:G,3,0)</f>
        <v>3126509958</v>
      </c>
      <c r="E306" s="14" t="s">
        <v>3104</v>
      </c>
      <c r="F306" s="14" t="s">
        <v>560</v>
      </c>
      <c r="G306" s="12"/>
      <c r="H306" s="16">
        <v>3000000</v>
      </c>
      <c r="I306" s="12">
        <v>0</v>
      </c>
      <c r="J306" s="12">
        <v>0</v>
      </c>
      <c r="K306" s="12"/>
    </row>
    <row r="307" spans="1:11" ht="15" customHeight="1">
      <c r="A307" s="15">
        <v>1051473377</v>
      </c>
      <c r="B307" s="13" t="s">
        <v>3105</v>
      </c>
      <c r="C307" s="13" t="s">
        <v>3106</v>
      </c>
      <c r="D307" s="14">
        <f>VLOOKUP(A307,'[1]ExportarAExcel (2)'!E:G,3,0)</f>
        <v>3214412412</v>
      </c>
      <c r="E307" s="13" t="s">
        <v>3107</v>
      </c>
      <c r="F307" s="13" t="s">
        <v>695</v>
      </c>
      <c r="G307" s="12"/>
      <c r="H307" s="16">
        <v>165000</v>
      </c>
      <c r="I307" s="12">
        <v>0</v>
      </c>
      <c r="J307" s="12">
        <v>0</v>
      </c>
      <c r="K307" s="12"/>
    </row>
    <row r="308" spans="1:11" ht="15" customHeight="1">
      <c r="A308" s="15">
        <v>1051474513</v>
      </c>
      <c r="B308" s="13" t="s">
        <v>3108</v>
      </c>
      <c r="C308" s="13" t="s">
        <v>3109</v>
      </c>
      <c r="D308" s="14">
        <f>VLOOKUP(A308,'[1]ExportarAExcel (2)'!E:G,3,0)</f>
        <v>3215257930</v>
      </c>
      <c r="E308" s="14" t="s">
        <v>2400</v>
      </c>
      <c r="F308" s="14" t="s">
        <v>695</v>
      </c>
      <c r="G308" s="12"/>
      <c r="H308" s="16">
        <v>126900</v>
      </c>
      <c r="I308" s="12">
        <v>0</v>
      </c>
      <c r="J308" s="12">
        <v>0</v>
      </c>
      <c r="K308" s="12"/>
    </row>
    <row r="309" spans="1:11" ht="15" customHeight="1">
      <c r="A309" s="15">
        <v>1051474743</v>
      </c>
      <c r="B309" s="13" t="s">
        <v>3110</v>
      </c>
      <c r="C309" s="13" t="s">
        <v>3111</v>
      </c>
      <c r="D309" s="14">
        <f>VLOOKUP(A309,'[1]ExportarAExcel (2)'!E:G,3,0)</f>
        <v>3133938557</v>
      </c>
      <c r="E309" s="13" t="s">
        <v>3112</v>
      </c>
      <c r="F309" s="13" t="s">
        <v>695</v>
      </c>
      <c r="G309" s="12"/>
      <c r="H309" s="16">
        <v>128333</v>
      </c>
      <c r="I309" s="12">
        <v>0</v>
      </c>
      <c r="J309" s="12">
        <v>0</v>
      </c>
      <c r="K309" s="12"/>
    </row>
    <row r="310" spans="1:11" ht="15" customHeight="1">
      <c r="A310" s="15">
        <v>1051474812</v>
      </c>
      <c r="B310" s="13" t="s">
        <v>3113</v>
      </c>
      <c r="C310" s="13" t="s">
        <v>3114</v>
      </c>
      <c r="D310" s="14">
        <f>VLOOKUP(A310,'[1]ExportarAExcel (2)'!E:G,3,0)</f>
        <v>3142277462</v>
      </c>
      <c r="E310" s="14" t="s">
        <v>2400</v>
      </c>
      <c r="F310" s="14" t="s">
        <v>695</v>
      </c>
      <c r="G310" s="12"/>
      <c r="H310" s="16">
        <v>3129000</v>
      </c>
      <c r="I310" s="12">
        <v>0</v>
      </c>
      <c r="J310" s="12">
        <v>0</v>
      </c>
      <c r="K310" s="12"/>
    </row>
    <row r="311" spans="1:11" ht="15" customHeight="1">
      <c r="A311" s="15">
        <v>1051475259</v>
      </c>
      <c r="B311" s="13" t="s">
        <v>3115</v>
      </c>
      <c r="C311" s="13" t="s">
        <v>3116</v>
      </c>
      <c r="D311" s="14">
        <f>VLOOKUP(A311,'[1]ExportarAExcel (2)'!E:G,3,0)</f>
        <v>3104801205</v>
      </c>
      <c r="E311" s="14" t="s">
        <v>2400</v>
      </c>
      <c r="F311" s="14" t="s">
        <v>695</v>
      </c>
      <c r="G311" s="12"/>
      <c r="H311" s="16">
        <v>1200000</v>
      </c>
      <c r="I311" s="12">
        <v>0</v>
      </c>
      <c r="J311" s="12">
        <v>0</v>
      </c>
      <c r="K311" s="12"/>
    </row>
    <row r="312" spans="1:11" ht="15" customHeight="1">
      <c r="A312" s="15">
        <v>1051475837</v>
      </c>
      <c r="B312" s="13" t="s">
        <v>3117</v>
      </c>
      <c r="C312" s="13" t="s">
        <v>3118</v>
      </c>
      <c r="D312" s="14">
        <f>VLOOKUP(A312,'[1]ExportarAExcel (2)'!E:G,3,0)</f>
        <v>3102953361</v>
      </c>
      <c r="E312" s="13" t="s">
        <v>3119</v>
      </c>
      <c r="F312" s="13" t="s">
        <v>695</v>
      </c>
      <c r="G312" s="12"/>
      <c r="H312" s="16">
        <v>250000</v>
      </c>
      <c r="I312" s="12">
        <v>0</v>
      </c>
      <c r="J312" s="12">
        <v>0</v>
      </c>
      <c r="K312" s="12"/>
    </row>
    <row r="313" spans="1:11" ht="15" customHeight="1">
      <c r="A313" s="15">
        <v>1051476089</v>
      </c>
      <c r="B313" s="13" t="s">
        <v>3120</v>
      </c>
      <c r="C313" s="13" t="s">
        <v>3121</v>
      </c>
      <c r="D313" s="14">
        <f>VLOOKUP(A313,'[1]ExportarAExcel (2)'!E:G,3,0)</f>
        <v>3136037279</v>
      </c>
      <c r="E313" s="14" t="s">
        <v>3122</v>
      </c>
      <c r="F313" s="14" t="s">
        <v>695</v>
      </c>
      <c r="G313" s="12"/>
      <c r="H313" s="16">
        <v>2429326</v>
      </c>
      <c r="I313" s="12">
        <v>0</v>
      </c>
      <c r="J313" s="12">
        <v>0</v>
      </c>
      <c r="K313" s="12"/>
    </row>
    <row r="314" spans="1:11" ht="15" customHeight="1">
      <c r="A314" s="15">
        <v>1051476102</v>
      </c>
      <c r="B314" s="13" t="s">
        <v>3123</v>
      </c>
      <c r="C314" s="13" t="s">
        <v>3124</v>
      </c>
      <c r="D314" s="14">
        <f>VLOOKUP(A314,'[1]ExportarAExcel (2)'!E:G,3,0)</f>
        <v>3138018037</v>
      </c>
      <c r="E314" s="13" t="s">
        <v>2400</v>
      </c>
      <c r="F314" s="13" t="s">
        <v>695</v>
      </c>
      <c r="G314" s="12"/>
      <c r="H314" s="16">
        <v>2835000</v>
      </c>
      <c r="I314" s="12">
        <v>0</v>
      </c>
      <c r="J314" s="12">
        <v>0</v>
      </c>
      <c r="K314" s="12"/>
    </row>
    <row r="315" spans="1:11" ht="15" customHeight="1">
      <c r="A315" s="15">
        <v>1051476841</v>
      </c>
      <c r="B315" s="13" t="s">
        <v>3125</v>
      </c>
      <c r="C315" s="13" t="s">
        <v>3126</v>
      </c>
      <c r="D315" s="14">
        <f>VLOOKUP(A315,'[1]ExportarAExcel (2)'!E:G,3,0)</f>
        <v>3133444902</v>
      </c>
      <c r="E315" s="13" t="s">
        <v>3127</v>
      </c>
      <c r="F315" s="13" t="s">
        <v>695</v>
      </c>
      <c r="G315" s="12"/>
      <c r="H315" s="16">
        <v>80000</v>
      </c>
      <c r="I315" s="12">
        <v>0</v>
      </c>
      <c r="J315" s="12">
        <v>0</v>
      </c>
      <c r="K315" s="12"/>
    </row>
    <row r="316" spans="1:11" ht="15" customHeight="1">
      <c r="A316" s="15">
        <v>1051477544</v>
      </c>
      <c r="B316" s="13" t="s">
        <v>3128</v>
      </c>
      <c r="C316" s="13" t="s">
        <v>3129</v>
      </c>
      <c r="D316" s="14">
        <f>VLOOKUP(A316,'[1]ExportarAExcel (2)'!E:G,3,0)</f>
        <v>3105412425</v>
      </c>
      <c r="E316" s="14" t="s">
        <v>3130</v>
      </c>
      <c r="F316" s="14" t="s">
        <v>695</v>
      </c>
      <c r="G316" s="12"/>
      <c r="H316" s="16">
        <v>156141</v>
      </c>
      <c r="I316" s="12">
        <v>0</v>
      </c>
      <c r="J316" s="12">
        <v>0</v>
      </c>
      <c r="K316" s="12"/>
    </row>
    <row r="317" spans="1:11" ht="15" customHeight="1">
      <c r="A317" s="15">
        <v>1051477752</v>
      </c>
      <c r="B317" s="13" t="s">
        <v>3131</v>
      </c>
      <c r="C317" s="13" t="s">
        <v>3132</v>
      </c>
      <c r="D317" s="14">
        <f>VLOOKUP(A317,'[1]ExportarAExcel (2)'!E:G,3,0)</f>
        <v>3145029812</v>
      </c>
      <c r="E317" s="14" t="s">
        <v>3133</v>
      </c>
      <c r="F317" s="14" t="s">
        <v>695</v>
      </c>
      <c r="G317" s="12"/>
      <c r="H317" s="16">
        <v>190500</v>
      </c>
      <c r="I317" s="12">
        <v>0</v>
      </c>
      <c r="J317" s="12">
        <v>0</v>
      </c>
      <c r="K317" s="12"/>
    </row>
    <row r="318" spans="1:11" ht="15" customHeight="1">
      <c r="A318" s="15">
        <v>1051477971</v>
      </c>
      <c r="B318" s="13" t="s">
        <v>3134</v>
      </c>
      <c r="C318" s="13" t="s">
        <v>3135</v>
      </c>
      <c r="D318" s="14">
        <f>VLOOKUP(A318,'[1]ExportarAExcel (2)'!E:G,3,0)</f>
        <v>3219306530</v>
      </c>
      <c r="E318" s="14" t="s">
        <v>3136</v>
      </c>
      <c r="F318" s="14" t="s">
        <v>695</v>
      </c>
      <c r="G318" s="12"/>
      <c r="H318" s="16">
        <v>19396000</v>
      </c>
      <c r="I318" s="12">
        <v>0</v>
      </c>
      <c r="J318" s="12">
        <v>0</v>
      </c>
      <c r="K318" s="12"/>
    </row>
    <row r="319" spans="1:11" ht="15" customHeight="1">
      <c r="A319" s="15">
        <v>1051590194</v>
      </c>
      <c r="B319" s="13" t="s">
        <v>3137</v>
      </c>
      <c r="C319" s="13" t="s">
        <v>3138</v>
      </c>
      <c r="D319" s="14">
        <f>VLOOKUP(A319,'[1]ExportarAExcel (2)'!E:G,3,0)</f>
        <v>3212194545</v>
      </c>
      <c r="E319" s="14" t="s">
        <v>3139</v>
      </c>
      <c r="F319" s="14" t="s">
        <v>560</v>
      </c>
      <c r="G319" s="12"/>
      <c r="H319" s="16">
        <v>3000000</v>
      </c>
      <c r="I319" s="12">
        <v>0</v>
      </c>
      <c r="J319" s="12">
        <v>0</v>
      </c>
      <c r="K319" s="12"/>
    </row>
    <row r="320" spans="1:11" ht="15" customHeight="1">
      <c r="A320" s="15">
        <v>1051590737</v>
      </c>
      <c r="B320" s="13" t="s">
        <v>3140</v>
      </c>
      <c r="C320" s="13" t="s">
        <v>3141</v>
      </c>
      <c r="D320" s="14">
        <f>VLOOKUP(A320,'[1]ExportarAExcel (2)'!E:G,3,0)</f>
        <v>3177723023</v>
      </c>
      <c r="E320" s="13" t="s">
        <v>2400</v>
      </c>
      <c r="F320" s="13" t="s">
        <v>695</v>
      </c>
      <c r="G320" s="12"/>
      <c r="H320" s="16">
        <v>3260000</v>
      </c>
      <c r="I320" s="12">
        <v>0</v>
      </c>
      <c r="J320" s="12">
        <v>0</v>
      </c>
      <c r="K320" s="12"/>
    </row>
    <row r="321" spans="1:11" ht="15" customHeight="1">
      <c r="A321" s="15">
        <v>1051954074</v>
      </c>
      <c r="B321" s="13" t="s">
        <v>3142</v>
      </c>
      <c r="C321" s="13" t="s">
        <v>3143</v>
      </c>
      <c r="D321" s="14">
        <f>VLOOKUP(A321,'[1]ExportarAExcel (2)'!E:G,3,0)</f>
        <v>3217055310</v>
      </c>
      <c r="E321" s="14" t="s">
        <v>2473</v>
      </c>
      <c r="F321" s="14" t="s">
        <v>679</v>
      </c>
      <c r="G321" s="12"/>
      <c r="H321" s="16">
        <v>362000</v>
      </c>
      <c r="I321" s="12">
        <v>0</v>
      </c>
      <c r="J321" s="12">
        <v>0</v>
      </c>
      <c r="K321" s="12"/>
    </row>
    <row r="322" spans="1:11" ht="15" customHeight="1">
      <c r="A322" s="15">
        <v>1052020713</v>
      </c>
      <c r="B322" s="13" t="s">
        <v>3144</v>
      </c>
      <c r="C322" s="13" t="s">
        <v>3145</v>
      </c>
      <c r="D322" s="14">
        <f>VLOOKUP(A322,'[1]ExportarAExcel (2)'!E:G,3,0)</f>
        <v>3118722686</v>
      </c>
      <c r="E322" s="14" t="s">
        <v>3146</v>
      </c>
      <c r="F322" s="14" t="s">
        <v>707</v>
      </c>
      <c r="G322" s="12"/>
      <c r="H322" s="16">
        <v>420000</v>
      </c>
      <c r="I322" s="12">
        <v>0</v>
      </c>
      <c r="J322" s="12">
        <v>0</v>
      </c>
      <c r="K322" s="12"/>
    </row>
    <row r="323" spans="1:11" ht="15" customHeight="1">
      <c r="A323" s="15">
        <v>1052312544</v>
      </c>
      <c r="B323" s="13" t="s">
        <v>3147</v>
      </c>
      <c r="C323" s="13" t="s">
        <v>3148</v>
      </c>
      <c r="D323" s="14">
        <f>VLOOKUP(A323,'[1]ExportarAExcel (2)'!E:G,3,0)</f>
        <v>3224634295</v>
      </c>
      <c r="E323" s="13" t="s">
        <v>3149</v>
      </c>
      <c r="F323" s="13" t="s">
        <v>721</v>
      </c>
      <c r="G323" s="12"/>
      <c r="H323" s="16">
        <v>500000</v>
      </c>
      <c r="I323" s="12">
        <v>0</v>
      </c>
      <c r="J323" s="12">
        <v>0</v>
      </c>
      <c r="K323" s="12"/>
    </row>
    <row r="324" spans="1:11" ht="15" customHeight="1">
      <c r="A324" s="15">
        <v>1052312771</v>
      </c>
      <c r="B324" s="13" t="s">
        <v>3150</v>
      </c>
      <c r="C324" s="13" t="s">
        <v>3151</v>
      </c>
      <c r="D324" s="14">
        <f>VLOOKUP(A324,'[1]ExportarAExcel (2)'!E:G,3,0)</f>
        <v>3102344318</v>
      </c>
      <c r="E324" s="14" t="s">
        <v>3152</v>
      </c>
      <c r="F324" s="14" t="s">
        <v>721</v>
      </c>
      <c r="G324" s="12"/>
      <c r="H324" s="16">
        <v>210000</v>
      </c>
      <c r="I324" s="12">
        <v>0</v>
      </c>
      <c r="J324" s="12">
        <v>0</v>
      </c>
      <c r="K324" s="12"/>
    </row>
    <row r="325" spans="1:11" ht="15" customHeight="1">
      <c r="A325" s="15">
        <v>1052313606</v>
      </c>
      <c r="B325" s="13" t="s">
        <v>3153</v>
      </c>
      <c r="C325" s="13" t="s">
        <v>3154</v>
      </c>
      <c r="D325" s="14">
        <f>VLOOKUP(A325,'[1]ExportarAExcel (2)'!E:G,3,0)</f>
        <v>3208155600</v>
      </c>
      <c r="E325" s="14" t="s">
        <v>3155</v>
      </c>
      <c r="F325" s="14" t="s">
        <v>721</v>
      </c>
      <c r="G325" s="12"/>
      <c r="H325" s="16">
        <v>110000</v>
      </c>
      <c r="I325" s="12">
        <v>0</v>
      </c>
      <c r="J325" s="12">
        <v>0</v>
      </c>
      <c r="K325" s="12"/>
    </row>
    <row r="326" spans="1:11" ht="15" customHeight="1">
      <c r="A326" s="15">
        <v>1052390336</v>
      </c>
      <c r="B326" s="13" t="s">
        <v>3156</v>
      </c>
      <c r="C326" s="13" t="s">
        <v>3157</v>
      </c>
      <c r="D326" s="14">
        <f>VLOOKUP(A326,'[1]ExportarAExcel (2)'!E:G,3,0)</f>
        <v>3143231244</v>
      </c>
      <c r="E326" s="13" t="s">
        <v>3158</v>
      </c>
      <c r="F326" s="13" t="s">
        <v>729</v>
      </c>
      <c r="G326" s="12"/>
      <c r="H326" s="16">
        <v>900000</v>
      </c>
      <c r="I326" s="12">
        <v>0</v>
      </c>
      <c r="J326" s="12">
        <v>0</v>
      </c>
      <c r="K326" s="12"/>
    </row>
    <row r="327" spans="1:11" ht="15" customHeight="1">
      <c r="A327" s="15">
        <v>1052396657</v>
      </c>
      <c r="B327" s="13" t="s">
        <v>3159</v>
      </c>
      <c r="C327" s="13" t="s">
        <v>3160</v>
      </c>
      <c r="D327" s="14">
        <f>VLOOKUP(A327,'[1]ExportarAExcel (2)'!E:G,3,0)</f>
        <v>3108831069</v>
      </c>
      <c r="E327" s="14" t="s">
        <v>2359</v>
      </c>
      <c r="F327" s="14" t="s">
        <v>649</v>
      </c>
      <c r="G327" s="12"/>
      <c r="H327" s="16">
        <v>960000</v>
      </c>
      <c r="I327" s="12">
        <v>0</v>
      </c>
      <c r="J327" s="12">
        <v>0</v>
      </c>
      <c r="K327" s="12"/>
    </row>
    <row r="328" spans="1:11" ht="15" customHeight="1">
      <c r="A328" s="15">
        <v>1052398038</v>
      </c>
      <c r="B328" s="13" t="s">
        <v>3161</v>
      </c>
      <c r="C328" s="13" t="s">
        <v>3162</v>
      </c>
      <c r="D328" s="14">
        <f>VLOOKUP(A328,'[1]ExportarAExcel (2)'!E:G,3,0)</f>
        <v>3134453676</v>
      </c>
      <c r="E328" s="14" t="s">
        <v>3163</v>
      </c>
      <c r="F328" s="14" t="s">
        <v>717</v>
      </c>
      <c r="G328" s="12"/>
      <c r="H328" s="16">
        <v>6000000</v>
      </c>
      <c r="I328" s="12">
        <v>0</v>
      </c>
      <c r="J328" s="12">
        <v>0</v>
      </c>
      <c r="K328" s="12"/>
    </row>
    <row r="329" spans="1:11" ht="15" customHeight="1">
      <c r="A329" s="15">
        <v>1052403933</v>
      </c>
      <c r="B329" s="13" t="s">
        <v>3164</v>
      </c>
      <c r="C329" s="13" t="s">
        <v>2251</v>
      </c>
      <c r="D329" s="14">
        <f>VLOOKUP(A329,'[1]ExportarAExcel (2)'!E:G,3,0)</f>
        <v>3115135371</v>
      </c>
      <c r="E329" s="14" t="s">
        <v>3165</v>
      </c>
      <c r="F329" s="14" t="s">
        <v>713</v>
      </c>
      <c r="G329" s="12"/>
      <c r="H329" s="16">
        <v>52044000</v>
      </c>
      <c r="I329" s="12">
        <v>0</v>
      </c>
      <c r="J329" s="12">
        <v>0</v>
      </c>
      <c r="K329" s="12"/>
    </row>
    <row r="330" spans="1:11" ht="15" customHeight="1">
      <c r="A330" s="15">
        <v>1052404886</v>
      </c>
      <c r="B330" s="13" t="s">
        <v>3166</v>
      </c>
      <c r="C330" s="13" t="s">
        <v>3167</v>
      </c>
      <c r="D330" s="14">
        <f>VLOOKUP(A330,'[1]ExportarAExcel (2)'!E:G,3,0)</f>
        <v>3124425239</v>
      </c>
      <c r="E330" s="13" t="s">
        <v>3168</v>
      </c>
      <c r="F330" s="13" t="s">
        <v>713</v>
      </c>
      <c r="G330" s="12"/>
      <c r="H330" s="16">
        <v>280000</v>
      </c>
      <c r="I330" s="12">
        <v>0</v>
      </c>
      <c r="J330" s="12">
        <v>0</v>
      </c>
      <c r="K330" s="12"/>
    </row>
    <row r="331" spans="1:11" ht="15" customHeight="1">
      <c r="A331" s="15">
        <v>1052407363</v>
      </c>
      <c r="B331" s="13" t="s">
        <v>3169</v>
      </c>
      <c r="C331" s="13" t="s">
        <v>3170</v>
      </c>
      <c r="D331" s="14">
        <f>VLOOKUP(A331,'[1]ExportarAExcel (2)'!E:G,3,0)</f>
        <v>3124570682</v>
      </c>
      <c r="E331" s="14" t="s">
        <v>2648</v>
      </c>
      <c r="F331" s="14" t="s">
        <v>558</v>
      </c>
      <c r="G331" s="12"/>
      <c r="H331" s="16">
        <v>21025000</v>
      </c>
      <c r="I331" s="12">
        <v>0</v>
      </c>
      <c r="J331" s="12">
        <v>0</v>
      </c>
      <c r="K331" s="12"/>
    </row>
    <row r="332" spans="1:11" ht="15" customHeight="1">
      <c r="A332" s="15">
        <v>1052409637</v>
      </c>
      <c r="B332" s="13" t="s">
        <v>3171</v>
      </c>
      <c r="C332" s="13" t="s">
        <v>3172</v>
      </c>
      <c r="D332" s="14">
        <f>VLOOKUP(A332,'[1]ExportarAExcel (2)'!E:G,3,0)</f>
        <v>3212507339</v>
      </c>
      <c r="E332" s="14" t="s">
        <v>3173</v>
      </c>
      <c r="F332" s="14" t="s">
        <v>558</v>
      </c>
      <c r="G332" s="12"/>
      <c r="H332" s="16">
        <v>28000000</v>
      </c>
      <c r="I332" s="12">
        <v>0</v>
      </c>
      <c r="J332" s="12">
        <v>0</v>
      </c>
      <c r="K332" s="12"/>
    </row>
    <row r="333" spans="1:11" ht="15" customHeight="1">
      <c r="A333" s="15">
        <v>1052411745</v>
      </c>
      <c r="B333" s="13" t="s">
        <v>3174</v>
      </c>
      <c r="C333" s="13" t="s">
        <v>3175</v>
      </c>
      <c r="D333" s="14">
        <f>VLOOKUP(A333,'[1]ExportarAExcel (2)'!E:G,3,0)</f>
        <v>3115887824</v>
      </c>
      <c r="E333" s="14" t="s">
        <v>3176</v>
      </c>
      <c r="F333" s="14" t="s">
        <v>713</v>
      </c>
      <c r="G333" s="12"/>
      <c r="H333" s="16">
        <v>200000</v>
      </c>
      <c r="I333" s="12">
        <v>0</v>
      </c>
      <c r="J333" s="12">
        <v>0</v>
      </c>
      <c r="K333" s="12"/>
    </row>
    <row r="334" spans="1:11" ht="15" customHeight="1">
      <c r="A334" s="15">
        <v>1052412594</v>
      </c>
      <c r="B334" s="13" t="s">
        <v>3177</v>
      </c>
      <c r="C334" s="13" t="s">
        <v>3178</v>
      </c>
      <c r="D334" s="14">
        <f>VLOOKUP(A334,'[1]ExportarAExcel (2)'!E:G,3,0)</f>
        <v>0</v>
      </c>
      <c r="E334" s="14" t="s">
        <v>3179</v>
      </c>
      <c r="F334" s="14" t="s">
        <v>750</v>
      </c>
      <c r="G334" s="12"/>
      <c r="H334" s="16">
        <v>3500000</v>
      </c>
      <c r="I334" s="12">
        <v>0</v>
      </c>
      <c r="J334" s="12">
        <v>0</v>
      </c>
      <c r="K334" s="12"/>
    </row>
    <row r="335" spans="1:11" ht="15" customHeight="1">
      <c r="A335" s="15">
        <v>1052413409</v>
      </c>
      <c r="B335" s="13" t="s">
        <v>3180</v>
      </c>
      <c r="C335" s="13" t="s">
        <v>3181</v>
      </c>
      <c r="D335" s="14">
        <f>VLOOKUP(A335,'[1]ExportarAExcel (2)'!E:G,3,0)</f>
        <v>3232354349</v>
      </c>
      <c r="E335" s="14" t="s">
        <v>3139</v>
      </c>
      <c r="F335" s="14" t="s">
        <v>560</v>
      </c>
      <c r="G335" s="12"/>
      <c r="H335" s="16">
        <v>2863848</v>
      </c>
      <c r="I335" s="12">
        <v>0</v>
      </c>
      <c r="J335" s="12">
        <v>0</v>
      </c>
      <c r="K335" s="12"/>
    </row>
    <row r="336" spans="1:11" ht="15" customHeight="1">
      <c r="A336" s="15">
        <v>1052836179</v>
      </c>
      <c r="B336" s="13" t="s">
        <v>3182</v>
      </c>
      <c r="C336" s="13" t="s">
        <v>2250</v>
      </c>
      <c r="D336" s="14">
        <f>VLOOKUP(A336,'[1]ExportarAExcel (2)'!E:G,3,0)</f>
        <v>3024726322</v>
      </c>
      <c r="E336" s="13" t="s">
        <v>2400</v>
      </c>
      <c r="F336" s="13" t="s">
        <v>695</v>
      </c>
      <c r="G336" s="12"/>
      <c r="H336" s="16">
        <v>3000000</v>
      </c>
      <c r="I336" s="12">
        <v>0</v>
      </c>
      <c r="J336" s="12">
        <v>0</v>
      </c>
      <c r="K336" s="12"/>
    </row>
    <row r="337" spans="1:11" ht="15" customHeight="1">
      <c r="A337" s="15">
        <v>1053302127</v>
      </c>
      <c r="B337" s="13" t="s">
        <v>3183</v>
      </c>
      <c r="C337" s="13" t="s">
        <v>3184</v>
      </c>
      <c r="D337" s="14">
        <f>VLOOKUP(A337,'[1]ExportarAExcel (2)'!E:G,3,0)</f>
        <v>3223787523</v>
      </c>
      <c r="E337" s="13" t="s">
        <v>3185</v>
      </c>
      <c r="F337" s="13" t="s">
        <v>727</v>
      </c>
      <c r="G337" s="12"/>
      <c r="H337" s="16">
        <v>335000</v>
      </c>
      <c r="I337" s="12">
        <v>0</v>
      </c>
      <c r="J337" s="12">
        <v>0</v>
      </c>
      <c r="K337" s="12"/>
    </row>
    <row r="338" spans="1:11" ht="15" customHeight="1">
      <c r="A338" s="15">
        <v>1053302343</v>
      </c>
      <c r="B338" s="13" t="s">
        <v>3186</v>
      </c>
      <c r="C338" s="13" t="s">
        <v>3187</v>
      </c>
      <c r="D338" s="14">
        <f>VLOOKUP(A338,'[1]ExportarAExcel (2)'!E:G,3,0)</f>
        <v>3145766256</v>
      </c>
      <c r="E338" s="13" t="s">
        <v>3188</v>
      </c>
      <c r="F338" s="13" t="s">
        <v>727</v>
      </c>
      <c r="G338" s="12"/>
      <c r="H338" s="16">
        <v>1719</v>
      </c>
      <c r="I338" s="12">
        <v>0</v>
      </c>
      <c r="J338" s="12">
        <v>0</v>
      </c>
      <c r="K338" s="12"/>
    </row>
    <row r="339" spans="1:11" ht="15" customHeight="1">
      <c r="A339" s="15">
        <v>1053325446</v>
      </c>
      <c r="B339" s="13" t="s">
        <v>3189</v>
      </c>
      <c r="C339" s="13" t="s">
        <v>3190</v>
      </c>
      <c r="D339" s="14">
        <f>VLOOKUP(A339,'[1]ExportarAExcel (2)'!E:G,3,0)</f>
        <v>3208779874</v>
      </c>
      <c r="E339" s="13" t="s">
        <v>3191</v>
      </c>
      <c r="F339" s="13" t="s">
        <v>679</v>
      </c>
      <c r="G339" s="12"/>
      <c r="H339" s="16">
        <v>170000</v>
      </c>
      <c r="I339" s="12">
        <v>0</v>
      </c>
      <c r="J339" s="12">
        <v>0</v>
      </c>
      <c r="K339" s="12"/>
    </row>
    <row r="340" spans="1:11" ht="15" customHeight="1">
      <c r="A340" s="15">
        <v>1053334173</v>
      </c>
      <c r="B340" s="13" t="s">
        <v>3192</v>
      </c>
      <c r="C340" s="13" t="s">
        <v>3193</v>
      </c>
      <c r="D340" s="14">
        <f>VLOOKUP(A340,'[1]ExportarAExcel (2)'!E:G,3,0)</f>
        <v>3143621057</v>
      </c>
      <c r="E340" s="13" t="s">
        <v>3194</v>
      </c>
      <c r="F340" s="13" t="s">
        <v>649</v>
      </c>
      <c r="G340" s="12"/>
      <c r="H340" s="16">
        <v>160000</v>
      </c>
      <c r="I340" s="12">
        <v>0</v>
      </c>
      <c r="J340" s="12">
        <v>0</v>
      </c>
      <c r="K340" s="12"/>
    </row>
    <row r="341" spans="1:11" ht="15" customHeight="1">
      <c r="A341" s="15">
        <v>1053343253</v>
      </c>
      <c r="B341" s="13" t="s">
        <v>3195</v>
      </c>
      <c r="C341" s="13" t="s">
        <v>3196</v>
      </c>
      <c r="D341" s="14">
        <f>VLOOKUP(A341,'[1]ExportarAExcel (2)'!E:G,3,0)</f>
        <v>0</v>
      </c>
      <c r="E341" s="13" t="s">
        <v>2960</v>
      </c>
      <c r="F341" s="13" t="s">
        <v>649</v>
      </c>
      <c r="G341" s="12"/>
      <c r="H341" s="16">
        <f>1600000+7200000</f>
        <v>8800000</v>
      </c>
      <c r="I341" s="12">
        <v>0</v>
      </c>
      <c r="J341" s="12">
        <v>0</v>
      </c>
      <c r="K341" s="12"/>
    </row>
    <row r="342" spans="1:11" ht="15" customHeight="1">
      <c r="A342" s="15">
        <v>1053349386</v>
      </c>
      <c r="B342" s="13" t="s">
        <v>3197</v>
      </c>
      <c r="C342" s="13" t="s">
        <v>3198</v>
      </c>
      <c r="D342" s="14">
        <f>VLOOKUP(A342,'[1]ExportarAExcel (2)'!E:G,3,0)</f>
        <v>3124007164</v>
      </c>
      <c r="E342" s="13" t="s">
        <v>3199</v>
      </c>
      <c r="F342" s="13" t="s">
        <v>649</v>
      </c>
      <c r="G342" s="12"/>
      <c r="H342" s="16">
        <v>70000</v>
      </c>
      <c r="I342" s="12">
        <v>0</v>
      </c>
      <c r="J342" s="12">
        <v>0</v>
      </c>
      <c r="K342" s="12"/>
    </row>
    <row r="343" spans="1:11" ht="15" customHeight="1">
      <c r="A343" s="15">
        <v>1053351189</v>
      </c>
      <c r="B343" s="13" t="s">
        <v>3200</v>
      </c>
      <c r="C343" s="13" t="s">
        <v>3201</v>
      </c>
      <c r="D343" s="14">
        <f>VLOOKUP(A343,'[1]ExportarAExcel (2)'!E:G,3,0)</f>
        <v>3128659986</v>
      </c>
      <c r="E343" s="14" t="s">
        <v>3202</v>
      </c>
      <c r="F343" s="14" t="s">
        <v>649</v>
      </c>
      <c r="G343" s="12"/>
      <c r="H343" s="16">
        <f>2500000+245874</f>
        <v>2745874</v>
      </c>
      <c r="I343" s="12">
        <v>0</v>
      </c>
      <c r="J343" s="12">
        <v>0</v>
      </c>
      <c r="K343" s="12"/>
    </row>
    <row r="344" spans="1:11" ht="15" customHeight="1">
      <c r="A344" s="15">
        <v>1053443043</v>
      </c>
      <c r="B344" s="13" t="s">
        <v>3203</v>
      </c>
      <c r="C344" s="13" t="s">
        <v>3204</v>
      </c>
      <c r="D344" s="14">
        <f>VLOOKUP(A344,'[1]ExportarAExcel (2)'!E:G,3,0)</f>
        <v>3217298723</v>
      </c>
      <c r="E344" s="13" t="s">
        <v>3205</v>
      </c>
      <c r="F344" s="13" t="s">
        <v>733</v>
      </c>
      <c r="G344" s="12">
        <v>334</v>
      </c>
      <c r="H344" s="16">
        <v>5500000</v>
      </c>
      <c r="I344" s="12">
        <v>55000</v>
      </c>
      <c r="J344" s="12"/>
      <c r="K344" s="12"/>
    </row>
    <row r="345" spans="1:11" ht="15" customHeight="1">
      <c r="A345" s="15">
        <v>1053538041</v>
      </c>
      <c r="B345" s="13" t="s">
        <v>3206</v>
      </c>
      <c r="C345" s="13" t="s">
        <v>3207</v>
      </c>
      <c r="D345" s="14">
        <f>VLOOKUP(A345,'[1]ExportarAExcel (2)'!E:G,3,0)</f>
        <v>3144012792</v>
      </c>
      <c r="E345" s="13" t="s">
        <v>3208</v>
      </c>
      <c r="F345" s="13" t="s">
        <v>703</v>
      </c>
      <c r="G345" s="12"/>
      <c r="H345" s="16">
        <v>505600</v>
      </c>
      <c r="I345" s="12">
        <v>0</v>
      </c>
      <c r="J345" s="12">
        <v>0</v>
      </c>
      <c r="K345" s="12"/>
    </row>
    <row r="346" spans="1:11" ht="15" customHeight="1">
      <c r="A346" s="15">
        <v>1053538164</v>
      </c>
      <c r="B346" s="13" t="s">
        <v>3209</v>
      </c>
      <c r="C346" s="13" t="s">
        <v>3210</v>
      </c>
      <c r="D346" s="14">
        <f>VLOOKUP(A346,'[1]ExportarAExcel (2)'!E:G,3,0)</f>
        <v>3202946436</v>
      </c>
      <c r="E346" s="14" t="s">
        <v>3208</v>
      </c>
      <c r="F346" s="14" t="s">
        <v>703</v>
      </c>
      <c r="G346" s="12"/>
      <c r="H346" s="16">
        <v>160000</v>
      </c>
      <c r="I346" s="12">
        <v>0</v>
      </c>
      <c r="J346" s="12">
        <v>0</v>
      </c>
      <c r="K346" s="12"/>
    </row>
    <row r="347" spans="1:11" ht="15" customHeight="1">
      <c r="A347" s="15">
        <v>1053538287</v>
      </c>
      <c r="B347" s="13" t="s">
        <v>3211</v>
      </c>
      <c r="C347" s="13" t="s">
        <v>3212</v>
      </c>
      <c r="D347" s="14">
        <f>VLOOKUP(A347,'[1]ExportarAExcel (2)'!E:G,3,0)</f>
        <v>3028025941</v>
      </c>
      <c r="E347" s="14" t="s">
        <v>3213</v>
      </c>
      <c r="F347" s="14" t="s">
        <v>703</v>
      </c>
      <c r="G347" s="12"/>
      <c r="H347" s="16">
        <v>340000</v>
      </c>
      <c r="I347" s="12">
        <v>0</v>
      </c>
      <c r="J347" s="12">
        <v>0</v>
      </c>
      <c r="K347" s="12"/>
    </row>
    <row r="348" spans="1:11" ht="15" customHeight="1">
      <c r="A348" s="15">
        <v>1053538382</v>
      </c>
      <c r="B348" s="13" t="s">
        <v>3214</v>
      </c>
      <c r="C348" s="13" t="s">
        <v>3215</v>
      </c>
      <c r="D348" s="14">
        <f>VLOOKUP(A348,'[1]ExportarAExcel (2)'!E:G,3,0)</f>
        <v>3208163461</v>
      </c>
      <c r="E348" s="14" t="s">
        <v>3216</v>
      </c>
      <c r="F348" s="14" t="s">
        <v>703</v>
      </c>
      <c r="G348" s="12"/>
      <c r="H348" s="16">
        <v>80000</v>
      </c>
      <c r="I348" s="12">
        <v>0</v>
      </c>
      <c r="J348" s="12">
        <v>0</v>
      </c>
      <c r="K348" s="12"/>
    </row>
    <row r="349" spans="1:11" ht="15" customHeight="1">
      <c r="A349" s="15">
        <v>1053538383</v>
      </c>
      <c r="B349" s="13" t="s">
        <v>3217</v>
      </c>
      <c r="C349" s="13" t="s">
        <v>3218</v>
      </c>
      <c r="D349" s="14">
        <f>VLOOKUP(A349,'[1]ExportarAExcel (2)'!E:G,3,0)</f>
        <v>3148249427</v>
      </c>
      <c r="E349" s="14" t="s">
        <v>3219</v>
      </c>
      <c r="F349" s="14" t="s">
        <v>703</v>
      </c>
      <c r="G349" s="12"/>
      <c r="H349" s="16">
        <v>600000</v>
      </c>
      <c r="I349" s="12">
        <v>0</v>
      </c>
      <c r="J349" s="12">
        <v>0</v>
      </c>
      <c r="K349" s="12"/>
    </row>
    <row r="350" spans="1:11" ht="15" customHeight="1">
      <c r="A350" s="15">
        <v>1053586827</v>
      </c>
      <c r="B350" s="13" t="s">
        <v>3220</v>
      </c>
      <c r="C350" s="13" t="s">
        <v>3221</v>
      </c>
      <c r="D350" s="14">
        <f>VLOOKUP(A350,'[1]ExportarAExcel (2)'!E:G,3,0)</f>
        <v>3208837342</v>
      </c>
      <c r="E350" s="14" t="s">
        <v>3222</v>
      </c>
      <c r="F350" s="14" t="s">
        <v>709</v>
      </c>
      <c r="G350" s="12"/>
      <c r="H350" s="16">
        <v>3000000</v>
      </c>
      <c r="I350" s="12">
        <v>0</v>
      </c>
      <c r="J350" s="12">
        <v>0</v>
      </c>
      <c r="K350" s="12"/>
    </row>
    <row r="351" spans="1:11" ht="15" customHeight="1">
      <c r="A351" s="15">
        <v>1053587889</v>
      </c>
      <c r="B351" s="13" t="s">
        <v>3223</v>
      </c>
      <c r="C351" s="13" t="s">
        <v>3224</v>
      </c>
      <c r="D351" s="14">
        <f>VLOOKUP(A351,'[1]ExportarAExcel (2)'!E:G,3,0)</f>
        <v>3146647030</v>
      </c>
      <c r="E351" s="13" t="s">
        <v>3225</v>
      </c>
      <c r="F351" s="13" t="s">
        <v>713</v>
      </c>
      <c r="G351" s="12"/>
      <c r="H351" s="16">
        <v>360000</v>
      </c>
      <c r="I351" s="12">
        <v>0</v>
      </c>
      <c r="J351" s="12">
        <v>0</v>
      </c>
      <c r="K351" s="12"/>
    </row>
    <row r="352" spans="1:11" ht="15" customHeight="1">
      <c r="A352" s="15">
        <v>1053607006</v>
      </c>
      <c r="B352" s="13" t="s">
        <v>3226</v>
      </c>
      <c r="C352" s="13" t="s">
        <v>3227</v>
      </c>
      <c r="D352" s="14">
        <f>VLOOKUP(A352,'[1]ExportarAExcel (2)'!E:G,3,0)</f>
        <v>3222169004</v>
      </c>
      <c r="E352" s="14" t="s">
        <v>3228</v>
      </c>
      <c r="F352" s="14" t="s">
        <v>554</v>
      </c>
      <c r="G352" s="12"/>
      <c r="H352" s="16">
        <v>68350033</v>
      </c>
      <c r="I352" s="12">
        <v>0</v>
      </c>
      <c r="J352" s="12">
        <v>0</v>
      </c>
      <c r="K352" s="12"/>
    </row>
    <row r="353" spans="1:11" ht="15" customHeight="1">
      <c r="A353" s="15">
        <v>1053611804</v>
      </c>
      <c r="B353" s="13" t="s">
        <v>3229</v>
      </c>
      <c r="C353" s="13" t="s">
        <v>3230</v>
      </c>
      <c r="D353" s="14">
        <f>VLOOKUP(A353,'[1]ExportarAExcel (2)'!E:G,3,0)</f>
        <v>3222140362</v>
      </c>
      <c r="E353" s="13" t="s">
        <v>3231</v>
      </c>
      <c r="F353" s="13" t="s">
        <v>733</v>
      </c>
      <c r="G353" s="12">
        <v>307</v>
      </c>
      <c r="H353" s="16">
        <v>11919142.859999999</v>
      </c>
      <c r="I353" s="12">
        <v>83434</v>
      </c>
      <c r="J353" s="12"/>
      <c r="K353" s="12"/>
    </row>
    <row r="354" spans="1:11" ht="15" customHeight="1">
      <c r="A354" s="15">
        <v>1053615973</v>
      </c>
      <c r="B354" s="13" t="s">
        <v>3232</v>
      </c>
      <c r="C354" s="13" t="s">
        <v>3233</v>
      </c>
      <c r="D354" s="14">
        <f>VLOOKUP(A354,'[1]ExportarAExcel (2)'!E:G,3,0)</f>
        <v>3124899587</v>
      </c>
      <c r="E354" s="14" t="s">
        <v>2400</v>
      </c>
      <c r="F354" s="14" t="s">
        <v>695</v>
      </c>
      <c r="G354" s="12"/>
      <c r="H354" s="16">
        <v>6000000</v>
      </c>
      <c r="I354" s="12">
        <v>0</v>
      </c>
      <c r="J354" s="12">
        <v>0</v>
      </c>
      <c r="K354" s="12"/>
    </row>
    <row r="355" spans="1:11" ht="15" customHeight="1">
      <c r="A355" s="15">
        <v>1053664109</v>
      </c>
      <c r="B355" s="13" t="s">
        <v>3234</v>
      </c>
      <c r="C355" s="13" t="s">
        <v>3235</v>
      </c>
      <c r="D355" s="14">
        <f>VLOOKUP(A355,'[1]ExportarAExcel (2)'!E:G,3,0)</f>
        <v>3202602237</v>
      </c>
      <c r="E355" s="14" t="s">
        <v>3236</v>
      </c>
      <c r="F355" s="14" t="s">
        <v>750</v>
      </c>
      <c r="G355" s="12"/>
      <c r="H355" s="16">
        <v>7220000</v>
      </c>
      <c r="I355" s="12">
        <v>0</v>
      </c>
      <c r="J355" s="12">
        <v>0</v>
      </c>
      <c r="K355" s="12"/>
    </row>
    <row r="356" spans="1:11" ht="15" customHeight="1">
      <c r="A356" s="15">
        <v>1053665228</v>
      </c>
      <c r="B356" s="13" t="s">
        <v>3237</v>
      </c>
      <c r="C356" s="13" t="s">
        <v>3238</v>
      </c>
      <c r="D356" s="14">
        <f>VLOOKUP(A356,'[1]ExportarAExcel (2)'!E:G,3,0)</f>
        <v>3133582445</v>
      </c>
      <c r="E356" s="13" t="s">
        <v>3239</v>
      </c>
      <c r="F356" s="13" t="s">
        <v>746</v>
      </c>
      <c r="G356" s="12"/>
      <c r="H356" s="16">
        <v>140000</v>
      </c>
      <c r="I356" s="12">
        <v>0</v>
      </c>
      <c r="J356" s="12">
        <v>0</v>
      </c>
      <c r="K356" s="12"/>
    </row>
    <row r="357" spans="1:11" ht="15" customHeight="1">
      <c r="A357" s="15">
        <v>1053800223</v>
      </c>
      <c r="B357" s="13" t="s">
        <v>3240</v>
      </c>
      <c r="C357" s="13" t="s">
        <v>3241</v>
      </c>
      <c r="D357" s="14">
        <f>VLOOKUP(A357,'[1]ExportarAExcel (2)'!E:G,3,0)</f>
        <v>3133984722</v>
      </c>
      <c r="E357" s="14" t="s">
        <v>3242</v>
      </c>
      <c r="F357" s="14" t="s">
        <v>695</v>
      </c>
      <c r="G357" s="12"/>
      <c r="H357" s="16">
        <v>1668450</v>
      </c>
      <c r="I357" s="12">
        <v>0</v>
      </c>
      <c r="J357" s="12">
        <v>0</v>
      </c>
      <c r="K357" s="12"/>
    </row>
    <row r="358" spans="1:11" ht="15" customHeight="1">
      <c r="A358" s="15">
        <v>1054064776</v>
      </c>
      <c r="B358" s="13" t="s">
        <v>3243</v>
      </c>
      <c r="C358" s="13" t="s">
        <v>3244</v>
      </c>
      <c r="D358" s="14">
        <f>VLOOKUP(A358,'[1]ExportarAExcel (2)'!E:G,3,0)</f>
        <v>3172986723</v>
      </c>
      <c r="E358" s="14" t="s">
        <v>2990</v>
      </c>
      <c r="F358" s="14" t="s">
        <v>717</v>
      </c>
      <c r="G358" s="12"/>
      <c r="H358" s="16">
        <v>1000000</v>
      </c>
      <c r="I358" s="12">
        <v>0</v>
      </c>
      <c r="J358" s="12">
        <v>0</v>
      </c>
      <c r="K358" s="12"/>
    </row>
    <row r="359" spans="1:11" ht="15" customHeight="1">
      <c r="A359" s="15">
        <v>1054092174</v>
      </c>
      <c r="B359" s="13" t="s">
        <v>3245</v>
      </c>
      <c r="C359" s="13" t="s">
        <v>3246</v>
      </c>
      <c r="D359" s="14">
        <f>VLOOKUP(A359,'[1]ExportarAExcel (2)'!E:G,3,0)</f>
        <v>3177007428</v>
      </c>
      <c r="E359" s="13" t="s">
        <v>3247</v>
      </c>
      <c r="F359" s="13" t="s">
        <v>649</v>
      </c>
      <c r="G359" s="12"/>
      <c r="H359" s="16">
        <v>25278</v>
      </c>
      <c r="I359" s="12">
        <v>0</v>
      </c>
      <c r="J359" s="12">
        <v>0</v>
      </c>
      <c r="K359" s="12"/>
    </row>
    <row r="360" spans="1:11" ht="15" customHeight="1">
      <c r="A360" s="15">
        <v>1054284506</v>
      </c>
      <c r="B360" s="13" t="s">
        <v>3248</v>
      </c>
      <c r="C360" s="13" t="s">
        <v>3249</v>
      </c>
      <c r="D360" s="14">
        <f>VLOOKUP(A360,'[1]ExportarAExcel (2)'!E:G,3,0)</f>
        <v>3144354156</v>
      </c>
      <c r="E360" s="13" t="s">
        <v>3250</v>
      </c>
      <c r="F360" s="13" t="s">
        <v>713</v>
      </c>
      <c r="G360" s="12"/>
      <c r="H360" s="16">
        <v>140000</v>
      </c>
      <c r="I360" s="12">
        <v>0</v>
      </c>
      <c r="J360" s="12">
        <v>0</v>
      </c>
      <c r="K360" s="12"/>
    </row>
    <row r="361" spans="1:11" ht="15" customHeight="1">
      <c r="A361" s="15">
        <v>1055228565</v>
      </c>
      <c r="B361" s="13" t="s">
        <v>3251</v>
      </c>
      <c r="C361" s="13" t="s">
        <v>3252</v>
      </c>
      <c r="D361" s="14">
        <f>VLOOKUP(A361,'[1]ExportarAExcel (2)'!E:G,3,0)</f>
        <v>3207323254</v>
      </c>
      <c r="E361" s="14" t="s">
        <v>3253</v>
      </c>
      <c r="F361" s="14" t="s">
        <v>677</v>
      </c>
      <c r="G361" s="12"/>
      <c r="H361" s="16">
        <v>1160000</v>
      </c>
      <c r="I361" s="12">
        <v>0</v>
      </c>
      <c r="J361" s="12">
        <v>0</v>
      </c>
      <c r="K361" s="12"/>
    </row>
    <row r="362" spans="1:11" ht="15" customHeight="1">
      <c r="A362" s="15">
        <v>1055332693</v>
      </c>
      <c r="B362" s="13" t="s">
        <v>3254</v>
      </c>
      <c r="C362" s="13" t="s">
        <v>2265</v>
      </c>
      <c r="D362" s="14">
        <f>VLOOKUP(A362,'[1]ExportarAExcel (2)'!E:G,3,0)</f>
        <v>3107584326</v>
      </c>
      <c r="E362" s="14" t="s">
        <v>3255</v>
      </c>
      <c r="F362" s="14" t="s">
        <v>534</v>
      </c>
      <c r="G362" s="12"/>
      <c r="H362" s="16">
        <v>425000</v>
      </c>
      <c r="I362" s="12">
        <v>0</v>
      </c>
      <c r="J362" s="12">
        <v>0</v>
      </c>
      <c r="K362" s="12"/>
    </row>
    <row r="363" spans="1:11" ht="15" customHeight="1">
      <c r="A363" s="15">
        <v>1055504647</v>
      </c>
      <c r="B363" s="13" t="s">
        <v>3256</v>
      </c>
      <c r="C363" s="13" t="s">
        <v>3257</v>
      </c>
      <c r="D363" s="14">
        <f>VLOOKUP(A363,'[1]ExportarAExcel (2)'!E:G,3,0)</f>
        <v>3112450992</v>
      </c>
      <c r="E363" s="14" t="s">
        <v>3258</v>
      </c>
      <c r="F363" s="14" t="s">
        <v>554</v>
      </c>
      <c r="G363" s="12"/>
      <c r="H363" s="16">
        <v>10500000</v>
      </c>
      <c r="I363" s="12">
        <v>0</v>
      </c>
      <c r="J363" s="12">
        <v>0</v>
      </c>
      <c r="K363" s="12"/>
    </row>
    <row r="364" spans="1:11" ht="15" customHeight="1">
      <c r="A364" s="15">
        <v>1055551680</v>
      </c>
      <c r="B364" s="13" t="s">
        <v>3259</v>
      </c>
      <c r="C364" s="13" t="s">
        <v>3260</v>
      </c>
      <c r="D364" s="14">
        <f>VLOOKUP(A364,'[1]ExportarAExcel (2)'!E:G,3,0)</f>
        <v>3144754853</v>
      </c>
      <c r="E364" s="13" t="s">
        <v>3261</v>
      </c>
      <c r="F364" s="13" t="s">
        <v>649</v>
      </c>
      <c r="G364" s="12"/>
      <c r="H364" s="16">
        <f>145000+228336</f>
        <v>373336</v>
      </c>
      <c r="I364" s="12">
        <v>0</v>
      </c>
      <c r="J364" s="12">
        <v>0</v>
      </c>
      <c r="K364" s="12"/>
    </row>
    <row r="365" spans="1:11" ht="15" customHeight="1">
      <c r="A365" s="15">
        <v>1055553431</v>
      </c>
      <c r="B365" s="13" t="s">
        <v>3262</v>
      </c>
      <c r="C365" s="13" t="s">
        <v>3263</v>
      </c>
      <c r="D365" s="14">
        <f>VLOOKUP(A365,'[1]ExportarAExcel (2)'!E:G,3,0)</f>
        <v>0</v>
      </c>
      <c r="E365" s="13" t="s">
        <v>2359</v>
      </c>
      <c r="F365" s="13" t="s">
        <v>649</v>
      </c>
      <c r="G365" s="12"/>
      <c r="H365" s="16">
        <v>54200</v>
      </c>
      <c r="I365" s="12">
        <v>0</v>
      </c>
      <c r="J365" s="12">
        <v>0</v>
      </c>
      <c r="K365" s="12"/>
    </row>
    <row r="366" spans="1:11" ht="15" customHeight="1">
      <c r="A366" s="15">
        <v>1055553778</v>
      </c>
      <c r="B366" s="13" t="s">
        <v>3264</v>
      </c>
      <c r="C366" s="13" t="s">
        <v>3265</v>
      </c>
      <c r="D366" s="14">
        <f>VLOOKUP(A366,'[1]ExportarAExcel (2)'!E:G,3,0)</f>
        <v>3108004054</v>
      </c>
      <c r="E366" s="13" t="s">
        <v>2359</v>
      </c>
      <c r="F366" s="13" t="s">
        <v>649</v>
      </c>
      <c r="G366" s="12"/>
      <c r="H366" s="16">
        <v>300000</v>
      </c>
      <c r="I366" s="12">
        <v>0</v>
      </c>
      <c r="J366" s="12">
        <v>0</v>
      </c>
      <c r="K366" s="12"/>
    </row>
    <row r="367" spans="1:11" ht="15" customHeight="1">
      <c r="A367" s="15">
        <v>1056030026</v>
      </c>
      <c r="B367" s="13" t="s">
        <v>3266</v>
      </c>
      <c r="C367" s="13" t="s">
        <v>3267</v>
      </c>
      <c r="D367" s="14">
        <f>VLOOKUP(A367,'[1]ExportarAExcel (2)'!E:G,3,0)</f>
        <v>0</v>
      </c>
      <c r="E367" s="14" t="s">
        <v>3268</v>
      </c>
      <c r="F367" s="14" t="s">
        <v>649</v>
      </c>
      <c r="G367" s="12"/>
      <c r="H367" s="16">
        <v>300000</v>
      </c>
      <c r="I367" s="12">
        <v>0</v>
      </c>
      <c r="J367" s="12">
        <v>0</v>
      </c>
      <c r="K367" s="12"/>
    </row>
    <row r="368" spans="1:11" ht="15" customHeight="1">
      <c r="A368" s="15">
        <v>1056482461</v>
      </c>
      <c r="B368" s="13" t="s">
        <v>3269</v>
      </c>
      <c r="C368" s="13" t="s">
        <v>3270</v>
      </c>
      <c r="D368" s="14">
        <f>VLOOKUP(A368,'[1]ExportarAExcel (2)'!E:G,3,0)</f>
        <v>3203611631</v>
      </c>
      <c r="E368" s="13" t="s">
        <v>3271</v>
      </c>
      <c r="F368" s="13" t="s">
        <v>679</v>
      </c>
      <c r="G368" s="12"/>
      <c r="H368" s="16">
        <v>200000</v>
      </c>
      <c r="I368" s="12">
        <v>0</v>
      </c>
      <c r="J368" s="12">
        <v>0</v>
      </c>
      <c r="K368" s="12"/>
    </row>
    <row r="369" spans="1:11" ht="15" customHeight="1">
      <c r="A369" s="15">
        <v>1056483662</v>
      </c>
      <c r="B369" s="13" t="s">
        <v>3272</v>
      </c>
      <c r="C369" s="13" t="s">
        <v>3273</v>
      </c>
      <c r="D369" s="14">
        <f>VLOOKUP(A369,'[1]ExportarAExcel (2)'!E:G,3,0)</f>
        <v>3158962195</v>
      </c>
      <c r="E369" s="13" t="s">
        <v>3274</v>
      </c>
      <c r="F369" s="13" t="s">
        <v>679</v>
      </c>
      <c r="G369" s="12"/>
      <c r="H369" s="16">
        <v>1306000</v>
      </c>
      <c r="I369" s="12">
        <v>0</v>
      </c>
      <c r="J369" s="12">
        <v>0</v>
      </c>
      <c r="K369" s="12"/>
    </row>
    <row r="370" spans="1:11" ht="15" customHeight="1">
      <c r="A370" s="15">
        <v>1056504300</v>
      </c>
      <c r="B370" s="13" t="s">
        <v>3275</v>
      </c>
      <c r="C370" s="13" t="s">
        <v>3276</v>
      </c>
      <c r="D370" s="14">
        <f>VLOOKUP(A370,'[1]ExportarAExcel (2)'!E:G,3,0)</f>
        <v>3213930546</v>
      </c>
      <c r="E370" s="14" t="s">
        <v>3277</v>
      </c>
      <c r="F370" s="14" t="s">
        <v>649</v>
      </c>
      <c r="G370" s="12"/>
      <c r="H370" s="16">
        <v>871001</v>
      </c>
      <c r="I370" s="12">
        <v>0</v>
      </c>
      <c r="J370" s="12">
        <v>0</v>
      </c>
      <c r="K370" s="12"/>
    </row>
    <row r="371" spans="1:11" ht="15" customHeight="1">
      <c r="A371" s="15">
        <v>1056504308</v>
      </c>
      <c r="B371" s="13" t="s">
        <v>3278</v>
      </c>
      <c r="C371" s="13" t="s">
        <v>3279</v>
      </c>
      <c r="D371" s="14">
        <f>VLOOKUP(A371,'[1]ExportarAExcel (2)'!E:G,3,0)</f>
        <v>3216452633</v>
      </c>
      <c r="E371" s="13" t="s">
        <v>2362</v>
      </c>
      <c r="F371" s="13" t="s">
        <v>649</v>
      </c>
      <c r="G371" s="12"/>
      <c r="H371" s="16">
        <v>200000</v>
      </c>
      <c r="I371" s="12">
        <v>0</v>
      </c>
      <c r="J371" s="12">
        <v>0</v>
      </c>
      <c r="K371" s="12"/>
    </row>
    <row r="372" spans="1:11" ht="15" customHeight="1">
      <c r="A372" s="15">
        <v>1056505527</v>
      </c>
      <c r="B372" s="13" t="s">
        <v>3280</v>
      </c>
      <c r="C372" s="13" t="s">
        <v>3281</v>
      </c>
      <c r="D372" s="14">
        <f>VLOOKUP(A372,'[1]ExportarAExcel (2)'!E:G,3,0)</f>
        <v>3165595078</v>
      </c>
      <c r="E372" s="14" t="s">
        <v>3282</v>
      </c>
      <c r="F372" s="14" t="s">
        <v>649</v>
      </c>
      <c r="G372" s="12"/>
      <c r="H372" s="16">
        <v>5500000</v>
      </c>
      <c r="I372" s="12">
        <v>0</v>
      </c>
      <c r="J372" s="12">
        <v>0</v>
      </c>
      <c r="K372" s="12"/>
    </row>
    <row r="373" spans="1:11" ht="15" customHeight="1">
      <c r="A373" s="15">
        <v>1056506130</v>
      </c>
      <c r="B373" s="13" t="s">
        <v>3283</v>
      </c>
      <c r="C373" s="13" t="s">
        <v>3284</v>
      </c>
      <c r="D373" s="14">
        <f>VLOOKUP(A373,'[1]ExportarAExcel (2)'!E:G,3,0)</f>
        <v>3133122460</v>
      </c>
      <c r="E373" s="13" t="s">
        <v>2359</v>
      </c>
      <c r="F373" s="13" t="s">
        <v>649</v>
      </c>
      <c r="G373" s="12"/>
      <c r="H373" s="16">
        <v>50000</v>
      </c>
      <c r="I373" s="12">
        <v>0</v>
      </c>
      <c r="J373" s="12">
        <v>0</v>
      </c>
      <c r="K373" s="12"/>
    </row>
    <row r="374" spans="1:11" ht="15" customHeight="1">
      <c r="A374" s="15">
        <v>1056506228</v>
      </c>
      <c r="B374" s="13" t="s">
        <v>3285</v>
      </c>
      <c r="C374" s="13" t="s">
        <v>3286</v>
      </c>
      <c r="D374" s="14">
        <f>VLOOKUP(A374,'[1]ExportarAExcel (2)'!E:G,3,0)</f>
        <v>3182457786</v>
      </c>
      <c r="E374" s="13" t="s">
        <v>3287</v>
      </c>
      <c r="F374" s="13" t="s">
        <v>649</v>
      </c>
      <c r="G374" s="12"/>
      <c r="H374" s="16">
        <v>330000</v>
      </c>
      <c r="I374" s="12">
        <v>0</v>
      </c>
      <c r="J374" s="12">
        <v>0</v>
      </c>
      <c r="K374" s="12"/>
    </row>
    <row r="375" spans="1:11" ht="15" customHeight="1">
      <c r="A375" s="15">
        <v>1056506519</v>
      </c>
      <c r="B375" s="13" t="s">
        <v>3288</v>
      </c>
      <c r="C375" s="13" t="s">
        <v>3289</v>
      </c>
      <c r="D375" s="14">
        <f>VLOOKUP(A375,'[1]ExportarAExcel (2)'!E:G,3,0)</f>
        <v>3223860073</v>
      </c>
      <c r="E375" s="13" t="s">
        <v>3290</v>
      </c>
      <c r="F375" s="13" t="s">
        <v>649</v>
      </c>
      <c r="G375" s="12"/>
      <c r="H375" s="16">
        <v>220000</v>
      </c>
      <c r="I375" s="12">
        <v>0</v>
      </c>
      <c r="J375" s="12">
        <v>0</v>
      </c>
      <c r="K375" s="12"/>
    </row>
    <row r="376" spans="1:11" ht="15" customHeight="1">
      <c r="A376" s="15">
        <v>1056506748</v>
      </c>
      <c r="B376" s="13" t="s">
        <v>3291</v>
      </c>
      <c r="C376" s="13" t="s">
        <v>3292</v>
      </c>
      <c r="D376" s="14">
        <f>VLOOKUP(A376,'[1]ExportarAExcel (2)'!E:G,3,0)</f>
        <v>3212741903</v>
      </c>
      <c r="E376" s="14" t="s">
        <v>3293</v>
      </c>
      <c r="F376" s="14" t="s">
        <v>649</v>
      </c>
      <c r="G376" s="12"/>
      <c r="H376" s="16">
        <v>282701</v>
      </c>
      <c r="I376" s="12">
        <v>0</v>
      </c>
      <c r="J376" s="12">
        <v>0</v>
      </c>
      <c r="K376" s="12"/>
    </row>
    <row r="377" spans="1:11" ht="15" customHeight="1">
      <c r="A377" s="15">
        <v>1056506822</v>
      </c>
      <c r="B377" s="13" t="s">
        <v>3294</v>
      </c>
      <c r="C377" s="13" t="s">
        <v>3295</v>
      </c>
      <c r="D377" s="14">
        <f>VLOOKUP(A377,'[1]ExportarAExcel (2)'!E:G,3,0)</f>
        <v>3102832273</v>
      </c>
      <c r="E377" s="13" t="s">
        <v>3296</v>
      </c>
      <c r="F377" s="13" t="s">
        <v>649</v>
      </c>
      <c r="G377" s="12"/>
      <c r="H377" s="16">
        <v>630100</v>
      </c>
      <c r="I377" s="12">
        <v>0</v>
      </c>
      <c r="J377" s="12">
        <v>0</v>
      </c>
      <c r="K377" s="12"/>
    </row>
    <row r="378" spans="1:11" ht="15" customHeight="1">
      <c r="A378" s="15">
        <v>1056553827</v>
      </c>
      <c r="B378" s="13" t="s">
        <v>3297</v>
      </c>
      <c r="C378" s="13" t="s">
        <v>3298</v>
      </c>
      <c r="D378" s="14">
        <f>VLOOKUP(A378,'[1]ExportarAExcel (2)'!E:G,3,0)</f>
        <v>3124301931</v>
      </c>
      <c r="E378" s="13" t="s">
        <v>3299</v>
      </c>
      <c r="F378" s="13" t="s">
        <v>746</v>
      </c>
      <c r="G378" s="12"/>
      <c r="H378" s="16">
        <v>140000</v>
      </c>
      <c r="I378" s="12">
        <v>0</v>
      </c>
      <c r="J378" s="12">
        <v>0</v>
      </c>
      <c r="K378" s="12"/>
    </row>
    <row r="379" spans="1:11" ht="15" customHeight="1">
      <c r="A379" s="15">
        <v>1057016643</v>
      </c>
      <c r="B379" s="13" t="s">
        <v>3300</v>
      </c>
      <c r="C379" s="13" t="s">
        <v>3301</v>
      </c>
      <c r="D379" s="14">
        <f>VLOOKUP(A379,'[1]ExportarAExcel (2)'!E:G,3,0)</f>
        <v>3227587535</v>
      </c>
      <c r="E379" s="13" t="s">
        <v>3083</v>
      </c>
      <c r="F379" s="13" t="s">
        <v>554</v>
      </c>
      <c r="G379" s="12"/>
      <c r="H379" s="16">
        <f>5562000+1214000</f>
        <v>6776000</v>
      </c>
      <c r="I379" s="12">
        <v>0</v>
      </c>
      <c r="J379" s="12">
        <v>0</v>
      </c>
      <c r="K379" s="12"/>
    </row>
    <row r="380" spans="1:11" ht="15" customHeight="1">
      <c r="A380" s="15">
        <v>1057570093</v>
      </c>
      <c r="B380" s="13" t="s">
        <v>3302</v>
      </c>
      <c r="C380" s="13" t="s">
        <v>3303</v>
      </c>
      <c r="D380" s="14">
        <f>VLOOKUP(A380,'[1]ExportarAExcel (2)'!E:G,3,0)</f>
        <v>3112848578</v>
      </c>
      <c r="E380" s="14" t="s">
        <v>3304</v>
      </c>
      <c r="F380" s="14" t="s">
        <v>701</v>
      </c>
      <c r="G380" s="12"/>
      <c r="H380" s="16">
        <v>1700000</v>
      </c>
      <c r="I380" s="12">
        <v>0</v>
      </c>
      <c r="J380" s="12">
        <v>0</v>
      </c>
      <c r="K380" s="12"/>
    </row>
    <row r="381" spans="1:11" ht="15" customHeight="1">
      <c r="A381" s="15">
        <v>1057571711</v>
      </c>
      <c r="B381" s="13" t="s">
        <v>3305</v>
      </c>
      <c r="C381" s="13" t="s">
        <v>3306</v>
      </c>
      <c r="D381" s="14">
        <f>VLOOKUP(A381,'[1]ExportarAExcel (2)'!E:G,3,0)</f>
        <v>3122000439</v>
      </c>
      <c r="E381" s="13" t="s">
        <v>3307</v>
      </c>
      <c r="F381" s="13" t="s">
        <v>713</v>
      </c>
      <c r="G381" s="12"/>
      <c r="H381" s="16">
        <v>280000</v>
      </c>
      <c r="I381" s="12">
        <v>0</v>
      </c>
      <c r="J381" s="12">
        <v>0</v>
      </c>
      <c r="K381" s="12"/>
    </row>
    <row r="382" spans="1:11" ht="15" customHeight="1">
      <c r="A382" s="15">
        <v>1057573635</v>
      </c>
      <c r="B382" s="13" t="s">
        <v>3308</v>
      </c>
      <c r="C382" s="13" t="s">
        <v>3309</v>
      </c>
      <c r="D382" s="14">
        <f>VLOOKUP(A382,'[1]ExportarAExcel (2)'!E:G,3,0)</f>
        <v>3132934017</v>
      </c>
      <c r="E382" s="13" t="s">
        <v>3310</v>
      </c>
      <c r="F382" s="13" t="s">
        <v>713</v>
      </c>
      <c r="G382" s="12"/>
      <c r="H382" s="16">
        <v>785000</v>
      </c>
      <c r="I382" s="12">
        <v>0</v>
      </c>
      <c r="J382" s="12">
        <v>0</v>
      </c>
      <c r="K382" s="12"/>
    </row>
    <row r="383" spans="1:11" ht="15" customHeight="1">
      <c r="A383" s="15">
        <v>1057575023</v>
      </c>
      <c r="B383" s="13" t="s">
        <v>3311</v>
      </c>
      <c r="C383" s="13" t="s">
        <v>3312</v>
      </c>
      <c r="D383" s="14">
        <f>VLOOKUP(A383,'[1]ExportarAExcel (2)'!E:G,3,0)</f>
        <v>3144291059</v>
      </c>
      <c r="E383" s="14" t="s">
        <v>3313</v>
      </c>
      <c r="F383" s="14" t="s">
        <v>701</v>
      </c>
      <c r="G383" s="12"/>
      <c r="H383" s="16">
        <v>120000</v>
      </c>
      <c r="I383" s="12">
        <v>0</v>
      </c>
      <c r="J383" s="12">
        <v>0</v>
      </c>
      <c r="K383" s="12"/>
    </row>
    <row r="384" spans="1:11" ht="15" customHeight="1">
      <c r="A384" s="15">
        <v>1057575223</v>
      </c>
      <c r="B384" s="13" t="s">
        <v>3314</v>
      </c>
      <c r="C384" s="13" t="s">
        <v>3315</v>
      </c>
      <c r="D384" s="14">
        <f>VLOOKUP(A384,'[1]ExportarAExcel (2)'!E:G,3,0)</f>
        <v>3228962967</v>
      </c>
      <c r="E384" s="14" t="s">
        <v>3316</v>
      </c>
      <c r="F384" s="14" t="s">
        <v>558</v>
      </c>
      <c r="G384" s="12"/>
      <c r="H384" s="16">
        <v>2800000</v>
      </c>
      <c r="I384" s="12">
        <v>0</v>
      </c>
      <c r="J384" s="12">
        <v>0</v>
      </c>
      <c r="K384" s="12"/>
    </row>
    <row r="385" spans="1:11" ht="15" customHeight="1">
      <c r="A385" s="15">
        <v>1057577091</v>
      </c>
      <c r="B385" s="13" t="s">
        <v>3317</v>
      </c>
      <c r="C385" s="13" t="s">
        <v>3318</v>
      </c>
      <c r="D385" s="14">
        <f>VLOOKUP(A385,'[1]ExportarAExcel (2)'!E:G,3,0)</f>
        <v>3212360490</v>
      </c>
      <c r="E385" s="13" t="s">
        <v>3319</v>
      </c>
      <c r="F385" s="13" t="s">
        <v>1402</v>
      </c>
      <c r="G385" s="12"/>
      <c r="H385" s="16">
        <v>60417</v>
      </c>
      <c r="I385" s="12">
        <v>0</v>
      </c>
      <c r="J385" s="12">
        <v>0</v>
      </c>
      <c r="K385" s="12"/>
    </row>
    <row r="386" spans="1:11" ht="15" customHeight="1">
      <c r="A386" s="15">
        <v>1057577225</v>
      </c>
      <c r="B386" s="13" t="s">
        <v>3320</v>
      </c>
      <c r="C386" s="13" t="s">
        <v>3321</v>
      </c>
      <c r="D386" s="14">
        <f>VLOOKUP(A386,'[1]ExportarAExcel (2)'!E:G,3,0)</f>
        <v>3012525893</v>
      </c>
      <c r="E386" s="13" t="s">
        <v>3322</v>
      </c>
      <c r="F386" s="13" t="s">
        <v>713</v>
      </c>
      <c r="G386" s="12"/>
      <c r="H386" s="16">
        <v>580000</v>
      </c>
      <c r="I386" s="12">
        <v>0</v>
      </c>
      <c r="J386" s="12">
        <v>0</v>
      </c>
      <c r="K386" s="12"/>
    </row>
    <row r="387" spans="1:11" ht="15" customHeight="1">
      <c r="A387" s="15">
        <v>1057579221</v>
      </c>
      <c r="B387" s="13" t="s">
        <v>3323</v>
      </c>
      <c r="C387" s="13" t="s">
        <v>3324</v>
      </c>
      <c r="D387" s="14">
        <f>VLOOKUP(A387,'[1]ExportarAExcel (2)'!E:G,3,0)</f>
        <v>3138711081</v>
      </c>
      <c r="E387" s="14" t="s">
        <v>2648</v>
      </c>
      <c r="F387" s="14" t="s">
        <v>558</v>
      </c>
      <c r="G387" s="12"/>
      <c r="H387" s="16">
        <v>6000000</v>
      </c>
      <c r="I387" s="12">
        <v>0</v>
      </c>
      <c r="J387" s="12">
        <v>0</v>
      </c>
      <c r="K387" s="12"/>
    </row>
    <row r="388" spans="1:11" ht="15" customHeight="1">
      <c r="A388" s="15">
        <v>1057581374</v>
      </c>
      <c r="B388" s="13" t="s">
        <v>3325</v>
      </c>
      <c r="C388" s="13" t="s">
        <v>3326</v>
      </c>
      <c r="D388" s="14">
        <f>VLOOKUP(A388,'[1]ExportarAExcel (2)'!E:G,3,0)</f>
        <v>3202311653</v>
      </c>
      <c r="E388" s="13" t="s">
        <v>3327</v>
      </c>
      <c r="F388" s="13" t="s">
        <v>713</v>
      </c>
      <c r="G388" s="12"/>
      <c r="H388" s="16">
        <v>280000</v>
      </c>
      <c r="I388" s="12">
        <v>0</v>
      </c>
      <c r="J388" s="12">
        <v>0</v>
      </c>
      <c r="K388" s="12"/>
    </row>
    <row r="389" spans="1:11" ht="15" customHeight="1">
      <c r="A389" s="15">
        <v>1057584129</v>
      </c>
      <c r="B389" s="13" t="s">
        <v>3328</v>
      </c>
      <c r="C389" s="13" t="s">
        <v>3329</v>
      </c>
      <c r="D389" s="14">
        <f>VLOOKUP(A389,'[1]ExportarAExcel (2)'!E:G,3,0)</f>
        <v>3203909819</v>
      </c>
      <c r="E389" s="14" t="s">
        <v>3013</v>
      </c>
      <c r="F389" s="14" t="s">
        <v>554</v>
      </c>
      <c r="G389" s="12"/>
      <c r="H389" s="16">
        <v>150000</v>
      </c>
      <c r="I389" s="12">
        <v>0</v>
      </c>
      <c r="J389" s="12">
        <v>0</v>
      </c>
      <c r="K389" s="12"/>
    </row>
    <row r="390" spans="1:11" ht="15" customHeight="1">
      <c r="A390" s="15">
        <v>1057586577</v>
      </c>
      <c r="B390" s="13" t="s">
        <v>3330</v>
      </c>
      <c r="C390" s="13" t="s">
        <v>3331</v>
      </c>
      <c r="D390" s="14">
        <f>VLOOKUP(A390,'[1]ExportarAExcel (2)'!E:G,3,0)</f>
        <v>3226454033</v>
      </c>
      <c r="E390" s="14" t="s">
        <v>3332</v>
      </c>
      <c r="F390" s="14" t="s">
        <v>713</v>
      </c>
      <c r="G390" s="12"/>
      <c r="H390" s="16">
        <v>285000</v>
      </c>
      <c r="I390" s="12">
        <v>0</v>
      </c>
      <c r="J390" s="12">
        <v>0</v>
      </c>
      <c r="K390" s="12"/>
    </row>
    <row r="391" spans="1:11" ht="15" customHeight="1">
      <c r="A391" s="15">
        <v>1057588627</v>
      </c>
      <c r="B391" s="13" t="s">
        <v>3333</v>
      </c>
      <c r="C391" s="13" t="s">
        <v>3334</v>
      </c>
      <c r="D391" s="14">
        <f>VLOOKUP(A391,'[1]ExportarAExcel (2)'!E:G,3,0)</f>
        <v>3105605440</v>
      </c>
      <c r="E391" s="13" t="s">
        <v>3335</v>
      </c>
      <c r="F391" s="13" t="s">
        <v>713</v>
      </c>
      <c r="G391" s="12"/>
      <c r="H391" s="16">
        <v>100000</v>
      </c>
      <c r="I391" s="12">
        <v>0</v>
      </c>
      <c r="J391" s="12">
        <v>0</v>
      </c>
      <c r="K391" s="12"/>
    </row>
    <row r="392" spans="1:11" ht="15" customHeight="1">
      <c r="A392" s="15">
        <v>1057589221</v>
      </c>
      <c r="B392" s="13" t="s">
        <v>3336</v>
      </c>
      <c r="C392" s="13" t="s">
        <v>3337</v>
      </c>
      <c r="D392" s="14">
        <f>VLOOKUP(A392,'[1]ExportarAExcel (2)'!E:G,3,0)</f>
        <v>3123873799</v>
      </c>
      <c r="E392" s="14" t="s">
        <v>3338</v>
      </c>
      <c r="F392" s="14" t="s">
        <v>554</v>
      </c>
      <c r="G392" s="12"/>
      <c r="H392" s="16">
        <v>500000</v>
      </c>
      <c r="I392" s="12">
        <v>0</v>
      </c>
      <c r="J392" s="12">
        <v>0</v>
      </c>
      <c r="K392" s="12"/>
    </row>
    <row r="393" spans="1:11" ht="15" customHeight="1">
      <c r="A393" s="15">
        <v>1057590219</v>
      </c>
      <c r="B393" s="13" t="s">
        <v>3339</v>
      </c>
      <c r="C393" s="13" t="s">
        <v>3340</v>
      </c>
      <c r="D393" s="14">
        <f>VLOOKUP(A393,'[1]ExportarAExcel (2)'!E:G,3,0)</f>
        <v>3166774483</v>
      </c>
      <c r="E393" s="13" t="s">
        <v>3341</v>
      </c>
      <c r="F393" s="13" t="s">
        <v>713</v>
      </c>
      <c r="G393" s="12"/>
      <c r="H393" s="16">
        <v>162450</v>
      </c>
      <c r="I393" s="12">
        <v>0</v>
      </c>
      <c r="J393" s="12">
        <v>0</v>
      </c>
      <c r="K393" s="12"/>
    </row>
    <row r="394" spans="1:11" ht="15" customHeight="1">
      <c r="A394" s="15">
        <v>1057593079</v>
      </c>
      <c r="B394" s="13" t="s">
        <v>3342</v>
      </c>
      <c r="C394" s="13" t="s">
        <v>3343</v>
      </c>
      <c r="D394" s="14">
        <f>VLOOKUP(A394,'[1]ExportarAExcel (2)'!E:G,3,0)</f>
        <v>3203973011</v>
      </c>
      <c r="E394" s="13" t="s">
        <v>3344</v>
      </c>
      <c r="F394" s="13" t="s">
        <v>713</v>
      </c>
      <c r="G394" s="12"/>
      <c r="H394" s="16">
        <v>40000</v>
      </c>
      <c r="I394" s="12">
        <v>0</v>
      </c>
      <c r="J394" s="12">
        <v>0</v>
      </c>
      <c r="K394" s="12"/>
    </row>
    <row r="395" spans="1:11" ht="15" customHeight="1">
      <c r="A395" s="15">
        <v>1057595134</v>
      </c>
      <c r="B395" s="13" t="s">
        <v>3345</v>
      </c>
      <c r="C395" s="13" t="s">
        <v>3346</v>
      </c>
      <c r="D395" s="14">
        <f>VLOOKUP(A395,'[1]ExportarAExcel (2)'!E:G,3,0)</f>
        <v>3134421973</v>
      </c>
      <c r="E395" s="13" t="s">
        <v>3347</v>
      </c>
      <c r="F395" s="13" t="s">
        <v>713</v>
      </c>
      <c r="G395" s="12"/>
      <c r="H395" s="16">
        <v>140000</v>
      </c>
      <c r="I395" s="12">
        <v>0</v>
      </c>
      <c r="J395" s="12">
        <v>0</v>
      </c>
      <c r="K395" s="12"/>
    </row>
    <row r="396" spans="1:11" ht="15" customHeight="1">
      <c r="A396" s="15">
        <v>1057597126</v>
      </c>
      <c r="B396" s="13" t="s">
        <v>3348</v>
      </c>
      <c r="C396" s="13" t="s">
        <v>3349</v>
      </c>
      <c r="D396" s="14">
        <f>VLOOKUP(A396,'[1]ExportarAExcel (2)'!E:G,3,0)</f>
        <v>3214801980</v>
      </c>
      <c r="E396" s="13" t="s">
        <v>3350</v>
      </c>
      <c r="F396" s="13" t="s">
        <v>713</v>
      </c>
      <c r="G396" s="12"/>
      <c r="H396" s="16">
        <v>140000</v>
      </c>
      <c r="I396" s="12">
        <v>0</v>
      </c>
      <c r="J396" s="12">
        <v>0</v>
      </c>
      <c r="K396" s="12"/>
    </row>
    <row r="397" spans="1:11" ht="15" customHeight="1">
      <c r="A397" s="15">
        <v>1057597145</v>
      </c>
      <c r="B397" s="13" t="s">
        <v>3351</v>
      </c>
      <c r="C397" s="13" t="s">
        <v>3352</v>
      </c>
      <c r="D397" s="14">
        <f>VLOOKUP(A397,'[1]ExportarAExcel (2)'!E:G,3,0)</f>
        <v>3182343118</v>
      </c>
      <c r="E397" s="14" t="s">
        <v>3353</v>
      </c>
      <c r="F397" s="14" t="s">
        <v>558</v>
      </c>
      <c r="G397" s="12"/>
      <c r="H397" s="16">
        <v>5250000</v>
      </c>
      <c r="I397" s="12">
        <v>0</v>
      </c>
      <c r="J397" s="12">
        <v>0</v>
      </c>
      <c r="K397" s="12"/>
    </row>
    <row r="398" spans="1:11" ht="15" customHeight="1">
      <c r="A398" s="15">
        <v>1057598298</v>
      </c>
      <c r="B398" s="13" t="s">
        <v>3354</v>
      </c>
      <c r="C398" s="13" t="s">
        <v>3355</v>
      </c>
      <c r="D398" s="14">
        <f>VLOOKUP(A398,'[1]ExportarAExcel (2)'!E:G,3,0)</f>
        <v>3106284925</v>
      </c>
      <c r="E398" s="13" t="s">
        <v>3356</v>
      </c>
      <c r="F398" s="13" t="s">
        <v>713</v>
      </c>
      <c r="G398" s="12"/>
      <c r="H398" s="16">
        <v>140000</v>
      </c>
      <c r="I398" s="12">
        <v>0</v>
      </c>
      <c r="J398" s="12">
        <v>0</v>
      </c>
      <c r="K398" s="12"/>
    </row>
    <row r="399" spans="1:11" ht="15" customHeight="1">
      <c r="A399" s="15">
        <v>1057598993</v>
      </c>
      <c r="B399" s="13" t="s">
        <v>3357</v>
      </c>
      <c r="C399" s="13" t="s">
        <v>3358</v>
      </c>
      <c r="D399" s="14">
        <f>VLOOKUP(A399,'[1]ExportarAExcel (2)'!E:G,3,0)</f>
        <v>3138420911</v>
      </c>
      <c r="E399" s="13" t="s">
        <v>3359</v>
      </c>
      <c r="F399" s="13" t="s">
        <v>713</v>
      </c>
      <c r="G399" s="12"/>
      <c r="H399" s="16">
        <v>70000</v>
      </c>
      <c r="I399" s="12">
        <v>0</v>
      </c>
      <c r="J399" s="12">
        <v>0</v>
      </c>
      <c r="K399" s="12"/>
    </row>
    <row r="400" spans="1:11" ht="15" customHeight="1">
      <c r="A400" s="15">
        <v>1057599426</v>
      </c>
      <c r="B400" s="13" t="s">
        <v>3360</v>
      </c>
      <c r="C400" s="13" t="s">
        <v>3361</v>
      </c>
      <c r="D400" s="14">
        <f>VLOOKUP(A400,'[1]ExportarAExcel (2)'!E:G,3,0)</f>
        <v>3133708895</v>
      </c>
      <c r="E400" s="13" t="s">
        <v>3122</v>
      </c>
      <c r="F400" s="13" t="s">
        <v>695</v>
      </c>
      <c r="G400" s="12"/>
      <c r="H400" s="16">
        <v>35000</v>
      </c>
      <c r="I400" s="12">
        <v>0</v>
      </c>
      <c r="J400" s="12">
        <v>0</v>
      </c>
      <c r="K400" s="12"/>
    </row>
    <row r="401" spans="1:11" ht="15" customHeight="1">
      <c r="A401" s="15">
        <v>1057600190</v>
      </c>
      <c r="B401" s="13" t="s">
        <v>3362</v>
      </c>
      <c r="C401" s="13" t="s">
        <v>3363</v>
      </c>
      <c r="D401" s="14">
        <f>VLOOKUP(A401,'[1]ExportarAExcel (2)'!E:G,3,0)</f>
        <v>3224700878</v>
      </c>
      <c r="E401" s="13" t="s">
        <v>3364</v>
      </c>
      <c r="F401" s="13" t="s">
        <v>713</v>
      </c>
      <c r="G401" s="12"/>
      <c r="H401" s="16">
        <v>140000</v>
      </c>
      <c r="I401" s="12">
        <v>0</v>
      </c>
      <c r="J401" s="12">
        <v>0</v>
      </c>
      <c r="K401" s="12"/>
    </row>
    <row r="402" spans="1:11" ht="15" customHeight="1">
      <c r="A402" s="15">
        <v>1057600425</v>
      </c>
      <c r="B402" s="13" t="s">
        <v>3365</v>
      </c>
      <c r="C402" s="13" t="s">
        <v>3366</v>
      </c>
      <c r="D402" s="14">
        <f>VLOOKUP(A402,'[1]ExportarAExcel (2)'!E:G,3,0)</f>
        <v>3208459246</v>
      </c>
      <c r="E402" s="14" t="s">
        <v>3367</v>
      </c>
      <c r="F402" s="14" t="s">
        <v>713</v>
      </c>
      <c r="G402" s="12"/>
      <c r="H402" s="16">
        <v>150000</v>
      </c>
      <c r="I402" s="12">
        <v>0</v>
      </c>
      <c r="J402" s="12">
        <v>0</v>
      </c>
      <c r="K402" s="12"/>
    </row>
    <row r="403" spans="1:11" ht="15" customHeight="1">
      <c r="A403" s="15">
        <v>1057600712</v>
      </c>
      <c r="B403" s="13" t="s">
        <v>3368</v>
      </c>
      <c r="C403" s="13" t="s">
        <v>3369</v>
      </c>
      <c r="D403" s="14">
        <f>VLOOKUP(A403,'[1]ExportarAExcel (2)'!E:G,3,0)</f>
        <v>3159261379</v>
      </c>
      <c r="E403" s="13" t="s">
        <v>3370</v>
      </c>
      <c r="F403" s="13" t="s">
        <v>713</v>
      </c>
      <c r="G403" s="12"/>
      <c r="H403" s="16">
        <v>140000</v>
      </c>
      <c r="I403" s="12">
        <v>0</v>
      </c>
      <c r="J403" s="12">
        <v>0</v>
      </c>
      <c r="K403" s="12"/>
    </row>
    <row r="404" spans="1:11" ht="15" customHeight="1">
      <c r="A404" s="15">
        <v>1057600723</v>
      </c>
      <c r="B404" s="13" t="s">
        <v>3371</v>
      </c>
      <c r="C404" s="13" t="s">
        <v>3372</v>
      </c>
      <c r="D404" s="14">
        <f>VLOOKUP(A404,'[1]ExportarAExcel (2)'!E:G,3,0)</f>
        <v>3202775044</v>
      </c>
      <c r="E404" s="14" t="s">
        <v>3373</v>
      </c>
      <c r="F404" s="14" t="s">
        <v>534</v>
      </c>
      <c r="G404" s="12"/>
      <c r="H404" s="16">
        <v>4179200</v>
      </c>
      <c r="I404" s="12">
        <v>0</v>
      </c>
      <c r="J404" s="12">
        <v>0</v>
      </c>
      <c r="K404" s="12"/>
    </row>
    <row r="405" spans="1:11" ht="15" customHeight="1">
      <c r="A405" s="15">
        <v>1057606472</v>
      </c>
      <c r="B405" s="13" t="s">
        <v>3374</v>
      </c>
      <c r="C405" s="13" t="s">
        <v>3375</v>
      </c>
      <c r="D405" s="14">
        <f>VLOOKUP(A405,'[1]ExportarAExcel (2)'!E:G,3,0)</f>
        <v>3133367022</v>
      </c>
      <c r="E405" s="13" t="s">
        <v>3376</v>
      </c>
      <c r="F405" s="13" t="s">
        <v>713</v>
      </c>
      <c r="G405" s="12"/>
      <c r="H405" s="16">
        <v>280000</v>
      </c>
      <c r="I405" s="12">
        <v>0</v>
      </c>
      <c r="J405" s="12">
        <v>0</v>
      </c>
      <c r="K405" s="12"/>
    </row>
    <row r="406" spans="1:11" ht="15" customHeight="1">
      <c r="A406" s="15">
        <v>1057606553</v>
      </c>
      <c r="B406" s="13" t="s">
        <v>3377</v>
      </c>
      <c r="C406" s="13" t="s">
        <v>3378</v>
      </c>
      <c r="D406" s="14">
        <f>VLOOKUP(A406,'[1]ExportarAExcel (2)'!E:G,3,0)</f>
        <v>3118822659</v>
      </c>
      <c r="E406" s="13" t="s">
        <v>2645</v>
      </c>
      <c r="F406" s="13" t="s">
        <v>560</v>
      </c>
      <c r="G406" s="12"/>
      <c r="H406" s="16">
        <v>433520</v>
      </c>
      <c r="I406" s="12">
        <v>0</v>
      </c>
      <c r="J406" s="12">
        <v>0</v>
      </c>
      <c r="K406" s="12"/>
    </row>
    <row r="407" spans="1:11" ht="15" customHeight="1">
      <c r="A407" s="15">
        <v>1057606719</v>
      </c>
      <c r="B407" s="13" t="s">
        <v>3379</v>
      </c>
      <c r="C407" s="13" t="s">
        <v>3380</v>
      </c>
      <c r="D407" s="14">
        <f>VLOOKUP(A407,'[1]ExportarAExcel (2)'!E:G,3,0)</f>
        <v>3228967446</v>
      </c>
      <c r="E407" s="14" t="s">
        <v>3381</v>
      </c>
      <c r="F407" s="14" t="s">
        <v>713</v>
      </c>
      <c r="G407" s="12"/>
      <c r="H407" s="16">
        <v>1680000</v>
      </c>
      <c r="I407" s="12">
        <v>0</v>
      </c>
      <c r="J407" s="12">
        <v>0</v>
      </c>
      <c r="K407" s="12"/>
    </row>
    <row r="408" spans="1:11" ht="15" customHeight="1">
      <c r="A408" s="15">
        <v>1057872022</v>
      </c>
      <c r="B408" s="13" t="s">
        <v>3382</v>
      </c>
      <c r="C408" s="13" t="s">
        <v>3383</v>
      </c>
      <c r="D408" s="14">
        <f>VLOOKUP(A408,'[1]ExportarAExcel (2)'!E:G,3,0)</f>
        <v>3123143902</v>
      </c>
      <c r="E408" s="14" t="s">
        <v>2996</v>
      </c>
      <c r="F408" s="14" t="s">
        <v>558</v>
      </c>
      <c r="G408" s="12"/>
      <c r="H408" s="16">
        <v>1200000</v>
      </c>
      <c r="I408" s="12">
        <v>0</v>
      </c>
      <c r="J408" s="12">
        <v>0</v>
      </c>
      <c r="K408" s="12"/>
    </row>
    <row r="409" spans="1:11" ht="15" customHeight="1">
      <c r="A409" s="15">
        <v>1057872096</v>
      </c>
      <c r="B409" s="13" t="s">
        <v>3384</v>
      </c>
      <c r="C409" s="13" t="s">
        <v>3385</v>
      </c>
      <c r="D409" s="14">
        <f>VLOOKUP(A409,'[1]ExportarAExcel (2)'!E:G,3,0)</f>
        <v>3134003137</v>
      </c>
      <c r="E409" s="14" t="s">
        <v>3386</v>
      </c>
      <c r="F409" s="14" t="s">
        <v>558</v>
      </c>
      <c r="G409" s="12"/>
      <c r="H409" s="16">
        <v>7623100</v>
      </c>
      <c r="I409" s="12">
        <v>0</v>
      </c>
      <c r="J409" s="12">
        <v>0</v>
      </c>
      <c r="K409" s="12"/>
    </row>
    <row r="410" spans="1:11" ht="15" customHeight="1">
      <c r="A410" s="15">
        <v>1057872442</v>
      </c>
      <c r="B410" s="13" t="s">
        <v>3387</v>
      </c>
      <c r="C410" s="13" t="s">
        <v>3388</v>
      </c>
      <c r="D410" s="14">
        <f>VLOOKUP(A410,'[1]ExportarAExcel (2)'!E:G,3,0)</f>
        <v>3219233376</v>
      </c>
      <c r="E410" s="14" t="s">
        <v>3389</v>
      </c>
      <c r="F410" s="14" t="s">
        <v>558</v>
      </c>
      <c r="G410" s="12"/>
      <c r="H410" s="16">
        <v>1652000</v>
      </c>
      <c r="I410" s="12">
        <v>0</v>
      </c>
      <c r="J410" s="12">
        <v>0</v>
      </c>
      <c r="K410" s="12"/>
    </row>
    <row r="411" spans="1:11" ht="15" customHeight="1">
      <c r="A411" s="15">
        <v>1057872547</v>
      </c>
      <c r="B411" s="13" t="s">
        <v>3390</v>
      </c>
      <c r="C411" s="13" t="s">
        <v>3391</v>
      </c>
      <c r="D411" s="14">
        <f>VLOOKUP(A411,'[1]ExportarAExcel (2)'!E:G,3,0)</f>
        <v>3123798899</v>
      </c>
      <c r="E411" s="14" t="s">
        <v>3392</v>
      </c>
      <c r="F411" s="14" t="s">
        <v>558</v>
      </c>
      <c r="G411" s="12"/>
      <c r="H411" s="16">
        <v>32000000</v>
      </c>
      <c r="I411" s="12">
        <v>0</v>
      </c>
      <c r="J411" s="12">
        <v>0</v>
      </c>
      <c r="K411" s="12"/>
    </row>
    <row r="412" spans="1:11" ht="15" customHeight="1">
      <c r="A412" s="15">
        <v>1057892075</v>
      </c>
      <c r="B412" s="13" t="s">
        <v>3393</v>
      </c>
      <c r="C412" s="13" t="s">
        <v>3394</v>
      </c>
      <c r="D412" s="14">
        <f>VLOOKUP(A412,'[1]ExportarAExcel (2)'!E:G,3,0)</f>
        <v>7357216</v>
      </c>
      <c r="E412" s="14" t="s">
        <v>2318</v>
      </c>
      <c r="F412" s="14" t="s">
        <v>677</v>
      </c>
      <c r="G412" s="12"/>
      <c r="H412" s="16">
        <v>450000</v>
      </c>
      <c r="I412" s="12">
        <v>0</v>
      </c>
      <c r="J412" s="12">
        <v>0</v>
      </c>
      <c r="K412" s="12"/>
    </row>
    <row r="413" spans="1:11" ht="15" customHeight="1">
      <c r="A413" s="15">
        <v>1057892333</v>
      </c>
      <c r="B413" s="13" t="s">
        <v>3395</v>
      </c>
      <c r="C413" s="13" t="s">
        <v>3396</v>
      </c>
      <c r="D413" s="14">
        <f>VLOOKUP(A413,'[1]ExportarAExcel (2)'!E:G,3,0)</f>
        <v>3115759728</v>
      </c>
      <c r="E413" s="13" t="s">
        <v>3397</v>
      </c>
      <c r="F413" s="13" t="s">
        <v>677</v>
      </c>
      <c r="G413" s="12"/>
      <c r="H413" s="16">
        <v>60000</v>
      </c>
      <c r="I413" s="12">
        <v>0</v>
      </c>
      <c r="J413" s="12">
        <v>0</v>
      </c>
      <c r="K413" s="12"/>
    </row>
    <row r="414" spans="1:11" ht="15" customHeight="1">
      <c r="A414" s="15">
        <v>1057892508</v>
      </c>
      <c r="B414" s="13" t="s">
        <v>3398</v>
      </c>
      <c r="C414" s="13" t="s">
        <v>3399</v>
      </c>
      <c r="D414" s="14">
        <f>VLOOKUP(A414,'[1]ExportarAExcel (2)'!E:G,3,0)</f>
        <v>3134030582</v>
      </c>
      <c r="E414" s="13" t="s">
        <v>3400</v>
      </c>
      <c r="F414" s="13" t="s">
        <v>677</v>
      </c>
      <c r="G414" s="12"/>
      <c r="H414" s="16">
        <v>80000</v>
      </c>
      <c r="I414" s="12">
        <v>0</v>
      </c>
      <c r="J414" s="12">
        <v>0</v>
      </c>
      <c r="K414" s="12"/>
    </row>
    <row r="415" spans="1:11" ht="15" customHeight="1">
      <c r="A415" s="15">
        <v>1057892931</v>
      </c>
      <c r="B415" s="13" t="s">
        <v>3401</v>
      </c>
      <c r="C415" s="13" t="s">
        <v>3402</v>
      </c>
      <c r="D415" s="14">
        <f>VLOOKUP(A415,'[1]ExportarAExcel (2)'!E:G,3,0)</f>
        <v>3114910064</v>
      </c>
      <c r="E415" s="14" t="s">
        <v>3403</v>
      </c>
      <c r="F415" s="14" t="s">
        <v>677</v>
      </c>
      <c r="G415" s="12"/>
      <c r="H415" s="16">
        <v>110000</v>
      </c>
      <c r="I415" s="12">
        <v>0</v>
      </c>
      <c r="J415" s="12">
        <v>0</v>
      </c>
      <c r="K415" s="12"/>
    </row>
    <row r="416" spans="1:11" ht="15" customHeight="1">
      <c r="A416" s="15">
        <v>1057893518</v>
      </c>
      <c r="B416" s="13" t="s">
        <v>3404</v>
      </c>
      <c r="C416" s="13" t="s">
        <v>3405</v>
      </c>
      <c r="D416" s="14">
        <f>VLOOKUP(A416,'[1]ExportarAExcel (2)'!E:G,3,0)</f>
        <v>0</v>
      </c>
      <c r="E416" s="14" t="s">
        <v>2948</v>
      </c>
      <c r="F416" s="14" t="s">
        <v>677</v>
      </c>
      <c r="G416" s="12"/>
      <c r="H416" s="16">
        <v>300000</v>
      </c>
      <c r="I416" s="12">
        <v>0</v>
      </c>
      <c r="J416" s="12">
        <v>0</v>
      </c>
      <c r="K416" s="12"/>
    </row>
    <row r="417" spans="1:11" ht="15" customHeight="1">
      <c r="A417" s="15">
        <v>1057893809</v>
      </c>
      <c r="B417" s="13" t="s">
        <v>3406</v>
      </c>
      <c r="C417" s="13" t="s">
        <v>3407</v>
      </c>
      <c r="D417" s="14">
        <f>VLOOKUP(A417,'[1]ExportarAExcel (2)'!E:G,3,0)</f>
        <v>3143404822</v>
      </c>
      <c r="E417" s="14" t="s">
        <v>3048</v>
      </c>
      <c r="F417" s="14" t="s">
        <v>677</v>
      </c>
      <c r="G417" s="12"/>
      <c r="H417" s="16">
        <v>60000</v>
      </c>
      <c r="I417" s="12">
        <v>0</v>
      </c>
      <c r="J417" s="12">
        <v>0</v>
      </c>
      <c r="K417" s="12"/>
    </row>
    <row r="418" spans="1:11" ht="15" customHeight="1">
      <c r="A418" s="15">
        <v>1057919434</v>
      </c>
      <c r="B418" s="13" t="s">
        <v>3408</v>
      </c>
      <c r="C418" s="13" t="s">
        <v>3409</v>
      </c>
      <c r="D418" s="14">
        <f>VLOOKUP(A418,'[1]ExportarAExcel (2)'!E:G,3,0)</f>
        <v>3127561211</v>
      </c>
      <c r="E418" s="14" t="s">
        <v>3410</v>
      </c>
      <c r="F418" s="14" t="s">
        <v>602</v>
      </c>
      <c r="G418" s="12"/>
      <c r="H418" s="16">
        <v>106000</v>
      </c>
      <c r="I418" s="12">
        <v>0</v>
      </c>
      <c r="J418" s="12">
        <v>0</v>
      </c>
      <c r="K418" s="12"/>
    </row>
    <row r="419" spans="1:11" ht="15" customHeight="1">
      <c r="A419" s="15">
        <v>1058038704</v>
      </c>
      <c r="B419" s="13" t="s">
        <v>3411</v>
      </c>
      <c r="C419" s="13" t="s">
        <v>3412</v>
      </c>
      <c r="D419" s="14">
        <f>VLOOKUP(A419,'[1]ExportarAExcel (2)'!E:G,3,0)</f>
        <v>3135567171</v>
      </c>
      <c r="E419" s="14" t="s">
        <v>3413</v>
      </c>
      <c r="F419" s="14" t="s">
        <v>717</v>
      </c>
      <c r="G419" s="12"/>
      <c r="H419" s="16">
        <v>1000000</v>
      </c>
      <c r="I419" s="12">
        <v>0</v>
      </c>
      <c r="J419" s="12">
        <v>0</v>
      </c>
      <c r="K419" s="12"/>
    </row>
    <row r="420" spans="1:11" ht="15" customHeight="1">
      <c r="A420" s="15">
        <v>1058038810</v>
      </c>
      <c r="B420" s="13" t="s">
        <v>3414</v>
      </c>
      <c r="C420" s="13" t="s">
        <v>2735</v>
      </c>
      <c r="D420" s="14">
        <f>VLOOKUP(A420,'[1]ExportarAExcel (2)'!E:G,3,0)</f>
        <v>3107130267</v>
      </c>
      <c r="E420" s="13" t="s">
        <v>2629</v>
      </c>
      <c r="F420" s="13" t="s">
        <v>717</v>
      </c>
      <c r="G420" s="12"/>
      <c r="H420" s="16">
        <v>26000</v>
      </c>
      <c r="I420" s="12">
        <v>0</v>
      </c>
      <c r="J420" s="12">
        <v>0</v>
      </c>
      <c r="K420" s="12"/>
    </row>
    <row r="421" spans="1:11" ht="15" customHeight="1">
      <c r="A421" s="15">
        <v>1058038877</v>
      </c>
      <c r="B421" s="13" t="s">
        <v>3415</v>
      </c>
      <c r="C421" s="13" t="s">
        <v>3416</v>
      </c>
      <c r="D421" s="14">
        <f>VLOOKUP(A421,'[1]ExportarAExcel (2)'!E:G,3,0)</f>
        <v>3212008458</v>
      </c>
      <c r="E421" s="14" t="s">
        <v>3417</v>
      </c>
      <c r="F421" s="14" t="s">
        <v>717</v>
      </c>
      <c r="G421" s="12"/>
      <c r="H421" s="16">
        <v>800000</v>
      </c>
      <c r="I421" s="12">
        <v>0</v>
      </c>
      <c r="J421" s="12">
        <v>0</v>
      </c>
      <c r="K421" s="12"/>
    </row>
    <row r="422" spans="1:11" ht="15" customHeight="1">
      <c r="A422" s="15">
        <v>1058325010</v>
      </c>
      <c r="B422" s="13" t="s">
        <v>3418</v>
      </c>
      <c r="C422" s="13" t="s">
        <v>3419</v>
      </c>
      <c r="D422" s="14">
        <f>VLOOKUP(A422,'[1]ExportarAExcel (2)'!E:G,3,0)</f>
        <v>3209660713</v>
      </c>
      <c r="E422" s="13" t="s">
        <v>3420</v>
      </c>
      <c r="F422" s="13" t="s">
        <v>604</v>
      </c>
      <c r="G422" s="12"/>
      <c r="H422" s="16">
        <v>60417</v>
      </c>
      <c r="I422" s="12">
        <v>0</v>
      </c>
      <c r="J422" s="12">
        <v>0</v>
      </c>
      <c r="K422" s="12"/>
    </row>
    <row r="423" spans="1:11" ht="15" customHeight="1">
      <c r="A423" s="15">
        <v>1058325492</v>
      </c>
      <c r="B423" s="13" t="s">
        <v>3421</v>
      </c>
      <c r="C423" s="13" t="s">
        <v>3422</v>
      </c>
      <c r="D423" s="14">
        <f>VLOOKUP(A423,'[1]ExportarAExcel (2)'!E:G,3,0)</f>
        <v>3104429107</v>
      </c>
      <c r="E423" s="13" t="s">
        <v>3423</v>
      </c>
      <c r="F423" s="13" t="s">
        <v>602</v>
      </c>
      <c r="G423" s="12"/>
      <c r="H423" s="16">
        <v>1000000</v>
      </c>
      <c r="I423" s="12">
        <v>0</v>
      </c>
      <c r="J423" s="12">
        <v>0</v>
      </c>
      <c r="K423" s="12"/>
    </row>
    <row r="424" spans="1:11" ht="15" customHeight="1">
      <c r="A424" s="15">
        <v>1058352182</v>
      </c>
      <c r="B424" s="13" t="s">
        <v>3424</v>
      </c>
      <c r="C424" s="13" t="s">
        <v>3425</v>
      </c>
      <c r="D424" s="14">
        <f>VLOOKUP(A424,'[1]ExportarAExcel (2)'!E:G,3,0)</f>
        <v>3106762889</v>
      </c>
      <c r="E424" s="13" t="s">
        <v>3426</v>
      </c>
      <c r="F424" s="13" t="s">
        <v>713</v>
      </c>
      <c r="G424" s="12"/>
      <c r="H424" s="16">
        <v>105000</v>
      </c>
      <c r="I424" s="12">
        <v>0</v>
      </c>
      <c r="J424" s="12">
        <v>0</v>
      </c>
      <c r="K424" s="12"/>
    </row>
    <row r="425" spans="1:11" ht="15" customHeight="1">
      <c r="A425" s="15">
        <v>1058430754</v>
      </c>
      <c r="B425" s="13" t="s">
        <v>3427</v>
      </c>
      <c r="C425" s="13" t="s">
        <v>3428</v>
      </c>
      <c r="D425" s="14">
        <f>VLOOKUP(A425,'[1]ExportarAExcel (2)'!E:G,3,0)</f>
        <v>0</v>
      </c>
      <c r="E425" s="14" t="s">
        <v>2345</v>
      </c>
      <c r="F425" s="14" t="s">
        <v>750</v>
      </c>
      <c r="G425" s="12"/>
      <c r="H425" s="16">
        <v>1700000</v>
      </c>
      <c r="I425" s="12">
        <v>0</v>
      </c>
      <c r="J425" s="12">
        <v>0</v>
      </c>
      <c r="K425" s="12"/>
    </row>
    <row r="426" spans="1:11" ht="15" customHeight="1">
      <c r="A426" s="15">
        <v>1058431237</v>
      </c>
      <c r="B426" s="13" t="s">
        <v>3429</v>
      </c>
      <c r="C426" s="13" t="s">
        <v>3430</v>
      </c>
      <c r="D426" s="14">
        <f>VLOOKUP(A426,'[1]ExportarAExcel (2)'!E:G,3,0)</f>
        <v>3133119408</v>
      </c>
      <c r="E426" s="13" t="s">
        <v>3098</v>
      </c>
      <c r="F426" s="13" t="s">
        <v>750</v>
      </c>
      <c r="G426" s="12"/>
      <c r="H426" s="16">
        <v>30000</v>
      </c>
      <c r="I426" s="12">
        <v>0</v>
      </c>
      <c r="J426" s="12">
        <v>0</v>
      </c>
      <c r="K426" s="12"/>
    </row>
    <row r="427" spans="1:11" ht="15" customHeight="1">
      <c r="A427" s="15">
        <v>1071166724</v>
      </c>
      <c r="B427" s="13" t="s">
        <v>3431</v>
      </c>
      <c r="C427" s="13" t="s">
        <v>3432</v>
      </c>
      <c r="D427" s="14">
        <f>VLOOKUP(A427,'[1]ExportarAExcel (2)'!E:G,3,0)</f>
        <v>3155821445</v>
      </c>
      <c r="E427" s="13" t="s">
        <v>3433</v>
      </c>
      <c r="F427" s="13" t="s">
        <v>713</v>
      </c>
      <c r="G427" s="12"/>
      <c r="H427" s="16">
        <v>140000</v>
      </c>
      <c r="I427" s="12">
        <v>0</v>
      </c>
      <c r="J427" s="12">
        <v>0</v>
      </c>
      <c r="K427" s="12"/>
    </row>
    <row r="428" spans="1:11" ht="15" customHeight="1">
      <c r="A428" s="15">
        <v>1085333732</v>
      </c>
      <c r="B428" s="13" t="s">
        <v>3434</v>
      </c>
      <c r="C428" s="13" t="s">
        <v>3435</v>
      </c>
      <c r="D428" s="14">
        <f>VLOOKUP(A428,'[1]ExportarAExcel (2)'!E:G,3,0)</f>
        <v>3125564248</v>
      </c>
      <c r="E428" s="13" t="s">
        <v>3436</v>
      </c>
      <c r="F428" s="13" t="s">
        <v>602</v>
      </c>
      <c r="G428" s="12"/>
      <c r="H428" s="16">
        <v>183333</v>
      </c>
      <c r="I428" s="12">
        <v>0</v>
      </c>
      <c r="J428" s="12">
        <v>0</v>
      </c>
      <c r="K428" s="12"/>
    </row>
    <row r="429" spans="1:11" ht="15" customHeight="1">
      <c r="A429" s="15">
        <v>1085335048</v>
      </c>
      <c r="B429" s="13" t="s">
        <v>3437</v>
      </c>
      <c r="C429" s="13" t="s">
        <v>3438</v>
      </c>
      <c r="D429" s="14">
        <f>VLOOKUP(A429,'[1]ExportarAExcel (2)'!E:G,3,0)</f>
        <v>3105377942</v>
      </c>
      <c r="E429" s="14" t="s">
        <v>3439</v>
      </c>
      <c r="F429" s="14" t="s">
        <v>750</v>
      </c>
      <c r="G429" s="12"/>
      <c r="H429" s="16">
        <v>5114000</v>
      </c>
      <c r="I429" s="12">
        <v>0</v>
      </c>
      <c r="J429" s="12">
        <v>0</v>
      </c>
      <c r="K429" s="12"/>
    </row>
    <row r="430" spans="1:11" ht="15" customHeight="1">
      <c r="A430" s="15">
        <v>1093753993</v>
      </c>
      <c r="B430" s="13" t="s">
        <v>3440</v>
      </c>
      <c r="C430" s="13" t="s">
        <v>3441</v>
      </c>
      <c r="D430" s="14">
        <f>VLOOKUP(A430,'[1]ExportarAExcel (2)'!E:G,3,0)</f>
        <v>3125029797</v>
      </c>
      <c r="E430" s="13" t="s">
        <v>3442</v>
      </c>
      <c r="F430" s="13" t="s">
        <v>744</v>
      </c>
      <c r="G430" s="12"/>
      <c r="H430" s="16">
        <v>32000</v>
      </c>
      <c r="I430" s="12">
        <v>0</v>
      </c>
      <c r="J430" s="12">
        <v>0</v>
      </c>
      <c r="K430" s="12"/>
    </row>
    <row r="431" spans="1:11" ht="15" customHeight="1">
      <c r="A431" s="15">
        <v>1098151856</v>
      </c>
      <c r="B431" s="13" t="s">
        <v>3443</v>
      </c>
      <c r="C431" s="13" t="s">
        <v>3444</v>
      </c>
      <c r="D431" s="14">
        <f>VLOOKUP(A431,'[1]ExportarAExcel (2)'!E:G,3,0)</f>
        <v>3147485085</v>
      </c>
      <c r="E431" s="14" t="s">
        <v>2648</v>
      </c>
      <c r="F431" s="14" t="s">
        <v>558</v>
      </c>
      <c r="G431" s="12"/>
      <c r="H431" s="16">
        <v>6000000</v>
      </c>
      <c r="I431" s="12">
        <v>0</v>
      </c>
      <c r="J431" s="12">
        <v>0</v>
      </c>
      <c r="K431" s="12"/>
    </row>
    <row r="432" spans="1:11" ht="15" customHeight="1">
      <c r="A432" s="15">
        <v>1098758995</v>
      </c>
      <c r="B432" s="13" t="s">
        <v>3445</v>
      </c>
      <c r="C432" s="13" t="s">
        <v>3446</v>
      </c>
      <c r="D432" s="14">
        <f>VLOOKUP(A432,'[1]ExportarAExcel (2)'!E:G,3,0)</f>
        <v>3107985513</v>
      </c>
      <c r="E432" s="13" t="s">
        <v>3268</v>
      </c>
      <c r="F432" s="13" t="s">
        <v>649</v>
      </c>
      <c r="G432" s="12"/>
      <c r="H432" s="16">
        <v>175000</v>
      </c>
      <c r="I432" s="12">
        <v>0</v>
      </c>
      <c r="J432" s="12">
        <v>0</v>
      </c>
      <c r="K432" s="12"/>
    </row>
    <row r="433" spans="1:11" ht="15" customHeight="1">
      <c r="A433" s="15">
        <v>1098824495</v>
      </c>
      <c r="B433" s="13" t="s">
        <v>3447</v>
      </c>
      <c r="C433" s="13" t="s">
        <v>3448</v>
      </c>
      <c r="D433" s="14">
        <f>VLOOKUP(A433,'[1]ExportarAExcel (2)'!E:G,3,0)</f>
        <v>3185348601</v>
      </c>
      <c r="E433" s="13" t="s">
        <v>3449</v>
      </c>
      <c r="F433" s="13" t="s">
        <v>677</v>
      </c>
      <c r="G433" s="12"/>
      <c r="H433" s="16">
        <v>50000</v>
      </c>
      <c r="I433" s="12">
        <v>0</v>
      </c>
      <c r="J433" s="12">
        <v>0</v>
      </c>
      <c r="K433" s="12"/>
    </row>
    <row r="434" spans="1:11" ht="15" customHeight="1">
      <c r="A434" s="15">
        <v>1099544216</v>
      </c>
      <c r="B434" s="13" t="s">
        <v>3450</v>
      </c>
      <c r="C434" s="13" t="s">
        <v>3451</v>
      </c>
      <c r="D434" s="14">
        <f>VLOOKUP(A434,'[1]ExportarAExcel (2)'!E:G,3,0)</f>
        <v>0</v>
      </c>
      <c r="E434" s="13" t="s">
        <v>2280</v>
      </c>
      <c r="F434" s="13" t="s">
        <v>703</v>
      </c>
      <c r="G434" s="12"/>
      <c r="H434" s="16">
        <v>1000000</v>
      </c>
      <c r="I434" s="12">
        <v>0</v>
      </c>
      <c r="J434" s="12">
        <v>0</v>
      </c>
      <c r="K434" s="12"/>
    </row>
    <row r="435" spans="1:11" ht="15" customHeight="1">
      <c r="A435" s="15">
        <v>1100966847</v>
      </c>
      <c r="B435" s="13" t="s">
        <v>3452</v>
      </c>
      <c r="C435" s="13" t="s">
        <v>3453</v>
      </c>
      <c r="D435" s="14">
        <f>VLOOKUP(A435,'[1]ExportarAExcel (2)'!E:G,3,0)</f>
        <v>0</v>
      </c>
      <c r="E435" s="13" t="s">
        <v>2345</v>
      </c>
      <c r="F435" s="13" t="s">
        <v>750</v>
      </c>
      <c r="G435" s="12"/>
      <c r="H435" s="16">
        <v>2000000</v>
      </c>
      <c r="I435" s="12">
        <v>0</v>
      </c>
      <c r="J435" s="12">
        <v>0</v>
      </c>
      <c r="K435" s="12"/>
    </row>
    <row r="436" spans="1:11" ht="15" customHeight="1">
      <c r="A436" s="15">
        <v>1103115151</v>
      </c>
      <c r="B436" s="13" t="s">
        <v>3454</v>
      </c>
      <c r="C436" s="13" t="s">
        <v>3455</v>
      </c>
      <c r="D436" s="14">
        <f>VLOOKUP(A436,'[1]ExportarAExcel (2)'!E:G,3,0)</f>
        <v>3023894603</v>
      </c>
      <c r="E436" s="14" t="s">
        <v>3456</v>
      </c>
      <c r="F436" s="14" t="s">
        <v>746</v>
      </c>
      <c r="G436" s="12"/>
      <c r="H436" s="16">
        <v>500000</v>
      </c>
      <c r="I436" s="12">
        <v>0</v>
      </c>
      <c r="J436" s="12">
        <v>0</v>
      </c>
      <c r="K436" s="12"/>
    </row>
    <row r="437" spans="1:11" ht="15" customHeight="1">
      <c r="A437" s="15">
        <v>1110529692</v>
      </c>
      <c r="B437" s="13" t="s">
        <v>3457</v>
      </c>
      <c r="C437" s="13" t="s">
        <v>3458</v>
      </c>
      <c r="D437" s="14">
        <f>VLOOKUP(A437,'[1]ExportarAExcel (2)'!E:G,3,0)</f>
        <v>311529692</v>
      </c>
      <c r="E437" s="14" t="s">
        <v>3013</v>
      </c>
      <c r="F437" s="14" t="s">
        <v>554</v>
      </c>
      <c r="G437" s="12"/>
      <c r="H437" s="16">
        <v>1000000</v>
      </c>
      <c r="I437" s="12">
        <v>0</v>
      </c>
      <c r="J437" s="12">
        <v>0</v>
      </c>
      <c r="K437" s="12"/>
    </row>
    <row r="438" spans="1:11" ht="15" customHeight="1">
      <c r="A438" s="15">
        <v>1110557773</v>
      </c>
      <c r="B438" s="13" t="s">
        <v>3459</v>
      </c>
      <c r="C438" s="13" t="s">
        <v>3460</v>
      </c>
      <c r="D438" s="14">
        <f>VLOOKUP(A438,'[1]ExportarAExcel (2)'!E:G,3,0)</f>
        <v>3112334093</v>
      </c>
      <c r="E438" s="14" t="s">
        <v>2617</v>
      </c>
      <c r="F438" s="14" t="s">
        <v>554</v>
      </c>
      <c r="G438" s="12"/>
      <c r="H438" s="16">
        <v>1500000</v>
      </c>
      <c r="I438" s="12">
        <v>0</v>
      </c>
      <c r="J438" s="12">
        <v>0</v>
      </c>
      <c r="K438" s="12"/>
    </row>
    <row r="439" spans="1:11" ht="15" customHeight="1">
      <c r="A439" s="15">
        <v>1115690713</v>
      </c>
      <c r="B439" s="13" t="s">
        <v>3461</v>
      </c>
      <c r="C439" s="13" t="s">
        <v>3462</v>
      </c>
      <c r="D439" s="14">
        <f>VLOOKUP(A439,'[1]ExportarAExcel (2)'!E:G,3,0)</f>
        <v>0</v>
      </c>
      <c r="E439" s="13" t="s">
        <v>2648</v>
      </c>
      <c r="F439" s="13" t="s">
        <v>558</v>
      </c>
      <c r="G439" s="12"/>
      <c r="H439" s="16">
        <v>600000</v>
      </c>
      <c r="I439" s="12">
        <v>0</v>
      </c>
      <c r="J439" s="12">
        <v>0</v>
      </c>
      <c r="K439" s="12"/>
    </row>
    <row r="440" spans="1:11" ht="15" customHeight="1">
      <c r="A440" s="15">
        <v>1115691329</v>
      </c>
      <c r="B440" s="13" t="s">
        <v>3463</v>
      </c>
      <c r="C440" s="13" t="s">
        <v>3464</v>
      </c>
      <c r="D440" s="14">
        <f>VLOOKUP(A440,'[1]ExportarAExcel (2)'!E:G,3,0)</f>
        <v>0</v>
      </c>
      <c r="E440" s="13" t="s">
        <v>2648</v>
      </c>
      <c r="F440" s="13" t="s">
        <v>558</v>
      </c>
      <c r="G440" s="12"/>
      <c r="H440" s="16">
        <v>1220000</v>
      </c>
      <c r="I440" s="12">
        <v>0</v>
      </c>
      <c r="J440" s="12">
        <v>0</v>
      </c>
      <c r="K440" s="12"/>
    </row>
    <row r="441" spans="1:11" ht="15" customHeight="1">
      <c r="A441" s="15">
        <v>1115917804</v>
      </c>
      <c r="B441" s="13" t="s">
        <v>3465</v>
      </c>
      <c r="C441" s="13" t="s">
        <v>3466</v>
      </c>
      <c r="D441" s="14">
        <f>VLOOKUP(A441,'[1]ExportarAExcel (2)'!E:G,3,0)</f>
        <v>3223147003</v>
      </c>
      <c r="E441" s="14" t="s">
        <v>3013</v>
      </c>
      <c r="F441" s="14" t="s">
        <v>554</v>
      </c>
      <c r="G441" s="12"/>
      <c r="H441" s="16">
        <v>1651000</v>
      </c>
      <c r="I441" s="12">
        <v>0</v>
      </c>
      <c r="J441" s="12">
        <v>0</v>
      </c>
      <c r="K441" s="12"/>
    </row>
    <row r="442" spans="1:11" ht="15" customHeight="1">
      <c r="A442" s="15">
        <v>1116615267</v>
      </c>
      <c r="B442" s="13" t="s">
        <v>3467</v>
      </c>
      <c r="C442" s="13" t="s">
        <v>3468</v>
      </c>
      <c r="D442" s="14">
        <f>VLOOKUP(A442,'[1]ExportarAExcel (2)'!E:G,3,0)</f>
        <v>3186788975</v>
      </c>
      <c r="E442" s="14" t="s">
        <v>3469</v>
      </c>
      <c r="F442" s="14" t="s">
        <v>703</v>
      </c>
      <c r="G442" s="12"/>
      <c r="H442" s="16">
        <v>320000</v>
      </c>
      <c r="I442" s="12">
        <v>0</v>
      </c>
      <c r="J442" s="12">
        <v>0</v>
      </c>
      <c r="K442" s="12"/>
    </row>
    <row r="443" spans="1:11" ht="15" customHeight="1">
      <c r="A443" s="15">
        <v>1118529481</v>
      </c>
      <c r="B443" s="13" t="s">
        <v>3470</v>
      </c>
      <c r="C443" s="13" t="s">
        <v>3471</v>
      </c>
      <c r="D443" s="14">
        <f>VLOOKUP(A443,'[1]ExportarAExcel (2)'!E:G,3,0)</f>
        <v>3118105054</v>
      </c>
      <c r="E443" s="14" t="s">
        <v>3472</v>
      </c>
      <c r="F443" s="14" t="s">
        <v>558</v>
      </c>
      <c r="G443" s="12"/>
      <c r="H443" s="16">
        <v>1433000</v>
      </c>
      <c r="I443" s="12">
        <v>0</v>
      </c>
      <c r="J443" s="12">
        <v>0</v>
      </c>
      <c r="K443" s="12"/>
    </row>
    <row r="444" spans="1:11" ht="15" customHeight="1">
      <c r="A444" s="15">
        <v>1118532520</v>
      </c>
      <c r="B444" s="13" t="s">
        <v>3473</v>
      </c>
      <c r="C444" s="13" t="s">
        <v>3474</v>
      </c>
      <c r="D444" s="14">
        <f>VLOOKUP(A444,'[1]ExportarAExcel (2)'!E:G,3,0)</f>
        <v>3108387758</v>
      </c>
      <c r="E444" s="13" t="s">
        <v>2365</v>
      </c>
      <c r="F444" s="13" t="s">
        <v>554</v>
      </c>
      <c r="G444" s="12"/>
      <c r="H444" s="16">
        <v>80000</v>
      </c>
      <c r="I444" s="12">
        <v>0</v>
      </c>
      <c r="J444" s="12">
        <v>0</v>
      </c>
      <c r="K444" s="12"/>
    </row>
    <row r="445" spans="1:11" ht="15" customHeight="1">
      <c r="A445" s="15">
        <v>1118537184</v>
      </c>
      <c r="B445" s="13" t="s">
        <v>3475</v>
      </c>
      <c r="C445" s="13" t="s">
        <v>3476</v>
      </c>
      <c r="D445" s="14">
        <f>VLOOKUP(A445,'[1]ExportarAExcel (2)'!E:G,3,0)</f>
        <v>3232327614</v>
      </c>
      <c r="E445" s="14" t="s">
        <v>3477</v>
      </c>
      <c r="F445" s="14" t="s">
        <v>558</v>
      </c>
      <c r="G445" s="12"/>
      <c r="H445" s="16">
        <v>2000000</v>
      </c>
      <c r="I445" s="12">
        <v>0</v>
      </c>
      <c r="J445" s="12">
        <v>0</v>
      </c>
      <c r="K445" s="12"/>
    </row>
    <row r="446" spans="1:11" ht="15" customHeight="1">
      <c r="A446" s="15">
        <v>1118541803</v>
      </c>
      <c r="B446" s="13" t="s">
        <v>3478</v>
      </c>
      <c r="C446" s="13" t="s">
        <v>3479</v>
      </c>
      <c r="D446" s="14">
        <f>VLOOKUP(A446,'[1]ExportarAExcel (2)'!E:G,3,0)</f>
        <v>3114763820</v>
      </c>
      <c r="E446" s="14" t="s">
        <v>3480</v>
      </c>
      <c r="F446" s="14" t="s">
        <v>713</v>
      </c>
      <c r="G446" s="12"/>
      <c r="H446" s="16">
        <v>1530000</v>
      </c>
      <c r="I446" s="12">
        <v>0</v>
      </c>
      <c r="J446" s="12">
        <v>0</v>
      </c>
      <c r="K446" s="12"/>
    </row>
    <row r="447" spans="1:11" ht="15" customHeight="1">
      <c r="A447" s="15">
        <v>1118546648</v>
      </c>
      <c r="B447" s="13" t="s">
        <v>3481</v>
      </c>
      <c r="C447" s="13" t="s">
        <v>3482</v>
      </c>
      <c r="D447" s="14">
        <f>VLOOKUP(A447,'[1]ExportarAExcel (2)'!E:G,3,0)</f>
        <v>3209050431</v>
      </c>
      <c r="E447" s="13" t="s">
        <v>2645</v>
      </c>
      <c r="F447" s="13" t="s">
        <v>560</v>
      </c>
      <c r="G447" s="12"/>
      <c r="H447" s="16">
        <v>433520</v>
      </c>
      <c r="I447" s="12">
        <v>0</v>
      </c>
      <c r="J447" s="12">
        <v>0</v>
      </c>
      <c r="K447" s="12"/>
    </row>
    <row r="448" spans="1:11" ht="15" customHeight="1">
      <c r="A448" s="15">
        <v>1118549634</v>
      </c>
      <c r="B448" s="13" t="s">
        <v>3483</v>
      </c>
      <c r="C448" s="13" t="s">
        <v>3484</v>
      </c>
      <c r="D448" s="14">
        <f>VLOOKUP(A448,'[1]ExportarAExcel (2)'!E:G,3,0)</f>
        <v>3102368000</v>
      </c>
      <c r="E448" s="14" t="s">
        <v>2996</v>
      </c>
      <c r="F448" s="14" t="s">
        <v>558</v>
      </c>
      <c r="G448" s="12"/>
      <c r="H448" s="16">
        <v>7080000</v>
      </c>
      <c r="I448" s="12">
        <v>0</v>
      </c>
      <c r="J448" s="12">
        <v>0</v>
      </c>
      <c r="K448" s="12"/>
    </row>
    <row r="449" spans="1:11" ht="15" customHeight="1">
      <c r="A449" s="15">
        <v>1118571651</v>
      </c>
      <c r="B449" s="13" t="s">
        <v>3485</v>
      </c>
      <c r="C449" s="13" t="s">
        <v>3486</v>
      </c>
      <c r="D449" s="14">
        <f>VLOOKUP(A449,'[1]ExportarAExcel (2)'!E:G,3,0)</f>
        <v>3223780097</v>
      </c>
      <c r="E449" s="14" t="s">
        <v>3487</v>
      </c>
      <c r="F449" s="14" t="s">
        <v>554</v>
      </c>
      <c r="G449" s="12"/>
      <c r="H449" s="16">
        <f>1429000+457000</f>
        <v>1886000</v>
      </c>
      <c r="I449" s="12">
        <v>0</v>
      </c>
      <c r="J449" s="12">
        <v>0</v>
      </c>
      <c r="K449" s="12"/>
    </row>
    <row r="450" spans="1:11" ht="15" customHeight="1">
      <c r="A450" s="15">
        <v>1136888186</v>
      </c>
      <c r="B450" s="13" t="s">
        <v>3488</v>
      </c>
      <c r="C450" s="13" t="s">
        <v>3489</v>
      </c>
      <c r="D450" s="14">
        <f>VLOOKUP(A450,'[1]ExportarAExcel (2)'!E:G,3,0)</f>
        <v>3208646247</v>
      </c>
      <c r="E450" s="13" t="s">
        <v>3490</v>
      </c>
      <c r="F450" s="13" t="s">
        <v>628</v>
      </c>
      <c r="G450" s="12"/>
      <c r="H450" s="16">
        <v>1981000</v>
      </c>
      <c r="I450" s="12">
        <v>0</v>
      </c>
      <c r="J450" s="12">
        <v>0</v>
      </c>
      <c r="K450" s="12"/>
    </row>
    <row r="451" spans="1:11" ht="15" customHeight="1">
      <c r="A451" s="15">
        <v>1143377049</v>
      </c>
      <c r="B451" s="13" t="s">
        <v>3491</v>
      </c>
      <c r="C451" s="13" t="s">
        <v>3492</v>
      </c>
      <c r="D451" s="14">
        <f>VLOOKUP(A451,'[1]ExportarAExcel (2)'!E:G,3,0)</f>
        <v>0</v>
      </c>
      <c r="E451" s="14" t="s">
        <v>2400</v>
      </c>
      <c r="F451" s="14" t="s">
        <v>695</v>
      </c>
      <c r="G451" s="12"/>
      <c r="H451" s="16">
        <v>1668450</v>
      </c>
      <c r="I451" s="12">
        <v>0</v>
      </c>
      <c r="J451" s="12">
        <v>0</v>
      </c>
      <c r="K451" s="12"/>
    </row>
    <row r="452" spans="1:11" ht="15" customHeight="1">
      <c r="A452" s="15">
        <v>1193115481</v>
      </c>
      <c r="B452" s="13" t="s">
        <v>3493</v>
      </c>
      <c r="C452" s="13" t="s">
        <v>2582</v>
      </c>
      <c r="D452" s="14">
        <f>VLOOKUP(A452,'[1]ExportarAExcel (2)'!E:G,3,0)</f>
        <v>3215938910</v>
      </c>
      <c r="E452" s="14" t="s">
        <v>3494</v>
      </c>
      <c r="F452" s="14" t="s">
        <v>695</v>
      </c>
      <c r="G452" s="12"/>
      <c r="H452" s="16">
        <v>72000</v>
      </c>
      <c r="I452" s="12">
        <v>0</v>
      </c>
      <c r="J452" s="12">
        <v>0</v>
      </c>
      <c r="K452" s="12"/>
    </row>
    <row r="453" spans="1:11" ht="15" customHeight="1">
      <c r="A453" s="15">
        <v>1193542071</v>
      </c>
      <c r="B453" s="13" t="s">
        <v>3495</v>
      </c>
      <c r="C453" s="13" t="s">
        <v>3496</v>
      </c>
      <c r="D453" s="14">
        <f>VLOOKUP(A453,'[1]ExportarAExcel (2)'!E:G,3,0)</f>
        <v>3114586573</v>
      </c>
      <c r="E453" s="13" t="s">
        <v>3497</v>
      </c>
      <c r="F453" s="13" t="s">
        <v>713</v>
      </c>
      <c r="G453" s="12"/>
      <c r="H453" s="16">
        <v>280000</v>
      </c>
      <c r="I453" s="12">
        <v>0</v>
      </c>
      <c r="J453" s="12">
        <v>0</v>
      </c>
      <c r="K453" s="12"/>
    </row>
    <row r="454" spans="1:11" ht="15" customHeight="1">
      <c r="A454" s="15">
        <v>1233895567</v>
      </c>
      <c r="B454" s="13" t="s">
        <v>3498</v>
      </c>
      <c r="C454" s="13" t="s">
        <v>3499</v>
      </c>
      <c r="D454" s="14">
        <f>VLOOKUP(A454,'[1]ExportarAExcel (2)'!E:G,3,0)</f>
        <v>3123663281</v>
      </c>
      <c r="E454" s="13" t="s">
        <v>3500</v>
      </c>
      <c r="F454" s="13" t="s">
        <v>701</v>
      </c>
      <c r="G454" s="12"/>
      <c r="H454" s="16">
        <v>120000</v>
      </c>
      <c r="I454" s="12">
        <v>0</v>
      </c>
      <c r="J454" s="12">
        <v>0</v>
      </c>
      <c r="K454" s="12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conditionalFormatting sqref="A7:A454">
    <cfRule type="duplicateValues" dxfId="1" priority="1"/>
    <cfRule type="duplicateValues" dxfId="0" priority="2"/>
  </conditionalFormatting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>
      <formula1>0</formula1>
      <formula2>9.99999999999999E+32</formula2>
    </dataValidation>
    <dataValidation type="whole" showErrorMessage="1" errorTitle="Valor Inválido" error="La información no se encuentra debidamente diligenciada. Revise." sqref="J7:J1048576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workbookViewId="0">
      <selection activeCell="B1" sqref="B1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4" t="s">
        <v>10</v>
      </c>
      <c r="B1" s="5" t="s">
        <v>11</v>
      </c>
    </row>
    <row r="2" spans="1:2">
      <c r="A2" s="6">
        <v>101</v>
      </c>
      <c r="B2" s="7" t="s">
        <v>12</v>
      </c>
    </row>
    <row r="3" spans="1:2">
      <c r="A3" s="6">
        <v>102</v>
      </c>
      <c r="B3" s="7" t="s">
        <v>13</v>
      </c>
    </row>
    <row r="4" spans="1:2">
      <c r="A4" s="6">
        <v>103</v>
      </c>
      <c r="B4" s="7" t="s">
        <v>14</v>
      </c>
    </row>
    <row r="5" spans="1:2">
      <c r="A5" s="6">
        <v>104</v>
      </c>
      <c r="B5" s="7" t="s">
        <v>15</v>
      </c>
    </row>
    <row r="6" spans="1:2">
      <c r="A6" s="6">
        <v>105</v>
      </c>
      <c r="B6" s="7" t="s">
        <v>16</v>
      </c>
    </row>
    <row r="7" spans="1:2">
      <c r="A7" s="6">
        <v>106</v>
      </c>
      <c r="B7" s="7" t="s">
        <v>17</v>
      </c>
    </row>
    <row r="8" spans="1:2">
      <c r="A8" s="6">
        <v>107</v>
      </c>
      <c r="B8" s="7" t="s">
        <v>18</v>
      </c>
    </row>
    <row r="9" spans="1:2">
      <c r="A9" s="6">
        <v>108</v>
      </c>
      <c r="B9" s="7" t="s">
        <v>19</v>
      </c>
    </row>
    <row r="10" spans="1:2">
      <c r="A10" s="6">
        <v>109</v>
      </c>
      <c r="B10" s="7" t="s">
        <v>20</v>
      </c>
    </row>
    <row r="11" spans="1:2">
      <c r="A11" s="6">
        <v>110</v>
      </c>
      <c r="B11" s="7" t="s">
        <v>21</v>
      </c>
    </row>
    <row r="12" spans="1:2">
      <c r="A12" s="6">
        <v>111</v>
      </c>
      <c r="B12" s="7" t="s">
        <v>22</v>
      </c>
    </row>
    <row r="13" spans="1:2">
      <c r="A13" s="6">
        <v>112</v>
      </c>
      <c r="B13" s="7" t="s">
        <v>23</v>
      </c>
    </row>
    <row r="14" spans="1:2">
      <c r="A14" s="6">
        <v>113</v>
      </c>
      <c r="B14" s="7" t="s">
        <v>24</v>
      </c>
    </row>
    <row r="15" spans="1:2">
      <c r="A15" s="6">
        <v>114</v>
      </c>
      <c r="B15" s="7" t="s">
        <v>25</v>
      </c>
    </row>
    <row r="16" spans="1:2">
      <c r="A16" s="6">
        <v>201</v>
      </c>
      <c r="B16" s="7" t="s">
        <v>26</v>
      </c>
    </row>
    <row r="17" spans="1:2">
      <c r="A17" s="6">
        <v>202</v>
      </c>
      <c r="B17" s="7" t="s">
        <v>27</v>
      </c>
    </row>
    <row r="18" spans="1:2">
      <c r="A18" s="6">
        <v>203</v>
      </c>
      <c r="B18" s="7" t="s">
        <v>28</v>
      </c>
    </row>
    <row r="19" spans="1:2">
      <c r="A19" s="6">
        <v>204</v>
      </c>
      <c r="B19" s="7" t="s">
        <v>29</v>
      </c>
    </row>
    <row r="20" spans="1:2">
      <c r="A20" s="6">
        <v>205</v>
      </c>
      <c r="B20" s="7" t="s">
        <v>30</v>
      </c>
    </row>
    <row r="21" spans="1:2" ht="15.75" customHeight="1">
      <c r="A21" s="6">
        <v>206</v>
      </c>
      <c r="B21" s="7" t="s">
        <v>31</v>
      </c>
    </row>
    <row r="22" spans="1:2" ht="15.75" customHeight="1">
      <c r="A22" s="6">
        <v>207</v>
      </c>
      <c r="B22" s="7" t="s">
        <v>32</v>
      </c>
    </row>
    <row r="23" spans="1:2" ht="15.75" customHeight="1">
      <c r="A23" s="6">
        <v>208</v>
      </c>
      <c r="B23" s="7" t="s">
        <v>33</v>
      </c>
    </row>
    <row r="24" spans="1:2" ht="15.75" customHeight="1">
      <c r="A24" s="6">
        <v>209</v>
      </c>
      <c r="B24" s="7" t="s">
        <v>34</v>
      </c>
    </row>
    <row r="25" spans="1:2" ht="15.75" customHeight="1">
      <c r="A25" s="6">
        <v>210</v>
      </c>
      <c r="B25" s="7" t="s">
        <v>35</v>
      </c>
    </row>
    <row r="26" spans="1:2" ht="15.75" customHeight="1">
      <c r="A26" s="6">
        <v>211</v>
      </c>
      <c r="B26" s="7" t="s">
        <v>36</v>
      </c>
    </row>
    <row r="27" spans="1:2" ht="15.75" customHeight="1">
      <c r="A27" s="6">
        <v>212</v>
      </c>
      <c r="B27" s="7" t="s">
        <v>37</v>
      </c>
    </row>
    <row r="28" spans="1:2" ht="15.75" customHeight="1">
      <c r="A28" s="6">
        <v>213</v>
      </c>
      <c r="B28" s="7" t="s">
        <v>38</v>
      </c>
    </row>
    <row r="29" spans="1:2" ht="15.75" customHeight="1">
      <c r="A29" s="6">
        <v>214</v>
      </c>
      <c r="B29" s="7" t="s">
        <v>39</v>
      </c>
    </row>
    <row r="30" spans="1:2" ht="15.75" customHeight="1">
      <c r="A30" s="6">
        <v>215</v>
      </c>
      <c r="B30" s="7" t="s">
        <v>40</v>
      </c>
    </row>
    <row r="31" spans="1:2" ht="15.75" customHeight="1">
      <c r="A31" s="6">
        <v>216</v>
      </c>
      <c r="B31" s="7" t="s">
        <v>41</v>
      </c>
    </row>
    <row r="32" spans="1:2" ht="15.75" customHeight="1">
      <c r="A32" s="6">
        <v>217</v>
      </c>
      <c r="B32" s="7" t="s">
        <v>42</v>
      </c>
    </row>
    <row r="33" spans="1:2" ht="15.75" customHeight="1">
      <c r="A33" s="6">
        <v>219</v>
      </c>
      <c r="B33" s="7" t="s">
        <v>43</v>
      </c>
    </row>
    <row r="34" spans="1:2" ht="15.75" customHeight="1">
      <c r="A34" s="6">
        <v>301</v>
      </c>
      <c r="B34" s="7" t="s">
        <v>44</v>
      </c>
    </row>
    <row r="35" spans="1:2" ht="15.75" customHeight="1">
      <c r="A35" s="6">
        <v>302</v>
      </c>
      <c r="B35" s="7" t="s">
        <v>45</v>
      </c>
    </row>
    <row r="36" spans="1:2" ht="15.75" customHeight="1">
      <c r="A36" s="6">
        <v>303</v>
      </c>
      <c r="B36" s="7" t="s">
        <v>46</v>
      </c>
    </row>
    <row r="37" spans="1:2" ht="15.75" customHeight="1">
      <c r="A37" s="6">
        <v>304</v>
      </c>
      <c r="B37" s="7" t="s">
        <v>47</v>
      </c>
    </row>
    <row r="38" spans="1:2" ht="15.75" customHeight="1">
      <c r="A38" s="6">
        <v>305</v>
      </c>
      <c r="B38" s="7" t="s">
        <v>48</v>
      </c>
    </row>
    <row r="39" spans="1:2" ht="15.75" customHeight="1">
      <c r="A39" s="6">
        <v>306</v>
      </c>
      <c r="B39" s="7" t="s">
        <v>49</v>
      </c>
    </row>
    <row r="40" spans="1:2" ht="15.75" customHeight="1">
      <c r="A40" s="6">
        <v>307</v>
      </c>
      <c r="B40" s="7" t="s">
        <v>50</v>
      </c>
    </row>
    <row r="41" spans="1:2" ht="15.75" customHeight="1">
      <c r="A41" s="6">
        <v>308</v>
      </c>
      <c r="B41" s="7" t="s">
        <v>51</v>
      </c>
    </row>
    <row r="42" spans="1:2" ht="15.75" customHeight="1">
      <c r="A42" s="6">
        <v>309</v>
      </c>
      <c r="B42" s="7" t="s">
        <v>52</v>
      </c>
    </row>
    <row r="43" spans="1:2" ht="15.75" customHeight="1">
      <c r="A43" s="6">
        <v>310</v>
      </c>
      <c r="B43" s="7" t="s">
        <v>53</v>
      </c>
    </row>
    <row r="44" spans="1:2" ht="15.75" customHeight="1">
      <c r="A44" s="6">
        <v>311</v>
      </c>
      <c r="B44" s="7" t="s">
        <v>54</v>
      </c>
    </row>
    <row r="45" spans="1:2" ht="15.75" customHeight="1">
      <c r="A45" s="6">
        <v>312</v>
      </c>
      <c r="B45" s="7" t="s">
        <v>55</v>
      </c>
    </row>
    <row r="46" spans="1:2" ht="15.75" customHeight="1">
      <c r="A46" s="6">
        <v>313</v>
      </c>
      <c r="B46" s="7" t="s">
        <v>56</v>
      </c>
    </row>
    <row r="47" spans="1:2" ht="15.75" customHeight="1">
      <c r="A47" s="6">
        <v>314</v>
      </c>
      <c r="B47" s="7" t="s">
        <v>57</v>
      </c>
    </row>
    <row r="48" spans="1:2" ht="15.75" customHeight="1">
      <c r="A48" s="6">
        <v>315</v>
      </c>
      <c r="B48" s="7" t="s">
        <v>58</v>
      </c>
    </row>
    <row r="49" spans="1:2" ht="15.75" customHeight="1">
      <c r="A49" s="6">
        <v>316</v>
      </c>
      <c r="B49" s="7" t="s">
        <v>59</v>
      </c>
    </row>
    <row r="50" spans="1:2" ht="15.75" customHeight="1">
      <c r="A50" s="6">
        <v>317</v>
      </c>
      <c r="B50" s="7" t="s">
        <v>60</v>
      </c>
    </row>
    <row r="51" spans="1:2" ht="15.75" customHeight="1">
      <c r="A51" s="6">
        <v>318</v>
      </c>
      <c r="B51" s="7" t="s">
        <v>61</v>
      </c>
    </row>
    <row r="52" spans="1:2" ht="15.75" customHeight="1">
      <c r="A52" s="6">
        <v>319</v>
      </c>
      <c r="B52" s="7" t="s">
        <v>62</v>
      </c>
    </row>
    <row r="53" spans="1:2" ht="15.75" customHeight="1">
      <c r="A53" s="6">
        <v>320</v>
      </c>
      <c r="B53" s="7" t="s">
        <v>63</v>
      </c>
    </row>
    <row r="54" spans="1:2" ht="15.75" customHeight="1">
      <c r="A54" s="6">
        <v>321</v>
      </c>
      <c r="B54" s="7" t="s">
        <v>64</v>
      </c>
    </row>
    <row r="55" spans="1:2" ht="15.75" customHeight="1">
      <c r="A55" s="6">
        <v>322</v>
      </c>
      <c r="B55" s="7" t="s">
        <v>65</v>
      </c>
    </row>
    <row r="56" spans="1:2" ht="15.75" customHeight="1">
      <c r="A56" s="6">
        <v>323</v>
      </c>
      <c r="B56" s="7" t="s">
        <v>66</v>
      </c>
    </row>
    <row r="57" spans="1:2" ht="15.75" customHeight="1">
      <c r="A57" s="6">
        <v>324</v>
      </c>
      <c r="B57" s="7" t="s">
        <v>67</v>
      </c>
    </row>
    <row r="58" spans="1:2" ht="15.75" customHeight="1">
      <c r="A58" s="6">
        <v>325</v>
      </c>
      <c r="B58" s="7" t="s">
        <v>68</v>
      </c>
    </row>
    <row r="59" spans="1:2" ht="15.75" customHeight="1">
      <c r="A59" s="6">
        <v>326</v>
      </c>
      <c r="B59" s="7" t="s">
        <v>69</v>
      </c>
    </row>
    <row r="60" spans="1:2" ht="15.75" customHeight="1">
      <c r="A60" s="6">
        <v>327</v>
      </c>
      <c r="B60" s="7" t="s">
        <v>70</v>
      </c>
    </row>
    <row r="61" spans="1:2" ht="15.75" customHeight="1">
      <c r="A61" s="6">
        <v>328</v>
      </c>
      <c r="B61" s="7" t="s">
        <v>71</v>
      </c>
    </row>
    <row r="62" spans="1:2" ht="15.75" customHeight="1">
      <c r="A62" s="6">
        <v>329</v>
      </c>
      <c r="B62" s="7" t="s">
        <v>72</v>
      </c>
    </row>
    <row r="63" spans="1:2" ht="15.75" customHeight="1">
      <c r="A63" s="6">
        <v>330</v>
      </c>
      <c r="B63" s="7" t="s">
        <v>73</v>
      </c>
    </row>
    <row r="64" spans="1:2" ht="15.75" customHeight="1">
      <c r="A64" s="6">
        <v>331</v>
      </c>
      <c r="B64" s="7" t="s">
        <v>74</v>
      </c>
    </row>
    <row r="65" spans="1:2" ht="15.75" customHeight="1">
      <c r="A65" s="6">
        <v>332</v>
      </c>
      <c r="B65" s="7" t="s">
        <v>75</v>
      </c>
    </row>
    <row r="66" spans="1:2" ht="15.75" customHeight="1">
      <c r="A66" s="6">
        <v>333</v>
      </c>
      <c r="B66" s="7" t="s">
        <v>76</v>
      </c>
    </row>
    <row r="67" spans="1:2" ht="15.75" customHeight="1">
      <c r="A67" s="6">
        <v>334</v>
      </c>
      <c r="B67" s="7" t="s">
        <v>77</v>
      </c>
    </row>
    <row r="68" spans="1:2" ht="15.75" customHeight="1">
      <c r="A68" s="6">
        <v>401</v>
      </c>
      <c r="B68" s="7" t="s">
        <v>78</v>
      </c>
    </row>
    <row r="69" spans="1:2" ht="15.75" customHeight="1">
      <c r="A69" s="6">
        <v>402</v>
      </c>
      <c r="B69" s="7" t="s">
        <v>79</v>
      </c>
    </row>
    <row r="70" spans="1:2" ht="15.75" customHeight="1">
      <c r="A70" s="6">
        <v>602</v>
      </c>
      <c r="B70" s="7" t="s">
        <v>80</v>
      </c>
    </row>
    <row r="71" spans="1:2" ht="15.75" customHeight="1">
      <c r="A71" s="8"/>
      <c r="B71" s="8"/>
    </row>
    <row r="72" spans="1:2" ht="15.75" customHeight="1">
      <c r="A72" s="8"/>
      <c r="B72" s="8"/>
    </row>
    <row r="73" spans="1:2" ht="15.75" customHeight="1">
      <c r="A73" s="8"/>
      <c r="B73" s="8"/>
    </row>
    <row r="74" spans="1:2" ht="15.75" customHeight="1">
      <c r="A74" s="8"/>
      <c r="B74" s="8"/>
    </row>
    <row r="75" spans="1:2" ht="15.75" customHeight="1">
      <c r="A75" s="8"/>
    </row>
    <row r="76" spans="1:2" ht="15.75" customHeight="1">
      <c r="A76" s="8"/>
    </row>
    <row r="77" spans="1:2" ht="15.75" customHeight="1">
      <c r="A77" s="8"/>
    </row>
    <row r="78" spans="1:2" ht="15.75" customHeight="1">
      <c r="A78" s="8"/>
    </row>
    <row r="79" spans="1:2" ht="15.75" customHeight="1">
      <c r="A79" s="8"/>
    </row>
    <row r="80" spans="1:2" ht="15.75" customHeight="1">
      <c r="A80" s="8"/>
    </row>
    <row r="81" spans="1:1" ht="15.75" customHeight="1">
      <c r="A81" s="8"/>
    </row>
    <row r="82" spans="1:1" ht="15.75" customHeight="1">
      <c r="A82" s="8"/>
    </row>
    <row r="83" spans="1:1" ht="15.75" customHeight="1">
      <c r="A83" s="8"/>
    </row>
    <row r="84" spans="1:1" ht="15.75" customHeight="1">
      <c r="A84" s="8"/>
    </row>
    <row r="85" spans="1:1" ht="15.75" customHeight="1">
      <c r="A85" s="8"/>
    </row>
    <row r="86" spans="1:1" ht="15.75" customHeight="1">
      <c r="A86" s="8"/>
    </row>
    <row r="87" spans="1:1" ht="15.75" customHeight="1">
      <c r="A87" s="8"/>
    </row>
    <row r="88" spans="1:1" ht="15.75" customHeight="1">
      <c r="A88" s="8"/>
    </row>
    <row r="89" spans="1:1" ht="15.75" customHeight="1">
      <c r="A89" s="8"/>
    </row>
    <row r="90" spans="1:1" ht="15.75" customHeight="1">
      <c r="A90" s="8"/>
    </row>
    <row r="91" spans="1:1" ht="15.75" customHeight="1">
      <c r="A91" s="8"/>
    </row>
    <row r="92" spans="1:1" ht="15.75" customHeight="1">
      <c r="A92" s="8"/>
    </row>
    <row r="93" spans="1:1" ht="15.75" customHeight="1">
      <c r="A93" s="8"/>
    </row>
    <row r="94" spans="1:1" ht="15.75" customHeight="1">
      <c r="A94" s="8"/>
    </row>
    <row r="95" spans="1:1" ht="15.75" customHeight="1">
      <c r="A95" s="8"/>
    </row>
    <row r="96" spans="1:1" ht="15.75" customHeight="1">
      <c r="A96" s="8"/>
    </row>
    <row r="97" spans="1:1" ht="15.75" customHeight="1">
      <c r="A97" s="8"/>
    </row>
    <row r="98" spans="1:1" ht="15.75" customHeight="1">
      <c r="A98" s="8"/>
    </row>
    <row r="99" spans="1:1" ht="15.75" customHeight="1">
      <c r="A99" s="8"/>
    </row>
    <row r="100" spans="1:1" ht="15.75" customHeight="1">
      <c r="A100" s="8"/>
    </row>
    <row r="101" spans="1:1" ht="15.75" customHeight="1">
      <c r="A101" s="8"/>
    </row>
    <row r="102" spans="1:1" ht="15.75" customHeight="1">
      <c r="A102" s="8"/>
    </row>
    <row r="103" spans="1:1" ht="15.75" customHeight="1">
      <c r="A103" s="8"/>
    </row>
    <row r="104" spans="1:1" ht="15.75" customHeight="1">
      <c r="A104" s="8"/>
    </row>
    <row r="105" spans="1:1" ht="15.75" customHeight="1">
      <c r="A105" s="8"/>
    </row>
    <row r="106" spans="1:1" ht="15.75" customHeight="1">
      <c r="A106" s="8"/>
    </row>
    <row r="107" spans="1:1" ht="15.75" customHeight="1">
      <c r="A107" s="8"/>
    </row>
    <row r="108" spans="1:1" ht="15.75" customHeight="1">
      <c r="A108" s="8"/>
    </row>
    <row r="109" spans="1:1" ht="15.75" customHeight="1">
      <c r="A109" s="8"/>
    </row>
    <row r="110" spans="1:1" ht="15.75" customHeight="1">
      <c r="A110" s="8"/>
    </row>
    <row r="111" spans="1:1" ht="15.75" customHeight="1">
      <c r="A111" s="8"/>
    </row>
    <row r="112" spans="1:1" ht="15.75" customHeight="1">
      <c r="A112" s="8"/>
    </row>
    <row r="113" spans="1:1" ht="15.75" customHeight="1">
      <c r="A113" s="8"/>
    </row>
    <row r="114" spans="1:1" ht="15.75" customHeight="1">
      <c r="A114" s="8"/>
    </row>
    <row r="115" spans="1:1" ht="15.75" customHeight="1">
      <c r="A115" s="8"/>
    </row>
    <row r="116" spans="1:1" ht="15.75" customHeight="1">
      <c r="A116" s="8"/>
    </row>
    <row r="117" spans="1:1" ht="15.75" customHeight="1">
      <c r="A117" s="8"/>
    </row>
    <row r="118" spans="1:1" ht="15.75" customHeight="1">
      <c r="A118" s="8"/>
    </row>
    <row r="119" spans="1:1" ht="15.75" customHeight="1">
      <c r="A119" s="8"/>
    </row>
    <row r="120" spans="1:1" ht="15.75" customHeight="1">
      <c r="A120" s="8"/>
    </row>
    <row r="121" spans="1:1" ht="15.75" customHeight="1">
      <c r="A121" s="8"/>
    </row>
    <row r="122" spans="1:1" ht="15.75" customHeight="1">
      <c r="A122" s="8"/>
    </row>
    <row r="123" spans="1:1" ht="15.75" customHeight="1">
      <c r="A123" s="8"/>
    </row>
    <row r="124" spans="1:1" ht="15.75" customHeight="1">
      <c r="A124" s="8"/>
    </row>
    <row r="125" spans="1:1" ht="15.75" customHeight="1">
      <c r="A125" s="8"/>
    </row>
    <row r="126" spans="1:1" ht="15.75" customHeight="1">
      <c r="A126" s="8"/>
    </row>
    <row r="127" spans="1:1" ht="15.75" customHeight="1">
      <c r="A127" s="8"/>
    </row>
    <row r="128" spans="1:1" ht="15.75" customHeight="1">
      <c r="A128" s="8"/>
    </row>
    <row r="129" spans="1:1" ht="15.75" customHeight="1">
      <c r="A129" s="8"/>
    </row>
    <row r="130" spans="1:1" ht="15.75" customHeight="1">
      <c r="A130" s="8"/>
    </row>
    <row r="131" spans="1:1" ht="15.75" customHeight="1">
      <c r="A131" s="8"/>
    </row>
    <row r="132" spans="1:1" ht="15.75" customHeight="1">
      <c r="A132" s="8"/>
    </row>
    <row r="133" spans="1:1" ht="15.75" customHeight="1">
      <c r="A133" s="8"/>
    </row>
    <row r="134" spans="1:1" ht="15.75" customHeight="1">
      <c r="A134" s="8"/>
    </row>
    <row r="135" spans="1:1" ht="15.75" customHeight="1">
      <c r="A135" s="8"/>
    </row>
    <row r="136" spans="1:1" ht="15.75" customHeight="1">
      <c r="A136" s="8"/>
    </row>
    <row r="137" spans="1:1" ht="15.75" customHeight="1">
      <c r="A137" s="8"/>
    </row>
    <row r="138" spans="1:1" ht="15.75" customHeight="1">
      <c r="A138" s="8"/>
    </row>
    <row r="139" spans="1:1" ht="15.75" customHeight="1">
      <c r="A139" s="8"/>
    </row>
    <row r="140" spans="1:1" ht="15.75" customHeight="1">
      <c r="A140" s="8"/>
    </row>
    <row r="141" spans="1:1" ht="15.75" customHeight="1">
      <c r="A141" s="8"/>
    </row>
    <row r="142" spans="1:1" ht="15.75" customHeight="1">
      <c r="A142" s="8"/>
    </row>
    <row r="143" spans="1:1" ht="15.75" customHeight="1">
      <c r="A143" s="8"/>
    </row>
    <row r="144" spans="1:1" ht="15.75" customHeight="1">
      <c r="A144" s="8"/>
    </row>
    <row r="145" spans="1:1" ht="15.75" customHeight="1">
      <c r="A145" s="8"/>
    </row>
    <row r="146" spans="1:1" ht="15.75" customHeight="1">
      <c r="A146" s="8"/>
    </row>
    <row r="147" spans="1:1" ht="15.75" customHeight="1">
      <c r="A147" s="8"/>
    </row>
    <row r="148" spans="1:1" ht="15.75" customHeight="1">
      <c r="A148" s="8"/>
    </row>
    <row r="149" spans="1:1" ht="15.75" customHeight="1">
      <c r="A149" s="8"/>
    </row>
    <row r="150" spans="1:1" ht="15.75" customHeight="1">
      <c r="A150" s="8"/>
    </row>
    <row r="151" spans="1:1" ht="15.75" customHeight="1">
      <c r="A151" s="8"/>
    </row>
    <row r="152" spans="1:1" ht="15.75" customHeight="1">
      <c r="A152" s="8"/>
    </row>
    <row r="153" spans="1:1" ht="15.75" customHeight="1">
      <c r="A153" s="8"/>
    </row>
    <row r="154" spans="1:1" ht="15.75" customHeight="1">
      <c r="A154" s="8"/>
    </row>
    <row r="155" spans="1:1" ht="15.75" customHeight="1">
      <c r="A155" s="8"/>
    </row>
    <row r="156" spans="1:1" ht="15.75" customHeight="1">
      <c r="A156" s="8"/>
    </row>
    <row r="157" spans="1:1" ht="15.75" customHeight="1">
      <c r="A157" s="8"/>
    </row>
    <row r="158" spans="1:1" ht="15.75" customHeight="1">
      <c r="A158" s="8"/>
    </row>
    <row r="159" spans="1:1" ht="15.75" customHeight="1">
      <c r="A159" s="8"/>
    </row>
    <row r="160" spans="1:1" ht="15.75" customHeight="1">
      <c r="A160" s="8"/>
    </row>
    <row r="161" spans="1:1" ht="15.75" customHeight="1">
      <c r="A161" s="8"/>
    </row>
    <row r="162" spans="1:1" ht="15.75" customHeight="1">
      <c r="A162" s="8"/>
    </row>
    <row r="163" spans="1:1" ht="15.75" customHeight="1">
      <c r="A163" s="8"/>
    </row>
    <row r="164" spans="1:1" ht="15.75" customHeight="1">
      <c r="A164" s="8"/>
    </row>
    <row r="165" spans="1:1" ht="15.75" customHeight="1">
      <c r="A165" s="8"/>
    </row>
    <row r="166" spans="1:1" ht="15.75" customHeight="1">
      <c r="A166" s="8"/>
    </row>
    <row r="167" spans="1:1" ht="15.75" customHeight="1">
      <c r="A167" s="8"/>
    </row>
    <row r="168" spans="1:1" ht="15.75" customHeight="1">
      <c r="A168" s="8"/>
    </row>
    <row r="169" spans="1:1" ht="15.75" customHeight="1">
      <c r="A169" s="8"/>
    </row>
    <row r="170" spans="1:1" ht="15.75" customHeight="1">
      <c r="A170" s="8"/>
    </row>
    <row r="171" spans="1:1" ht="15.75" customHeight="1">
      <c r="A171" s="8"/>
    </row>
    <row r="172" spans="1:1" ht="15.75" customHeight="1">
      <c r="A172" s="8"/>
    </row>
    <row r="173" spans="1:1" ht="15.75" customHeight="1">
      <c r="A173" s="8"/>
    </row>
    <row r="174" spans="1:1" ht="15.75" customHeight="1">
      <c r="A174" s="8"/>
    </row>
    <row r="175" spans="1:1" ht="15.75" customHeight="1">
      <c r="A175" s="8"/>
    </row>
    <row r="176" spans="1:1" ht="15.75" customHeight="1">
      <c r="A176" s="8"/>
    </row>
    <row r="177" spans="1:1" ht="15.75" customHeight="1">
      <c r="A177" s="8"/>
    </row>
    <row r="178" spans="1:1" ht="15.75" customHeight="1">
      <c r="A178" s="8"/>
    </row>
    <row r="179" spans="1:1" ht="15.75" customHeight="1">
      <c r="A179" s="8"/>
    </row>
    <row r="180" spans="1:1" ht="15.75" customHeight="1">
      <c r="A180" s="8"/>
    </row>
    <row r="181" spans="1:1" ht="15.75" customHeight="1">
      <c r="A181" s="8"/>
    </row>
    <row r="182" spans="1:1" ht="15.75" customHeight="1">
      <c r="A182" s="8"/>
    </row>
    <row r="183" spans="1:1" ht="15.75" customHeight="1">
      <c r="A183" s="8"/>
    </row>
    <row r="184" spans="1:1" ht="15.75" customHeight="1">
      <c r="A184" s="8"/>
    </row>
    <row r="185" spans="1:1" ht="15.75" customHeight="1">
      <c r="A185" s="8"/>
    </row>
    <row r="186" spans="1:1" ht="15.75" customHeight="1">
      <c r="A186" s="8"/>
    </row>
    <row r="187" spans="1:1" ht="15.75" customHeight="1">
      <c r="A187" s="8"/>
    </row>
    <row r="188" spans="1:1" ht="15.75" customHeight="1">
      <c r="A188" s="8"/>
    </row>
    <row r="189" spans="1:1" ht="15.75" customHeight="1">
      <c r="A189" s="8"/>
    </row>
    <row r="190" spans="1:1" ht="15.75" customHeight="1">
      <c r="A190" s="8"/>
    </row>
    <row r="191" spans="1:1" ht="15.75" customHeight="1">
      <c r="A191" s="8"/>
    </row>
    <row r="192" spans="1:1" ht="15.75" customHeight="1">
      <c r="A192" s="8"/>
    </row>
    <row r="193" spans="1:1" ht="15.75" customHeight="1">
      <c r="A193" s="8"/>
    </row>
    <row r="194" spans="1:1" ht="15.75" customHeight="1">
      <c r="A194" s="8"/>
    </row>
    <row r="195" spans="1:1" ht="15.75" customHeight="1">
      <c r="A195" s="8"/>
    </row>
    <row r="196" spans="1:1" ht="15.75" customHeight="1">
      <c r="A196" s="8"/>
    </row>
    <row r="197" spans="1:1" ht="15.75" customHeight="1">
      <c r="A197" s="8"/>
    </row>
    <row r="198" spans="1:1" ht="15.75" customHeight="1">
      <c r="A198" s="8"/>
    </row>
    <row r="199" spans="1:1" ht="15.75" customHeight="1">
      <c r="A199" s="8"/>
    </row>
    <row r="200" spans="1:1" ht="15.75" customHeight="1">
      <c r="A200" s="8"/>
    </row>
    <row r="201" spans="1:1" ht="15.75" customHeight="1">
      <c r="A201" s="8"/>
    </row>
    <row r="202" spans="1:1" ht="15.75" customHeight="1">
      <c r="A202" s="8"/>
    </row>
    <row r="203" spans="1:1" ht="15.75" customHeight="1">
      <c r="A203" s="8"/>
    </row>
    <row r="204" spans="1:1" ht="15.75" customHeight="1">
      <c r="A204" s="8"/>
    </row>
    <row r="205" spans="1:1" ht="15.75" customHeight="1">
      <c r="A205" s="8"/>
    </row>
    <row r="206" spans="1:1" ht="15.75" customHeight="1">
      <c r="A206" s="8"/>
    </row>
    <row r="207" spans="1:1" ht="15.75" customHeight="1">
      <c r="A207" s="8"/>
    </row>
    <row r="208" spans="1:1" ht="15.75" customHeight="1">
      <c r="A208" s="8"/>
    </row>
    <row r="209" spans="1:1" ht="15.75" customHeight="1">
      <c r="A209" s="8"/>
    </row>
    <row r="210" spans="1:1" ht="15.75" customHeight="1">
      <c r="A210" s="8"/>
    </row>
    <row r="211" spans="1:1" ht="15.75" customHeight="1">
      <c r="A211" s="8"/>
    </row>
    <row r="212" spans="1:1" ht="15.75" customHeight="1">
      <c r="A212" s="8"/>
    </row>
    <row r="213" spans="1:1" ht="15.75" customHeight="1">
      <c r="A213" s="8"/>
    </row>
    <row r="214" spans="1:1" ht="15.75" customHeight="1">
      <c r="A214" s="8"/>
    </row>
    <row r="215" spans="1:1" ht="15.75" customHeight="1">
      <c r="A215" s="8"/>
    </row>
    <row r="216" spans="1:1" ht="15.75" customHeight="1">
      <c r="A216" s="8"/>
    </row>
    <row r="217" spans="1:1" ht="15.75" customHeight="1">
      <c r="A217" s="8"/>
    </row>
    <row r="218" spans="1:1" ht="15.75" customHeight="1">
      <c r="A218" s="8"/>
    </row>
    <row r="219" spans="1:1" ht="15.75" customHeight="1">
      <c r="A219" s="8"/>
    </row>
    <row r="220" spans="1:1" ht="15.75" customHeight="1">
      <c r="A220" s="8"/>
    </row>
    <row r="221" spans="1:1" ht="15.75" customHeight="1">
      <c r="A221" s="8"/>
    </row>
    <row r="222" spans="1:1" ht="15.75" customHeight="1">
      <c r="A222" s="8"/>
    </row>
    <row r="223" spans="1:1" ht="15.75" customHeight="1">
      <c r="A223" s="8"/>
    </row>
    <row r="224" spans="1:1" ht="15.75" customHeight="1">
      <c r="A224" s="8"/>
    </row>
    <row r="225" spans="1:1" ht="15.75" customHeight="1">
      <c r="A225" s="8"/>
    </row>
    <row r="226" spans="1:1" ht="15.75" customHeight="1">
      <c r="A226" s="8"/>
    </row>
    <row r="227" spans="1:1" ht="15.75" customHeight="1">
      <c r="A227" s="8"/>
    </row>
    <row r="228" spans="1:1" ht="15.75" customHeight="1">
      <c r="A228" s="8"/>
    </row>
    <row r="229" spans="1:1" ht="15.75" customHeight="1">
      <c r="A229" s="8"/>
    </row>
    <row r="230" spans="1:1" ht="15.75" customHeight="1">
      <c r="A230" s="8"/>
    </row>
    <row r="231" spans="1:1" ht="15.75" customHeight="1">
      <c r="A231" s="8"/>
    </row>
    <row r="232" spans="1:1" ht="15.75" customHeight="1">
      <c r="A232" s="8"/>
    </row>
    <row r="233" spans="1:1" ht="15.75" customHeight="1">
      <c r="A233" s="8"/>
    </row>
    <row r="234" spans="1:1" ht="15.75" customHeight="1">
      <c r="A234" s="8"/>
    </row>
    <row r="235" spans="1:1" ht="15.75" customHeight="1">
      <c r="A235" s="8"/>
    </row>
    <row r="236" spans="1:1" ht="15.75" customHeight="1">
      <c r="A236" s="8"/>
    </row>
    <row r="237" spans="1:1" ht="15.75" customHeight="1">
      <c r="A237" s="8"/>
    </row>
    <row r="238" spans="1:1" ht="15.75" customHeight="1">
      <c r="A238" s="8"/>
    </row>
    <row r="239" spans="1:1" ht="15.75" customHeight="1">
      <c r="A239" s="8"/>
    </row>
    <row r="240" spans="1:1" ht="15.75" customHeight="1">
      <c r="A240" s="8"/>
    </row>
    <row r="241" spans="1:1" ht="15.75" customHeight="1">
      <c r="A241" s="8"/>
    </row>
    <row r="242" spans="1:1" ht="15.75" customHeight="1">
      <c r="A242" s="8"/>
    </row>
    <row r="243" spans="1:1" ht="15.75" customHeight="1">
      <c r="A243" s="8"/>
    </row>
    <row r="244" spans="1:1" ht="15.75" customHeight="1">
      <c r="A244" s="8"/>
    </row>
    <row r="245" spans="1:1" ht="15.75" customHeight="1">
      <c r="A245" s="8"/>
    </row>
    <row r="246" spans="1:1" ht="15.75" customHeight="1">
      <c r="A246" s="8"/>
    </row>
    <row r="247" spans="1:1" ht="15.75" customHeight="1">
      <c r="A247" s="8"/>
    </row>
    <row r="248" spans="1:1" ht="15.75" customHeight="1">
      <c r="A248" s="8"/>
    </row>
    <row r="249" spans="1:1" ht="15.75" customHeight="1">
      <c r="A249" s="8"/>
    </row>
    <row r="250" spans="1:1" ht="15.75" customHeight="1">
      <c r="A250" s="8"/>
    </row>
    <row r="251" spans="1:1" ht="15.75" customHeight="1">
      <c r="A251" s="8"/>
    </row>
    <row r="252" spans="1:1" ht="15.75" customHeight="1">
      <c r="A252" s="8"/>
    </row>
    <row r="253" spans="1:1" ht="15.75" customHeight="1">
      <c r="A253" s="8"/>
    </row>
    <row r="254" spans="1:1" ht="15.75" customHeight="1">
      <c r="A254" s="8"/>
    </row>
    <row r="255" spans="1:1" ht="15.75" customHeight="1">
      <c r="A255" s="8"/>
    </row>
    <row r="256" spans="1:1" ht="15.75" customHeight="1">
      <c r="A256" s="8"/>
    </row>
    <row r="257" spans="1:1" ht="15.75" customHeight="1">
      <c r="A257" s="8"/>
    </row>
    <row r="258" spans="1:1" ht="15.75" customHeight="1">
      <c r="A258" s="8"/>
    </row>
    <row r="259" spans="1:1" ht="15.75" customHeight="1">
      <c r="A259" s="8"/>
    </row>
    <row r="260" spans="1:1" ht="15.75" customHeight="1">
      <c r="A260" s="8"/>
    </row>
    <row r="261" spans="1:1" ht="15.75" customHeight="1">
      <c r="A261" s="8"/>
    </row>
    <row r="262" spans="1:1" ht="15.75" customHeight="1">
      <c r="A262" s="8"/>
    </row>
    <row r="263" spans="1:1" ht="15.75" customHeight="1">
      <c r="A263" s="8"/>
    </row>
    <row r="264" spans="1:1" ht="15.75" customHeight="1">
      <c r="A264" s="8"/>
    </row>
    <row r="265" spans="1:1" ht="15.75" customHeight="1">
      <c r="A265" s="8"/>
    </row>
    <row r="266" spans="1:1" ht="15.75" customHeight="1">
      <c r="A266" s="8"/>
    </row>
    <row r="267" spans="1:1" ht="15.75" customHeight="1">
      <c r="A267" s="8"/>
    </row>
    <row r="268" spans="1:1" ht="15.75" customHeight="1">
      <c r="A268" s="8"/>
    </row>
    <row r="269" spans="1:1" ht="15.75" customHeight="1">
      <c r="A269" s="8"/>
    </row>
    <row r="270" spans="1:1" ht="15.75" customHeight="1">
      <c r="A270" s="8"/>
    </row>
    <row r="271" spans="1:1" ht="15.75" customHeight="1">
      <c r="A271" s="8"/>
    </row>
    <row r="272" spans="1:1" ht="15.75" customHeight="1">
      <c r="A272" s="8"/>
    </row>
    <row r="273" spans="1:1" ht="15.75" customHeight="1">
      <c r="A273" s="8"/>
    </row>
    <row r="274" spans="1:1" ht="15.75" customHeight="1">
      <c r="A274" s="8"/>
    </row>
    <row r="275" spans="1:1" ht="15.75" customHeight="1">
      <c r="A275" s="8"/>
    </row>
    <row r="276" spans="1:1" ht="15.75" customHeight="1">
      <c r="A276" s="8"/>
    </row>
    <row r="277" spans="1:1" ht="15.75" customHeight="1">
      <c r="A277" s="8"/>
    </row>
    <row r="278" spans="1:1" ht="15.75" customHeight="1">
      <c r="A278" s="8"/>
    </row>
    <row r="279" spans="1:1" ht="15.75" customHeight="1">
      <c r="A279" s="8"/>
    </row>
    <row r="280" spans="1:1" ht="15.75" customHeight="1">
      <c r="A280" s="8"/>
    </row>
    <row r="281" spans="1:1" ht="15.75" customHeight="1">
      <c r="A281" s="8"/>
    </row>
    <row r="282" spans="1:1" ht="15.75" customHeight="1">
      <c r="A282" s="8"/>
    </row>
    <row r="283" spans="1:1" ht="15.75" customHeight="1">
      <c r="A283" s="8"/>
    </row>
    <row r="284" spans="1:1" ht="15.75" customHeight="1">
      <c r="A284" s="8"/>
    </row>
    <row r="285" spans="1:1" ht="15.75" customHeight="1">
      <c r="A285" s="8"/>
    </row>
    <row r="286" spans="1:1" ht="15.75" customHeight="1">
      <c r="A286" s="8"/>
    </row>
    <row r="287" spans="1:1" ht="15.75" customHeight="1">
      <c r="A287" s="8"/>
    </row>
    <row r="288" spans="1:1" ht="15.75" customHeight="1">
      <c r="A288" s="8"/>
    </row>
    <row r="289" spans="1:1" ht="15.75" customHeight="1">
      <c r="A289" s="8"/>
    </row>
    <row r="290" spans="1:1" ht="15.75" customHeight="1">
      <c r="A290" s="8"/>
    </row>
    <row r="291" spans="1:1" ht="15.75" customHeight="1">
      <c r="A291" s="8"/>
    </row>
    <row r="292" spans="1:1" ht="15.75" customHeight="1">
      <c r="A292" s="8"/>
    </row>
    <row r="293" spans="1:1" ht="15.75" customHeight="1">
      <c r="A293" s="8"/>
    </row>
    <row r="294" spans="1:1" ht="15.75" customHeight="1">
      <c r="A294" s="8"/>
    </row>
    <row r="295" spans="1:1" ht="15.75" customHeight="1">
      <c r="A295" s="8"/>
    </row>
    <row r="296" spans="1:1" ht="15.75" customHeight="1">
      <c r="A296" s="8"/>
    </row>
    <row r="297" spans="1:1" ht="15.75" customHeight="1">
      <c r="A297" s="8"/>
    </row>
    <row r="298" spans="1:1" ht="15.75" customHeight="1">
      <c r="A298" s="8"/>
    </row>
    <row r="299" spans="1:1" ht="15.75" customHeight="1">
      <c r="A299" s="8"/>
    </row>
    <row r="300" spans="1:1" ht="15.75" customHeight="1">
      <c r="A300" s="8"/>
    </row>
    <row r="301" spans="1:1" ht="15.75" customHeight="1">
      <c r="A301" s="8"/>
    </row>
    <row r="302" spans="1:1" ht="15.75" customHeight="1">
      <c r="A302" s="8"/>
    </row>
    <row r="303" spans="1:1" ht="15.75" customHeight="1">
      <c r="A303" s="8"/>
    </row>
    <row r="304" spans="1:1" ht="15.75" customHeight="1">
      <c r="A304" s="8"/>
    </row>
    <row r="305" spans="1:1" ht="15.75" customHeight="1">
      <c r="A305" s="8"/>
    </row>
    <row r="306" spans="1:1" ht="15.75" customHeight="1">
      <c r="A306" s="8"/>
    </row>
    <row r="307" spans="1:1" ht="15.75" customHeight="1">
      <c r="A307" s="8"/>
    </row>
    <row r="308" spans="1:1" ht="15.75" customHeight="1">
      <c r="A308" s="8"/>
    </row>
    <row r="309" spans="1:1" ht="15.75" customHeight="1">
      <c r="A309" s="8"/>
    </row>
    <row r="310" spans="1:1" ht="15.75" customHeight="1">
      <c r="A310" s="8"/>
    </row>
    <row r="311" spans="1:1" ht="15.75" customHeight="1">
      <c r="A311" s="8"/>
    </row>
    <row r="312" spans="1:1" ht="15.75" customHeight="1">
      <c r="A312" s="8"/>
    </row>
    <row r="313" spans="1:1" ht="15.75" customHeight="1">
      <c r="A313" s="8"/>
    </row>
    <row r="314" spans="1:1" ht="15.75" customHeight="1">
      <c r="A314" s="8"/>
    </row>
    <row r="315" spans="1:1" ht="15.75" customHeight="1">
      <c r="A315" s="8"/>
    </row>
    <row r="316" spans="1:1" ht="15.75" customHeight="1">
      <c r="A316" s="8"/>
    </row>
    <row r="317" spans="1:1" ht="15.75" customHeight="1">
      <c r="A317" s="8"/>
    </row>
    <row r="318" spans="1:1" ht="15.75" customHeight="1">
      <c r="A318" s="8"/>
    </row>
    <row r="319" spans="1:1" ht="15.75" customHeight="1">
      <c r="A319" s="8"/>
    </row>
    <row r="320" spans="1:1" ht="15.75" customHeight="1">
      <c r="A320" s="8"/>
    </row>
    <row r="321" spans="1:1" ht="15.75" customHeight="1">
      <c r="A321" s="8"/>
    </row>
    <row r="322" spans="1:1" ht="15.75" customHeight="1">
      <c r="A322" s="8"/>
    </row>
    <row r="323" spans="1:1" ht="15.75" customHeight="1">
      <c r="A323" s="8"/>
    </row>
    <row r="324" spans="1:1" ht="15.75" customHeight="1">
      <c r="A324" s="8"/>
    </row>
    <row r="325" spans="1:1" ht="15.75" customHeight="1">
      <c r="A325" s="8"/>
    </row>
    <row r="326" spans="1:1" ht="15.75" customHeight="1">
      <c r="A326" s="8"/>
    </row>
    <row r="327" spans="1:1" ht="15.75" customHeight="1">
      <c r="A327" s="8"/>
    </row>
    <row r="328" spans="1:1" ht="15.75" customHeight="1">
      <c r="A328" s="8"/>
    </row>
    <row r="329" spans="1:1" ht="15.75" customHeight="1">
      <c r="A329" s="8"/>
    </row>
    <row r="330" spans="1:1" ht="15.75" customHeight="1">
      <c r="A330" s="8"/>
    </row>
    <row r="331" spans="1:1" ht="15.75" customHeight="1">
      <c r="A331" s="8"/>
    </row>
    <row r="332" spans="1:1" ht="15.75" customHeight="1">
      <c r="A332" s="8"/>
    </row>
    <row r="333" spans="1:1" ht="15.75" customHeight="1">
      <c r="A333" s="8"/>
    </row>
    <row r="334" spans="1:1" ht="15.75" customHeight="1">
      <c r="A334" s="8"/>
    </row>
    <row r="335" spans="1:1" ht="15.75" customHeight="1">
      <c r="A335" s="8"/>
    </row>
    <row r="336" spans="1:1" ht="15.75" customHeight="1">
      <c r="A336" s="8"/>
    </row>
    <row r="337" spans="1:1" ht="15.75" customHeight="1">
      <c r="A337" s="8"/>
    </row>
    <row r="338" spans="1:1" ht="15.75" customHeight="1">
      <c r="A338" s="8"/>
    </row>
    <row r="339" spans="1:1" ht="15.75" customHeight="1">
      <c r="A339" s="8"/>
    </row>
    <row r="340" spans="1:1" ht="15.75" customHeight="1">
      <c r="A340" s="8"/>
    </row>
    <row r="341" spans="1:1" ht="15.75" customHeight="1">
      <c r="A341" s="8"/>
    </row>
    <row r="342" spans="1:1" ht="15.75" customHeight="1">
      <c r="A342" s="8"/>
    </row>
    <row r="343" spans="1:1" ht="15.75" customHeight="1">
      <c r="A343" s="8"/>
    </row>
    <row r="344" spans="1:1" ht="15.75" customHeight="1">
      <c r="A344" s="8"/>
    </row>
    <row r="345" spans="1:1" ht="15.75" customHeight="1">
      <c r="A345" s="8"/>
    </row>
    <row r="346" spans="1:1" ht="15.75" customHeight="1">
      <c r="A346" s="8"/>
    </row>
    <row r="347" spans="1:1" ht="15.75" customHeight="1">
      <c r="A347" s="8"/>
    </row>
    <row r="348" spans="1:1" ht="15.75" customHeight="1">
      <c r="A348" s="8"/>
    </row>
    <row r="349" spans="1:1" ht="15.75" customHeight="1">
      <c r="A349" s="8"/>
    </row>
    <row r="350" spans="1:1" ht="15.75" customHeight="1">
      <c r="A350" s="8"/>
    </row>
    <row r="351" spans="1:1" ht="15.75" customHeight="1">
      <c r="A351" s="8"/>
    </row>
    <row r="352" spans="1:1" ht="15.75" customHeight="1">
      <c r="A352" s="8"/>
    </row>
    <row r="353" spans="1:1" ht="15.75" customHeight="1">
      <c r="A353" s="8"/>
    </row>
    <row r="354" spans="1:1" ht="15.75" customHeight="1">
      <c r="A354" s="8"/>
    </row>
    <row r="355" spans="1:1" ht="15.75" customHeight="1">
      <c r="A355" s="8"/>
    </row>
    <row r="356" spans="1:1" ht="15.75" customHeight="1">
      <c r="A356" s="8"/>
    </row>
    <row r="357" spans="1:1" ht="15.75" customHeight="1">
      <c r="A357" s="8"/>
    </row>
    <row r="358" spans="1:1" ht="15.75" customHeight="1">
      <c r="A358" s="8"/>
    </row>
    <row r="359" spans="1:1" ht="15.75" customHeight="1">
      <c r="A359" s="8"/>
    </row>
    <row r="360" spans="1:1" ht="15.75" customHeight="1">
      <c r="A360" s="8"/>
    </row>
    <row r="361" spans="1:1" ht="15.75" customHeight="1">
      <c r="A361" s="8"/>
    </row>
    <row r="362" spans="1:1" ht="15.75" customHeight="1">
      <c r="A362" s="8"/>
    </row>
    <row r="363" spans="1:1" ht="15.75" customHeight="1">
      <c r="A363" s="8"/>
    </row>
    <row r="364" spans="1:1" ht="15.75" customHeight="1">
      <c r="A364" s="8"/>
    </row>
    <row r="365" spans="1:1" ht="15.75" customHeight="1">
      <c r="A365" s="8"/>
    </row>
    <row r="366" spans="1:1" ht="15.75" customHeight="1">
      <c r="A366" s="8"/>
    </row>
    <row r="367" spans="1:1" ht="15.75" customHeight="1">
      <c r="A367" s="8"/>
    </row>
    <row r="368" spans="1:1" ht="15.75" customHeight="1">
      <c r="A368" s="8"/>
    </row>
    <row r="369" spans="1:1" ht="15.75" customHeight="1">
      <c r="A369" s="8"/>
    </row>
    <row r="370" spans="1:1" ht="15.75" customHeight="1">
      <c r="A370" s="8"/>
    </row>
    <row r="371" spans="1:1" ht="15.75" customHeight="1">
      <c r="A371" s="8"/>
    </row>
    <row r="372" spans="1:1" ht="15.75" customHeight="1">
      <c r="A372" s="8"/>
    </row>
    <row r="373" spans="1:1" ht="15.75" customHeight="1">
      <c r="A373" s="8"/>
    </row>
    <row r="374" spans="1:1" ht="15.75" customHeight="1">
      <c r="A374" s="8"/>
    </row>
    <row r="375" spans="1:1" ht="15.75" customHeight="1">
      <c r="A375" s="8"/>
    </row>
    <row r="376" spans="1:1" ht="15.75" customHeight="1">
      <c r="A376" s="8"/>
    </row>
    <row r="377" spans="1:1" ht="15.75" customHeight="1">
      <c r="A377" s="8"/>
    </row>
    <row r="378" spans="1:1" ht="15.75" customHeight="1">
      <c r="A378" s="8"/>
    </row>
    <row r="379" spans="1:1" ht="15.75" customHeight="1">
      <c r="A379" s="8"/>
    </row>
    <row r="380" spans="1:1" ht="15.75" customHeight="1">
      <c r="A380" s="8"/>
    </row>
    <row r="381" spans="1:1" ht="15.75" customHeight="1">
      <c r="A381" s="8"/>
    </row>
    <row r="382" spans="1:1" ht="15.75" customHeight="1">
      <c r="A382" s="8"/>
    </row>
    <row r="383" spans="1:1" ht="15.75" customHeight="1">
      <c r="A383" s="8"/>
    </row>
    <row r="384" spans="1:1" ht="15.75" customHeight="1">
      <c r="A384" s="8"/>
    </row>
    <row r="385" spans="1:1" ht="15.75" customHeight="1">
      <c r="A385" s="8"/>
    </row>
    <row r="386" spans="1:1" ht="15.75" customHeight="1">
      <c r="A386" s="8"/>
    </row>
    <row r="387" spans="1:1" ht="15.75" customHeight="1">
      <c r="A387" s="8"/>
    </row>
    <row r="388" spans="1:1" ht="15.75" customHeight="1">
      <c r="A388" s="8"/>
    </row>
    <row r="389" spans="1:1" ht="15.75" customHeight="1">
      <c r="A389" s="8"/>
    </row>
    <row r="390" spans="1:1" ht="15.75" customHeight="1">
      <c r="A390" s="8"/>
    </row>
    <row r="391" spans="1:1" ht="15.75" customHeight="1">
      <c r="A391" s="8"/>
    </row>
    <row r="392" spans="1:1" ht="15.75" customHeight="1">
      <c r="A392" s="8"/>
    </row>
    <row r="393" spans="1:1" ht="15.75" customHeight="1">
      <c r="A393" s="8"/>
    </row>
    <row r="394" spans="1:1" ht="15.75" customHeight="1">
      <c r="A394" s="8"/>
    </row>
    <row r="395" spans="1:1" ht="15.75" customHeight="1">
      <c r="A395" s="8"/>
    </row>
    <row r="396" spans="1:1" ht="15.75" customHeight="1">
      <c r="A396" s="8"/>
    </row>
    <row r="397" spans="1:1" ht="15.75" customHeight="1">
      <c r="A397" s="8"/>
    </row>
    <row r="398" spans="1:1" ht="15.75" customHeight="1">
      <c r="A398" s="8"/>
    </row>
    <row r="399" spans="1:1" ht="15.75" customHeight="1">
      <c r="A399" s="8"/>
    </row>
    <row r="400" spans="1:1" ht="15.75" customHeight="1">
      <c r="A400" s="8"/>
    </row>
    <row r="401" spans="1:1" ht="15.75" customHeight="1">
      <c r="A401" s="8"/>
    </row>
    <row r="402" spans="1:1" ht="15.75" customHeight="1">
      <c r="A402" s="8"/>
    </row>
    <row r="403" spans="1:1" ht="15.75" customHeight="1">
      <c r="A403" s="8"/>
    </row>
    <row r="404" spans="1:1" ht="15.75" customHeight="1">
      <c r="A404" s="8"/>
    </row>
    <row r="405" spans="1:1" ht="15.75" customHeight="1">
      <c r="A405" s="8"/>
    </row>
    <row r="406" spans="1:1" ht="15.75" customHeight="1">
      <c r="A406" s="8"/>
    </row>
    <row r="407" spans="1:1" ht="15.75" customHeight="1">
      <c r="A407" s="8"/>
    </row>
    <row r="408" spans="1:1" ht="15.75" customHeight="1">
      <c r="A408" s="8"/>
    </row>
    <row r="409" spans="1:1" ht="15.75" customHeight="1">
      <c r="A409" s="8"/>
    </row>
    <row r="410" spans="1:1" ht="15.75" customHeight="1">
      <c r="A410" s="8"/>
    </row>
    <row r="411" spans="1:1" ht="15.75" customHeight="1">
      <c r="A411" s="8"/>
    </row>
    <row r="412" spans="1:1" ht="15.75" customHeight="1">
      <c r="A412" s="8"/>
    </row>
    <row r="413" spans="1:1" ht="15.75" customHeight="1">
      <c r="A413" s="8"/>
    </row>
    <row r="414" spans="1:1" ht="15.75" customHeight="1">
      <c r="A414" s="8"/>
    </row>
    <row r="415" spans="1:1" ht="15.75" customHeight="1">
      <c r="A415" s="8"/>
    </row>
    <row r="416" spans="1:1" ht="15.75" customHeight="1">
      <c r="A416" s="8"/>
    </row>
    <row r="417" spans="1:1" ht="15.75" customHeight="1">
      <c r="A417" s="8"/>
    </row>
    <row r="418" spans="1:1" ht="15.75" customHeight="1">
      <c r="A418" s="8"/>
    </row>
    <row r="419" spans="1:1" ht="15.75" customHeight="1">
      <c r="A419" s="8"/>
    </row>
    <row r="420" spans="1:1" ht="15.75" customHeight="1">
      <c r="A420" s="8"/>
    </row>
    <row r="421" spans="1:1" ht="15.75" customHeight="1">
      <c r="A421" s="8"/>
    </row>
    <row r="422" spans="1:1" ht="15.75" customHeight="1">
      <c r="A422" s="8"/>
    </row>
    <row r="423" spans="1:1" ht="15.75" customHeight="1">
      <c r="A423" s="8"/>
    </row>
    <row r="424" spans="1:1" ht="15.75" customHeight="1">
      <c r="A424" s="8"/>
    </row>
    <row r="425" spans="1:1" ht="15.75" customHeight="1">
      <c r="A425" s="8"/>
    </row>
    <row r="426" spans="1:1" ht="15.75" customHeight="1">
      <c r="A426" s="8"/>
    </row>
    <row r="427" spans="1:1" ht="15.75" customHeight="1">
      <c r="A427" s="8"/>
    </row>
    <row r="428" spans="1:1" ht="15.75" customHeight="1">
      <c r="A428" s="8"/>
    </row>
    <row r="429" spans="1:1" ht="15.75" customHeight="1">
      <c r="A429" s="8"/>
    </row>
    <row r="430" spans="1:1" ht="15.75" customHeight="1">
      <c r="A430" s="8"/>
    </row>
    <row r="431" spans="1:1" ht="15.75" customHeight="1">
      <c r="A431" s="8"/>
    </row>
    <row r="432" spans="1:1" ht="15.75" customHeight="1">
      <c r="A432" s="8"/>
    </row>
    <row r="433" spans="1:1" ht="15.75" customHeight="1">
      <c r="A433" s="8"/>
    </row>
    <row r="434" spans="1:1" ht="15.75" customHeight="1">
      <c r="A434" s="8"/>
    </row>
    <row r="435" spans="1:1" ht="15.75" customHeight="1">
      <c r="A435" s="8"/>
    </row>
    <row r="436" spans="1:1" ht="15.75" customHeight="1">
      <c r="A436" s="8"/>
    </row>
    <row r="437" spans="1:1" ht="15.75" customHeight="1">
      <c r="A437" s="8"/>
    </row>
    <row r="438" spans="1:1" ht="15.75" customHeight="1">
      <c r="A438" s="8"/>
    </row>
    <row r="439" spans="1:1" ht="15.75" customHeight="1">
      <c r="A439" s="8"/>
    </row>
    <row r="440" spans="1:1" ht="15.75" customHeight="1">
      <c r="A440" s="8"/>
    </row>
    <row r="441" spans="1:1" ht="15.75" customHeight="1">
      <c r="A441" s="8"/>
    </row>
    <row r="442" spans="1:1" ht="15.75" customHeight="1">
      <c r="A442" s="8"/>
    </row>
    <row r="443" spans="1:1" ht="15.75" customHeight="1">
      <c r="A443" s="8"/>
    </row>
    <row r="444" spans="1:1" ht="15.75" customHeight="1">
      <c r="A444" s="8"/>
    </row>
    <row r="445" spans="1:1" ht="15.75" customHeight="1">
      <c r="A445" s="8"/>
    </row>
    <row r="446" spans="1:1" ht="15.75" customHeight="1">
      <c r="A446" s="8"/>
    </row>
    <row r="447" spans="1:1" ht="15.75" customHeight="1">
      <c r="A447" s="8"/>
    </row>
    <row r="448" spans="1:1" ht="15.75" customHeight="1">
      <c r="A448" s="8"/>
    </row>
    <row r="449" spans="1:1" ht="15.75" customHeight="1">
      <c r="A449" s="8"/>
    </row>
    <row r="450" spans="1:1" ht="15.75" customHeight="1">
      <c r="A450" s="8"/>
    </row>
    <row r="451" spans="1:1" ht="15.75" customHeight="1">
      <c r="A451" s="8"/>
    </row>
    <row r="452" spans="1:1" ht="15.75" customHeight="1">
      <c r="A452" s="8"/>
    </row>
    <row r="453" spans="1:1" ht="15.75" customHeight="1">
      <c r="A453" s="8"/>
    </row>
    <row r="454" spans="1:1" ht="15.75" customHeight="1">
      <c r="A454" s="8"/>
    </row>
    <row r="455" spans="1:1" ht="15.75" customHeight="1">
      <c r="A455" s="8"/>
    </row>
    <row r="456" spans="1:1" ht="15.75" customHeight="1">
      <c r="A456" s="8"/>
    </row>
    <row r="457" spans="1:1" ht="15.75" customHeight="1">
      <c r="A457" s="8"/>
    </row>
    <row r="458" spans="1:1" ht="15.75" customHeight="1">
      <c r="A458" s="8"/>
    </row>
    <row r="459" spans="1:1" ht="15.75" customHeight="1">
      <c r="A459" s="8"/>
    </row>
    <row r="460" spans="1:1" ht="15.75" customHeight="1">
      <c r="A460" s="8"/>
    </row>
    <row r="461" spans="1:1" ht="15.75" customHeight="1">
      <c r="A461" s="8"/>
    </row>
    <row r="462" spans="1:1" ht="15.75" customHeight="1">
      <c r="A462" s="8"/>
    </row>
    <row r="463" spans="1:1" ht="15.75" customHeight="1">
      <c r="A463" s="8"/>
    </row>
    <row r="464" spans="1:1" ht="15.75" customHeight="1">
      <c r="A464" s="8"/>
    </row>
    <row r="465" spans="1:1" ht="15.75" customHeight="1">
      <c r="A465" s="8"/>
    </row>
    <row r="466" spans="1:1" ht="15.75" customHeight="1">
      <c r="A466" s="8"/>
    </row>
    <row r="467" spans="1:1" ht="15.75" customHeight="1">
      <c r="A467" s="8"/>
    </row>
    <row r="468" spans="1:1" ht="15.75" customHeight="1">
      <c r="A468" s="8"/>
    </row>
    <row r="469" spans="1:1" ht="15.75" customHeight="1">
      <c r="A469" s="8"/>
    </row>
    <row r="470" spans="1:1" ht="15.75" customHeight="1">
      <c r="A470" s="8"/>
    </row>
    <row r="471" spans="1:1" ht="15.75" customHeight="1">
      <c r="A471" s="8"/>
    </row>
    <row r="472" spans="1:1" ht="15.75" customHeight="1">
      <c r="A472" s="8"/>
    </row>
    <row r="473" spans="1:1" ht="15.75" customHeight="1">
      <c r="A473" s="8"/>
    </row>
    <row r="474" spans="1:1" ht="15.75" customHeight="1">
      <c r="A474" s="8"/>
    </row>
    <row r="475" spans="1:1" ht="15.75" customHeight="1">
      <c r="A475" s="8"/>
    </row>
    <row r="476" spans="1:1" ht="15.75" customHeight="1">
      <c r="A476" s="8"/>
    </row>
    <row r="477" spans="1:1" ht="15.75" customHeight="1">
      <c r="A477" s="8"/>
    </row>
    <row r="478" spans="1:1" ht="15.75" customHeight="1">
      <c r="A478" s="8"/>
    </row>
    <row r="479" spans="1:1" ht="15.75" customHeight="1">
      <c r="A479" s="8"/>
    </row>
    <row r="480" spans="1:1" ht="15.75" customHeight="1">
      <c r="A480" s="8"/>
    </row>
    <row r="481" spans="1:1" ht="15.75" customHeight="1">
      <c r="A481" s="8"/>
    </row>
    <row r="482" spans="1:1" ht="15.75" customHeight="1">
      <c r="A482" s="8"/>
    </row>
    <row r="483" spans="1:1" ht="15.75" customHeight="1">
      <c r="A483" s="8"/>
    </row>
    <row r="484" spans="1:1" ht="15.75" customHeight="1">
      <c r="A484" s="8"/>
    </row>
    <row r="485" spans="1:1" ht="15.75" customHeight="1">
      <c r="A485" s="8"/>
    </row>
    <row r="486" spans="1:1" ht="15.75" customHeight="1">
      <c r="A486" s="8"/>
    </row>
    <row r="487" spans="1:1" ht="15.75" customHeight="1">
      <c r="A487" s="8"/>
    </row>
    <row r="488" spans="1:1" ht="15.75" customHeight="1">
      <c r="A488" s="8"/>
    </row>
    <row r="489" spans="1:1" ht="15.75" customHeight="1">
      <c r="A489" s="8"/>
    </row>
    <row r="490" spans="1:1" ht="15.75" customHeight="1">
      <c r="A490" s="8"/>
    </row>
    <row r="491" spans="1:1" ht="15.75" customHeight="1">
      <c r="A491" s="8"/>
    </row>
    <row r="492" spans="1:1" ht="15.75" customHeight="1">
      <c r="A492" s="8"/>
    </row>
    <row r="493" spans="1:1" ht="15.75" customHeight="1">
      <c r="A493" s="8"/>
    </row>
    <row r="494" spans="1:1" ht="15.75" customHeight="1">
      <c r="A494" s="8"/>
    </row>
    <row r="495" spans="1:1" ht="15.75" customHeight="1">
      <c r="A495" s="8"/>
    </row>
    <row r="496" spans="1:1" ht="15.75" customHeight="1">
      <c r="A496" s="8"/>
    </row>
    <row r="497" spans="1:1" ht="15.75" customHeight="1">
      <c r="A497" s="8"/>
    </row>
    <row r="498" spans="1:1" ht="15.75" customHeight="1">
      <c r="A498" s="8"/>
    </row>
    <row r="499" spans="1:1" ht="15.75" customHeight="1">
      <c r="A499" s="8"/>
    </row>
    <row r="500" spans="1:1" ht="15.75" customHeight="1">
      <c r="A500" s="8"/>
    </row>
    <row r="501" spans="1:1" ht="15.75" customHeight="1">
      <c r="A501" s="8"/>
    </row>
    <row r="502" spans="1:1" ht="15.75" customHeight="1">
      <c r="A502" s="8"/>
    </row>
    <row r="503" spans="1:1" ht="15.75" customHeight="1">
      <c r="A503" s="8"/>
    </row>
    <row r="504" spans="1:1" ht="15.75" customHeight="1">
      <c r="A504" s="8"/>
    </row>
    <row r="505" spans="1:1" ht="15.75" customHeight="1">
      <c r="A505" s="8"/>
    </row>
    <row r="506" spans="1:1" ht="15.75" customHeight="1">
      <c r="A506" s="8"/>
    </row>
    <row r="507" spans="1:1" ht="15.75" customHeight="1">
      <c r="A507" s="8"/>
    </row>
    <row r="508" spans="1:1" ht="15.75" customHeight="1">
      <c r="A508" s="8"/>
    </row>
    <row r="509" spans="1:1" ht="15.75" customHeight="1">
      <c r="A509" s="8"/>
    </row>
    <row r="510" spans="1:1" ht="15.75" customHeight="1">
      <c r="A510" s="8"/>
    </row>
    <row r="511" spans="1:1" ht="15.75" customHeight="1">
      <c r="A511" s="8"/>
    </row>
    <row r="512" spans="1:1" ht="15.75" customHeight="1">
      <c r="A512" s="8"/>
    </row>
    <row r="513" spans="1:1" ht="15.75" customHeight="1">
      <c r="A513" s="8"/>
    </row>
    <row r="514" spans="1:1" ht="15.75" customHeight="1">
      <c r="A514" s="8"/>
    </row>
    <row r="515" spans="1:1" ht="15.75" customHeight="1">
      <c r="A515" s="8"/>
    </row>
    <row r="516" spans="1:1" ht="15.75" customHeight="1">
      <c r="A516" s="8"/>
    </row>
    <row r="517" spans="1:1" ht="15.75" customHeight="1">
      <c r="A517" s="8"/>
    </row>
    <row r="518" spans="1:1" ht="15.75" customHeight="1">
      <c r="A518" s="8"/>
    </row>
    <row r="519" spans="1:1" ht="15.75" customHeight="1">
      <c r="A519" s="8"/>
    </row>
    <row r="520" spans="1:1" ht="15.75" customHeight="1">
      <c r="A520" s="8"/>
    </row>
    <row r="521" spans="1:1" ht="15.75" customHeight="1">
      <c r="A521" s="8"/>
    </row>
    <row r="522" spans="1:1" ht="15.75" customHeight="1">
      <c r="A522" s="8"/>
    </row>
    <row r="523" spans="1:1" ht="15.75" customHeight="1">
      <c r="A523" s="8"/>
    </row>
    <row r="524" spans="1:1" ht="15.75" customHeight="1">
      <c r="A524" s="8"/>
    </row>
    <row r="525" spans="1:1" ht="15.75" customHeight="1">
      <c r="A525" s="8"/>
    </row>
    <row r="526" spans="1:1" ht="15.75" customHeight="1">
      <c r="A526" s="8"/>
    </row>
    <row r="527" spans="1:1" ht="15.75" customHeight="1">
      <c r="A527" s="8"/>
    </row>
    <row r="528" spans="1:1" ht="15.75" customHeight="1">
      <c r="A528" s="8"/>
    </row>
    <row r="529" spans="1:1" ht="15.75" customHeight="1">
      <c r="A529" s="8"/>
    </row>
    <row r="530" spans="1:1" ht="15.75" customHeight="1">
      <c r="A530" s="8"/>
    </row>
    <row r="531" spans="1:1" ht="15.75" customHeight="1">
      <c r="A531" s="8"/>
    </row>
    <row r="532" spans="1:1" ht="15.75" customHeight="1">
      <c r="A532" s="8"/>
    </row>
    <row r="533" spans="1:1" ht="15.75" customHeight="1">
      <c r="A533" s="8"/>
    </row>
    <row r="534" spans="1:1" ht="15.75" customHeight="1">
      <c r="A534" s="8"/>
    </row>
    <row r="535" spans="1:1" ht="15.75" customHeight="1">
      <c r="A535" s="8"/>
    </row>
    <row r="536" spans="1:1" ht="15.75" customHeight="1">
      <c r="A536" s="8"/>
    </row>
    <row r="537" spans="1:1" ht="15.75" customHeight="1">
      <c r="A537" s="8"/>
    </row>
    <row r="538" spans="1:1" ht="15.75" customHeight="1">
      <c r="A538" s="8"/>
    </row>
    <row r="539" spans="1:1" ht="15.75" customHeight="1">
      <c r="A539" s="8"/>
    </row>
    <row r="540" spans="1:1" ht="15.75" customHeight="1">
      <c r="A540" s="8"/>
    </row>
    <row r="541" spans="1:1" ht="15.75" customHeight="1">
      <c r="A541" s="8"/>
    </row>
    <row r="542" spans="1:1" ht="15.75" customHeight="1">
      <c r="A542" s="8"/>
    </row>
    <row r="543" spans="1:1" ht="15.75" customHeight="1">
      <c r="A543" s="8"/>
    </row>
    <row r="544" spans="1:1" ht="15.75" customHeight="1">
      <c r="A544" s="8"/>
    </row>
    <row r="545" spans="1:1" ht="15.75" customHeight="1">
      <c r="A545" s="8"/>
    </row>
    <row r="546" spans="1:1" ht="15.75" customHeight="1">
      <c r="A546" s="8"/>
    </row>
    <row r="547" spans="1:1" ht="15.75" customHeight="1">
      <c r="A547" s="8"/>
    </row>
    <row r="548" spans="1:1" ht="15.75" customHeight="1">
      <c r="A548" s="8"/>
    </row>
    <row r="549" spans="1:1" ht="15.75" customHeight="1">
      <c r="A549" s="8"/>
    </row>
    <row r="550" spans="1:1" ht="15.75" customHeight="1">
      <c r="A550" s="8"/>
    </row>
    <row r="551" spans="1:1" ht="15.75" customHeight="1">
      <c r="A551" s="8"/>
    </row>
    <row r="552" spans="1:1" ht="15.75" customHeight="1">
      <c r="A552" s="8"/>
    </row>
    <row r="553" spans="1:1" ht="15.75" customHeight="1">
      <c r="A553" s="8"/>
    </row>
    <row r="554" spans="1:1" ht="15.75" customHeight="1">
      <c r="A554" s="8"/>
    </row>
    <row r="555" spans="1:1" ht="15.75" customHeight="1">
      <c r="A555" s="8"/>
    </row>
    <row r="556" spans="1:1" ht="15.75" customHeight="1">
      <c r="A556" s="8"/>
    </row>
    <row r="557" spans="1:1" ht="15.75" customHeight="1">
      <c r="A557" s="8"/>
    </row>
    <row r="558" spans="1:1" ht="15.75" customHeight="1">
      <c r="A558" s="8"/>
    </row>
    <row r="559" spans="1:1" ht="15.75" customHeight="1">
      <c r="A559" s="8"/>
    </row>
    <row r="560" spans="1:1" ht="15.75" customHeight="1">
      <c r="A560" s="8"/>
    </row>
    <row r="561" spans="1:1" ht="15.75" customHeight="1">
      <c r="A561" s="8"/>
    </row>
    <row r="562" spans="1:1" ht="15.75" customHeight="1">
      <c r="A562" s="8"/>
    </row>
    <row r="563" spans="1:1" ht="15.75" customHeight="1">
      <c r="A563" s="8"/>
    </row>
    <row r="564" spans="1:1" ht="15.75" customHeight="1">
      <c r="A564" s="8"/>
    </row>
    <row r="565" spans="1:1" ht="15.75" customHeight="1">
      <c r="A565" s="8"/>
    </row>
    <row r="566" spans="1:1" ht="15.75" customHeight="1">
      <c r="A566" s="8"/>
    </row>
    <row r="567" spans="1:1" ht="15.75" customHeight="1">
      <c r="A567" s="8"/>
    </row>
    <row r="568" spans="1:1" ht="15.75" customHeight="1">
      <c r="A568" s="8"/>
    </row>
    <row r="569" spans="1:1" ht="15.75" customHeight="1">
      <c r="A569" s="8"/>
    </row>
    <row r="570" spans="1:1" ht="15.75" customHeight="1">
      <c r="A570" s="8"/>
    </row>
    <row r="571" spans="1:1" ht="15.75" customHeight="1">
      <c r="A571" s="8"/>
    </row>
    <row r="572" spans="1:1" ht="15.75" customHeight="1">
      <c r="A572" s="8"/>
    </row>
    <row r="573" spans="1:1" ht="15.75" customHeight="1">
      <c r="A573" s="8"/>
    </row>
    <row r="574" spans="1:1" ht="15.75" customHeight="1">
      <c r="A574" s="8"/>
    </row>
    <row r="575" spans="1:1" ht="15.75" customHeight="1">
      <c r="A575" s="8"/>
    </row>
    <row r="576" spans="1:1" ht="15.75" customHeight="1">
      <c r="A576" s="8"/>
    </row>
    <row r="577" spans="1:1" ht="15.75" customHeight="1">
      <c r="A577" s="8"/>
    </row>
    <row r="578" spans="1:1" ht="15.75" customHeight="1">
      <c r="A578" s="8"/>
    </row>
    <row r="579" spans="1:1" ht="15.75" customHeight="1">
      <c r="A579" s="8"/>
    </row>
    <row r="580" spans="1:1" ht="15.75" customHeight="1">
      <c r="A580" s="8"/>
    </row>
    <row r="581" spans="1:1" ht="15.75" customHeight="1">
      <c r="A581" s="8"/>
    </row>
    <row r="582" spans="1:1" ht="15.75" customHeight="1">
      <c r="A582" s="8"/>
    </row>
    <row r="583" spans="1:1" ht="15.75" customHeight="1">
      <c r="A583" s="8"/>
    </row>
    <row r="584" spans="1:1" ht="15.75" customHeight="1">
      <c r="A584" s="8"/>
    </row>
    <row r="585" spans="1:1" ht="15.75" customHeight="1">
      <c r="A585" s="8"/>
    </row>
    <row r="586" spans="1:1" ht="15.75" customHeight="1">
      <c r="A586" s="8"/>
    </row>
    <row r="587" spans="1:1" ht="15.75" customHeight="1">
      <c r="A587" s="8"/>
    </row>
    <row r="588" spans="1:1" ht="15.75" customHeight="1">
      <c r="A588" s="8"/>
    </row>
    <row r="589" spans="1:1" ht="15.75" customHeight="1">
      <c r="A589" s="8"/>
    </row>
    <row r="590" spans="1:1" ht="15.75" customHeight="1">
      <c r="A590" s="8"/>
    </row>
    <row r="591" spans="1:1" ht="15.75" customHeight="1">
      <c r="A591" s="8"/>
    </row>
    <row r="592" spans="1:1" ht="15.75" customHeight="1">
      <c r="A592" s="8"/>
    </row>
    <row r="593" spans="1:1" ht="15.75" customHeight="1">
      <c r="A593" s="8"/>
    </row>
    <row r="594" spans="1:1" ht="15.75" customHeight="1">
      <c r="A594" s="8"/>
    </row>
    <row r="595" spans="1:1" ht="15.75" customHeight="1">
      <c r="A595" s="8"/>
    </row>
    <row r="596" spans="1:1" ht="15.75" customHeight="1">
      <c r="A596" s="8"/>
    </row>
    <row r="597" spans="1:1" ht="15.75" customHeight="1">
      <c r="A597" s="8"/>
    </row>
    <row r="598" spans="1:1" ht="15.75" customHeight="1">
      <c r="A598" s="8"/>
    </row>
    <row r="599" spans="1:1" ht="15.75" customHeight="1">
      <c r="A599" s="8"/>
    </row>
    <row r="600" spans="1:1" ht="15.75" customHeight="1">
      <c r="A600" s="8"/>
    </row>
    <row r="601" spans="1:1" ht="15.75" customHeight="1">
      <c r="A601" s="8"/>
    </row>
    <row r="602" spans="1:1" ht="15.75" customHeight="1">
      <c r="A602" s="8"/>
    </row>
    <row r="603" spans="1:1" ht="15.75" customHeight="1">
      <c r="A603" s="8"/>
    </row>
    <row r="604" spans="1:1" ht="15.75" customHeight="1">
      <c r="A604" s="8"/>
    </row>
    <row r="605" spans="1:1" ht="15.75" customHeight="1">
      <c r="A605" s="8"/>
    </row>
    <row r="606" spans="1:1" ht="15.75" customHeight="1">
      <c r="A606" s="8"/>
    </row>
    <row r="607" spans="1:1" ht="15.75" customHeight="1">
      <c r="A607" s="8"/>
    </row>
    <row r="608" spans="1:1" ht="15.75" customHeight="1">
      <c r="A608" s="8"/>
    </row>
    <row r="609" spans="1:1" ht="15.75" customHeight="1">
      <c r="A609" s="8"/>
    </row>
    <row r="610" spans="1:1" ht="15.75" customHeight="1">
      <c r="A610" s="8"/>
    </row>
    <row r="611" spans="1:1" ht="15.75" customHeight="1">
      <c r="A611" s="8"/>
    </row>
    <row r="612" spans="1:1" ht="15.75" customHeight="1">
      <c r="A612" s="8"/>
    </row>
    <row r="613" spans="1:1" ht="15.75" customHeight="1">
      <c r="A613" s="8"/>
    </row>
    <row r="614" spans="1:1" ht="15.75" customHeight="1">
      <c r="A614" s="8"/>
    </row>
    <row r="615" spans="1:1" ht="15.75" customHeight="1">
      <c r="A615" s="8"/>
    </row>
    <row r="616" spans="1:1" ht="15.75" customHeight="1">
      <c r="A616" s="8"/>
    </row>
    <row r="617" spans="1:1" ht="15.75" customHeight="1">
      <c r="A617" s="8"/>
    </row>
    <row r="618" spans="1:1" ht="15.75" customHeight="1">
      <c r="A618" s="8"/>
    </row>
    <row r="619" spans="1:1" ht="15.75" customHeight="1">
      <c r="A619" s="8"/>
    </row>
    <row r="620" spans="1:1" ht="15.75" customHeight="1">
      <c r="A620" s="8"/>
    </row>
    <row r="621" spans="1:1" ht="15.75" customHeight="1">
      <c r="A621" s="8"/>
    </row>
    <row r="622" spans="1:1" ht="15.75" customHeight="1">
      <c r="A622" s="8"/>
    </row>
    <row r="623" spans="1:1" ht="15.75" customHeight="1">
      <c r="A623" s="8"/>
    </row>
    <row r="624" spans="1:1" ht="15.75" customHeight="1">
      <c r="A624" s="8"/>
    </row>
    <row r="625" spans="1:1" ht="15.75" customHeight="1">
      <c r="A625" s="8"/>
    </row>
    <row r="626" spans="1:1" ht="15.75" customHeight="1">
      <c r="A626" s="8"/>
    </row>
    <row r="627" spans="1:1" ht="15.75" customHeight="1">
      <c r="A627" s="8"/>
    </row>
    <row r="628" spans="1:1" ht="15.75" customHeight="1">
      <c r="A628" s="8"/>
    </row>
    <row r="629" spans="1:1" ht="15.75" customHeight="1">
      <c r="A629" s="8"/>
    </row>
    <row r="630" spans="1:1" ht="15.75" customHeight="1">
      <c r="A630" s="8"/>
    </row>
    <row r="631" spans="1:1" ht="15.75" customHeight="1">
      <c r="A631" s="8"/>
    </row>
    <row r="632" spans="1:1" ht="15.75" customHeight="1">
      <c r="A632" s="8"/>
    </row>
    <row r="633" spans="1:1" ht="15.75" customHeight="1">
      <c r="A633" s="8"/>
    </row>
    <row r="634" spans="1:1" ht="15.75" customHeight="1">
      <c r="A634" s="8"/>
    </row>
    <row r="635" spans="1:1" ht="15.75" customHeight="1">
      <c r="A635" s="8"/>
    </row>
    <row r="636" spans="1:1" ht="15.75" customHeight="1">
      <c r="A636" s="8"/>
    </row>
    <row r="637" spans="1:1" ht="15.75" customHeight="1">
      <c r="A637" s="8"/>
    </row>
    <row r="638" spans="1:1" ht="15.75" customHeight="1">
      <c r="A638" s="8"/>
    </row>
    <row r="639" spans="1:1" ht="15.75" customHeight="1">
      <c r="A639" s="8"/>
    </row>
    <row r="640" spans="1:1" ht="15.75" customHeight="1">
      <c r="A640" s="8"/>
    </row>
    <row r="641" spans="1:1" ht="15.75" customHeight="1">
      <c r="A641" s="8"/>
    </row>
    <row r="642" spans="1:1" ht="15.75" customHeight="1">
      <c r="A642" s="8"/>
    </row>
    <row r="643" spans="1:1" ht="15.75" customHeight="1">
      <c r="A643" s="8"/>
    </row>
    <row r="644" spans="1:1" ht="15.75" customHeight="1">
      <c r="A644" s="8"/>
    </row>
    <row r="645" spans="1:1" ht="15.75" customHeight="1">
      <c r="A645" s="8"/>
    </row>
    <row r="646" spans="1:1" ht="15.75" customHeight="1">
      <c r="A646" s="8"/>
    </row>
    <row r="647" spans="1:1" ht="15.75" customHeight="1">
      <c r="A647" s="8"/>
    </row>
    <row r="648" spans="1:1" ht="15.75" customHeight="1">
      <c r="A648" s="8"/>
    </row>
    <row r="649" spans="1:1" ht="15.75" customHeight="1">
      <c r="A649" s="8"/>
    </row>
    <row r="650" spans="1:1" ht="15.75" customHeight="1">
      <c r="A650" s="8"/>
    </row>
    <row r="651" spans="1:1" ht="15.75" customHeight="1">
      <c r="A651" s="8"/>
    </row>
    <row r="652" spans="1:1" ht="15.75" customHeight="1">
      <c r="A652" s="8"/>
    </row>
    <row r="653" spans="1:1" ht="15.75" customHeight="1">
      <c r="A653" s="8"/>
    </row>
    <row r="654" spans="1:1" ht="15.75" customHeight="1">
      <c r="A654" s="8"/>
    </row>
    <row r="655" spans="1:1" ht="15.75" customHeight="1">
      <c r="A655" s="8"/>
    </row>
    <row r="656" spans="1:1" ht="15.75" customHeight="1">
      <c r="A656" s="8"/>
    </row>
    <row r="657" spans="1:1" ht="15.75" customHeight="1">
      <c r="A657" s="8"/>
    </row>
    <row r="658" spans="1:1" ht="15.75" customHeight="1">
      <c r="A658" s="8"/>
    </row>
    <row r="659" spans="1:1" ht="15.75" customHeight="1">
      <c r="A659" s="8"/>
    </row>
    <row r="660" spans="1:1" ht="15.75" customHeight="1">
      <c r="A660" s="8"/>
    </row>
    <row r="661" spans="1:1" ht="15.75" customHeight="1">
      <c r="A661" s="8"/>
    </row>
    <row r="662" spans="1:1" ht="15.75" customHeight="1">
      <c r="A662" s="8"/>
    </row>
    <row r="663" spans="1:1" ht="15.75" customHeight="1">
      <c r="A663" s="8"/>
    </row>
    <row r="664" spans="1:1" ht="15.75" customHeight="1">
      <c r="A664" s="8"/>
    </row>
    <row r="665" spans="1:1" ht="15.75" customHeight="1">
      <c r="A665" s="8"/>
    </row>
    <row r="666" spans="1:1" ht="15.75" customHeight="1">
      <c r="A666" s="8"/>
    </row>
    <row r="667" spans="1:1" ht="15.75" customHeight="1">
      <c r="A667" s="8"/>
    </row>
    <row r="668" spans="1:1" ht="15.75" customHeight="1">
      <c r="A668" s="8"/>
    </row>
    <row r="669" spans="1:1" ht="15.75" customHeight="1">
      <c r="A669" s="8"/>
    </row>
    <row r="670" spans="1:1" ht="15.75" customHeight="1">
      <c r="A670" s="8"/>
    </row>
    <row r="671" spans="1:1" ht="15.75" customHeight="1">
      <c r="A671" s="8"/>
    </row>
    <row r="672" spans="1:1" ht="15.75" customHeight="1">
      <c r="A672" s="8"/>
    </row>
    <row r="673" spans="1:1" ht="15.75" customHeight="1">
      <c r="A673" s="8"/>
    </row>
    <row r="674" spans="1:1" ht="15.75" customHeight="1">
      <c r="A674" s="8"/>
    </row>
    <row r="675" spans="1:1" ht="15.75" customHeight="1">
      <c r="A675" s="8"/>
    </row>
    <row r="676" spans="1:1" ht="15.75" customHeight="1">
      <c r="A676" s="8"/>
    </row>
    <row r="677" spans="1:1" ht="15.75" customHeight="1">
      <c r="A677" s="8"/>
    </row>
    <row r="678" spans="1:1" ht="15.75" customHeight="1">
      <c r="A678" s="8"/>
    </row>
    <row r="679" spans="1:1" ht="15.75" customHeight="1">
      <c r="A679" s="8"/>
    </row>
    <row r="680" spans="1:1" ht="15.75" customHeight="1">
      <c r="A680" s="8"/>
    </row>
    <row r="681" spans="1:1" ht="15.75" customHeight="1">
      <c r="A681" s="8"/>
    </row>
    <row r="682" spans="1:1" ht="15.75" customHeight="1">
      <c r="A682" s="8"/>
    </row>
    <row r="683" spans="1:1" ht="15.75" customHeight="1">
      <c r="A683" s="8"/>
    </row>
    <row r="684" spans="1:1" ht="15.75" customHeight="1">
      <c r="A684" s="8"/>
    </row>
    <row r="685" spans="1:1" ht="15.75" customHeight="1">
      <c r="A685" s="8"/>
    </row>
    <row r="686" spans="1:1" ht="15.75" customHeight="1">
      <c r="A686" s="8"/>
    </row>
    <row r="687" spans="1:1" ht="15.75" customHeight="1">
      <c r="A687" s="8"/>
    </row>
    <row r="688" spans="1:1" ht="15.75" customHeight="1">
      <c r="A688" s="8"/>
    </row>
    <row r="689" spans="1:1" ht="15.75" customHeight="1">
      <c r="A689" s="8"/>
    </row>
    <row r="690" spans="1:1" ht="15.75" customHeight="1">
      <c r="A690" s="8"/>
    </row>
    <row r="691" spans="1:1" ht="15.75" customHeight="1">
      <c r="A691" s="8"/>
    </row>
    <row r="692" spans="1:1" ht="15.75" customHeight="1">
      <c r="A692" s="8"/>
    </row>
    <row r="693" spans="1:1" ht="15.75" customHeight="1">
      <c r="A693" s="8"/>
    </row>
    <row r="694" spans="1:1" ht="15.75" customHeight="1">
      <c r="A694" s="8"/>
    </row>
    <row r="695" spans="1:1" ht="15.75" customHeight="1">
      <c r="A695" s="8"/>
    </row>
    <row r="696" spans="1:1" ht="15.75" customHeight="1">
      <c r="A696" s="8"/>
    </row>
    <row r="697" spans="1:1" ht="15.75" customHeight="1">
      <c r="A697" s="8"/>
    </row>
    <row r="698" spans="1:1" ht="15.75" customHeight="1">
      <c r="A698" s="8"/>
    </row>
    <row r="699" spans="1:1" ht="15.75" customHeight="1">
      <c r="A699" s="8"/>
    </row>
    <row r="700" spans="1:1" ht="15.75" customHeight="1">
      <c r="A700" s="8"/>
    </row>
    <row r="701" spans="1:1" ht="15.75" customHeight="1">
      <c r="A701" s="8"/>
    </row>
    <row r="702" spans="1:1" ht="15.75" customHeight="1">
      <c r="A702" s="8"/>
    </row>
    <row r="703" spans="1:1" ht="15.75" customHeight="1">
      <c r="A703" s="8"/>
    </row>
    <row r="704" spans="1:1" ht="15.75" customHeight="1">
      <c r="A704" s="8"/>
    </row>
    <row r="705" spans="1:1" ht="15.75" customHeight="1">
      <c r="A705" s="8"/>
    </row>
    <row r="706" spans="1:1" ht="15.75" customHeight="1">
      <c r="A706" s="8"/>
    </row>
    <row r="707" spans="1:1" ht="15.75" customHeight="1">
      <c r="A707" s="8"/>
    </row>
    <row r="708" spans="1:1" ht="15.75" customHeight="1">
      <c r="A708" s="8"/>
    </row>
    <row r="709" spans="1:1" ht="15.75" customHeight="1">
      <c r="A709" s="8"/>
    </row>
    <row r="710" spans="1:1" ht="15.75" customHeight="1">
      <c r="A710" s="8"/>
    </row>
    <row r="711" spans="1:1" ht="15.75" customHeight="1">
      <c r="A711" s="8"/>
    </row>
    <row r="712" spans="1:1" ht="15.75" customHeight="1">
      <c r="A712" s="8"/>
    </row>
    <row r="713" spans="1:1" ht="15.75" customHeight="1">
      <c r="A713" s="8"/>
    </row>
    <row r="714" spans="1:1" ht="15.75" customHeight="1">
      <c r="A714" s="8"/>
    </row>
    <row r="715" spans="1:1" ht="15.75" customHeight="1">
      <c r="A715" s="8"/>
    </row>
    <row r="716" spans="1:1" ht="15.75" customHeight="1">
      <c r="A716" s="8"/>
    </row>
    <row r="717" spans="1:1" ht="15.75" customHeight="1">
      <c r="A717" s="8"/>
    </row>
    <row r="718" spans="1:1" ht="15.75" customHeight="1">
      <c r="A718" s="8"/>
    </row>
    <row r="719" spans="1:1" ht="15.75" customHeight="1">
      <c r="A719" s="8"/>
    </row>
    <row r="720" spans="1:1" ht="15.75" customHeight="1">
      <c r="A720" s="8"/>
    </row>
    <row r="721" spans="1:1" ht="15.75" customHeight="1">
      <c r="A721" s="8"/>
    </row>
    <row r="722" spans="1:1" ht="15.75" customHeight="1">
      <c r="A722" s="8"/>
    </row>
    <row r="723" spans="1:1" ht="15.75" customHeight="1">
      <c r="A723" s="8"/>
    </row>
    <row r="724" spans="1:1" ht="15.75" customHeight="1">
      <c r="A724" s="8"/>
    </row>
    <row r="725" spans="1:1" ht="15.75" customHeight="1">
      <c r="A725" s="8"/>
    </row>
    <row r="726" spans="1:1" ht="15.75" customHeight="1">
      <c r="A726" s="8"/>
    </row>
    <row r="727" spans="1:1" ht="15.75" customHeight="1">
      <c r="A727" s="8"/>
    </row>
    <row r="728" spans="1:1" ht="15.75" customHeight="1">
      <c r="A728" s="8"/>
    </row>
    <row r="729" spans="1:1" ht="15.75" customHeight="1">
      <c r="A729" s="8"/>
    </row>
    <row r="730" spans="1:1" ht="15.75" customHeight="1">
      <c r="A730" s="8"/>
    </row>
    <row r="731" spans="1:1" ht="15.75" customHeight="1">
      <c r="A731" s="8"/>
    </row>
    <row r="732" spans="1:1" ht="15.75" customHeight="1">
      <c r="A732" s="8"/>
    </row>
    <row r="733" spans="1:1" ht="15.75" customHeight="1">
      <c r="A733" s="8"/>
    </row>
    <row r="734" spans="1:1" ht="15.75" customHeight="1">
      <c r="A734" s="8"/>
    </row>
    <row r="735" spans="1:1" ht="15.75" customHeight="1">
      <c r="A735" s="8"/>
    </row>
    <row r="736" spans="1:1" ht="15.75" customHeight="1">
      <c r="A736" s="8"/>
    </row>
    <row r="737" spans="1:1" ht="15.75" customHeight="1">
      <c r="A737" s="8"/>
    </row>
    <row r="738" spans="1:1" ht="15.75" customHeight="1">
      <c r="A738" s="8"/>
    </row>
    <row r="739" spans="1:1" ht="15.75" customHeight="1">
      <c r="A739" s="8"/>
    </row>
    <row r="740" spans="1:1" ht="15.75" customHeight="1">
      <c r="A740" s="8"/>
    </row>
    <row r="741" spans="1:1" ht="15.75" customHeight="1">
      <c r="A741" s="8"/>
    </row>
    <row r="742" spans="1:1" ht="15.75" customHeight="1">
      <c r="A742" s="8"/>
    </row>
    <row r="743" spans="1:1" ht="15.75" customHeight="1">
      <c r="A743" s="8"/>
    </row>
    <row r="744" spans="1:1" ht="15.75" customHeight="1">
      <c r="A744" s="8"/>
    </row>
    <row r="745" spans="1:1" ht="15.75" customHeight="1">
      <c r="A745" s="8"/>
    </row>
    <row r="746" spans="1:1" ht="15.75" customHeight="1">
      <c r="A746" s="8"/>
    </row>
    <row r="747" spans="1:1" ht="15.75" customHeight="1">
      <c r="A747" s="8"/>
    </row>
    <row r="748" spans="1:1" ht="15.75" customHeight="1">
      <c r="A748" s="8"/>
    </row>
    <row r="749" spans="1:1" ht="15.75" customHeight="1">
      <c r="A749" s="8"/>
    </row>
    <row r="750" spans="1:1" ht="15.75" customHeight="1">
      <c r="A750" s="8"/>
    </row>
    <row r="751" spans="1:1" ht="15.75" customHeight="1">
      <c r="A751" s="8"/>
    </row>
    <row r="752" spans="1:1" ht="15.75" customHeight="1">
      <c r="A752" s="8"/>
    </row>
    <row r="753" spans="1:1" ht="15.75" customHeight="1">
      <c r="A753" s="8"/>
    </row>
    <row r="754" spans="1:1" ht="15.75" customHeight="1">
      <c r="A754" s="8"/>
    </row>
    <row r="755" spans="1:1" ht="15.75" customHeight="1">
      <c r="A755" s="8"/>
    </row>
    <row r="756" spans="1:1" ht="15.75" customHeight="1">
      <c r="A756" s="8"/>
    </row>
    <row r="757" spans="1:1" ht="15.75" customHeight="1">
      <c r="A757" s="8"/>
    </row>
    <row r="758" spans="1:1" ht="15.75" customHeight="1">
      <c r="A758" s="8"/>
    </row>
    <row r="759" spans="1:1" ht="15.75" customHeight="1">
      <c r="A759" s="8"/>
    </row>
    <row r="760" spans="1:1" ht="15.75" customHeight="1">
      <c r="A760" s="8"/>
    </row>
    <row r="761" spans="1:1" ht="15.75" customHeight="1">
      <c r="A761" s="8"/>
    </row>
    <row r="762" spans="1:1" ht="15.75" customHeight="1">
      <c r="A762" s="8"/>
    </row>
    <row r="763" spans="1:1" ht="15.75" customHeight="1">
      <c r="A763" s="8"/>
    </row>
    <row r="764" spans="1:1" ht="15.75" customHeight="1">
      <c r="A764" s="8"/>
    </row>
    <row r="765" spans="1:1" ht="15.75" customHeight="1">
      <c r="A765" s="8"/>
    </row>
    <row r="766" spans="1:1" ht="15.75" customHeight="1">
      <c r="A766" s="8"/>
    </row>
    <row r="767" spans="1:1" ht="15.75" customHeight="1">
      <c r="A767" s="8"/>
    </row>
    <row r="768" spans="1:1" ht="15.75" customHeight="1">
      <c r="A768" s="8"/>
    </row>
    <row r="769" spans="1:1" ht="15.75" customHeight="1">
      <c r="A769" s="8"/>
    </row>
    <row r="770" spans="1:1" ht="15.75" customHeight="1">
      <c r="A770" s="8"/>
    </row>
    <row r="771" spans="1:1" ht="15.75" customHeight="1">
      <c r="A771" s="8"/>
    </row>
    <row r="772" spans="1:1" ht="15.75" customHeight="1">
      <c r="A772" s="8"/>
    </row>
    <row r="773" spans="1:1" ht="15.75" customHeight="1">
      <c r="A773" s="8"/>
    </row>
    <row r="774" spans="1:1" ht="15.75" customHeight="1">
      <c r="A774" s="8"/>
    </row>
    <row r="775" spans="1:1" ht="15.75" customHeight="1">
      <c r="A775" s="8"/>
    </row>
    <row r="776" spans="1:1" ht="15.75" customHeight="1">
      <c r="A776" s="8"/>
    </row>
    <row r="777" spans="1:1" ht="15.75" customHeight="1">
      <c r="A777" s="8"/>
    </row>
    <row r="778" spans="1:1" ht="15.75" customHeight="1">
      <c r="A778" s="8"/>
    </row>
    <row r="779" spans="1:1" ht="15.75" customHeight="1">
      <c r="A779" s="8"/>
    </row>
    <row r="780" spans="1:1" ht="15.75" customHeight="1">
      <c r="A780" s="8"/>
    </row>
    <row r="781" spans="1:1" ht="15.75" customHeight="1">
      <c r="A781" s="8"/>
    </row>
    <row r="782" spans="1:1" ht="15.75" customHeight="1">
      <c r="A782" s="8"/>
    </row>
    <row r="783" spans="1:1" ht="15.75" customHeight="1">
      <c r="A783" s="8"/>
    </row>
    <row r="784" spans="1:1" ht="15.75" customHeight="1">
      <c r="A784" s="8"/>
    </row>
    <row r="785" spans="1:1" ht="15.75" customHeight="1">
      <c r="A785" s="8"/>
    </row>
    <row r="786" spans="1:1" ht="15.75" customHeight="1">
      <c r="A786" s="8"/>
    </row>
    <row r="787" spans="1:1" ht="15.75" customHeight="1">
      <c r="A787" s="8"/>
    </row>
    <row r="788" spans="1:1" ht="15.75" customHeight="1">
      <c r="A788" s="8"/>
    </row>
    <row r="789" spans="1:1" ht="15.75" customHeight="1">
      <c r="A789" s="8"/>
    </row>
    <row r="790" spans="1:1" ht="15.75" customHeight="1">
      <c r="A790" s="8"/>
    </row>
    <row r="791" spans="1:1" ht="15.75" customHeight="1">
      <c r="A791" s="8"/>
    </row>
    <row r="792" spans="1:1" ht="15.75" customHeight="1">
      <c r="A792" s="8"/>
    </row>
    <row r="793" spans="1:1" ht="15.75" customHeight="1">
      <c r="A793" s="8"/>
    </row>
    <row r="794" spans="1:1" ht="15.75" customHeight="1">
      <c r="A794" s="8"/>
    </row>
    <row r="795" spans="1:1" ht="15.75" customHeight="1">
      <c r="A795" s="8"/>
    </row>
    <row r="796" spans="1:1" ht="15.75" customHeight="1">
      <c r="A796" s="8"/>
    </row>
    <row r="797" spans="1:1" ht="15.75" customHeight="1">
      <c r="A797" s="8"/>
    </row>
    <row r="798" spans="1:1" ht="15.75" customHeight="1">
      <c r="A798" s="8"/>
    </row>
    <row r="799" spans="1:1" ht="15.75" customHeight="1">
      <c r="A799" s="8"/>
    </row>
    <row r="800" spans="1:1" ht="15.75" customHeight="1">
      <c r="A800" s="8"/>
    </row>
    <row r="801" spans="1:1" ht="15.75" customHeight="1">
      <c r="A801" s="8"/>
    </row>
    <row r="802" spans="1:1" ht="15.75" customHeight="1">
      <c r="A802" s="8"/>
    </row>
    <row r="803" spans="1:1" ht="15.75" customHeight="1">
      <c r="A803" s="8"/>
    </row>
    <row r="804" spans="1:1" ht="15.75" customHeight="1">
      <c r="A804" s="8"/>
    </row>
    <row r="805" spans="1:1" ht="15.75" customHeight="1">
      <c r="A805" s="8"/>
    </row>
    <row r="806" spans="1:1" ht="15.75" customHeight="1">
      <c r="A806" s="8"/>
    </row>
    <row r="807" spans="1:1" ht="15.75" customHeight="1">
      <c r="A807" s="8"/>
    </row>
    <row r="808" spans="1:1" ht="15.75" customHeight="1">
      <c r="A808" s="8"/>
    </row>
    <row r="809" spans="1:1" ht="15.75" customHeight="1">
      <c r="A809" s="8"/>
    </row>
    <row r="810" spans="1:1" ht="15.75" customHeight="1">
      <c r="A810" s="8"/>
    </row>
    <row r="811" spans="1:1" ht="15.75" customHeight="1">
      <c r="A811" s="8"/>
    </row>
    <row r="812" spans="1:1" ht="15.75" customHeight="1">
      <c r="A812" s="8"/>
    </row>
    <row r="813" spans="1:1" ht="15.75" customHeight="1">
      <c r="A813" s="8"/>
    </row>
    <row r="814" spans="1:1" ht="15.75" customHeight="1">
      <c r="A814" s="8"/>
    </row>
    <row r="815" spans="1:1" ht="15.75" customHeight="1">
      <c r="A815" s="8"/>
    </row>
    <row r="816" spans="1:1" ht="15.75" customHeight="1">
      <c r="A816" s="8"/>
    </row>
    <row r="817" spans="1:1" ht="15.75" customHeight="1">
      <c r="A817" s="8"/>
    </row>
    <row r="818" spans="1:1" ht="15.75" customHeight="1">
      <c r="A818" s="8"/>
    </row>
    <row r="819" spans="1:1" ht="15.75" customHeight="1">
      <c r="A819" s="8"/>
    </row>
    <row r="820" spans="1:1" ht="15.75" customHeight="1">
      <c r="A820" s="8"/>
    </row>
    <row r="821" spans="1:1" ht="15.75" customHeight="1">
      <c r="A821" s="8"/>
    </row>
    <row r="822" spans="1:1" ht="15.75" customHeight="1">
      <c r="A822" s="8"/>
    </row>
    <row r="823" spans="1:1" ht="15.75" customHeight="1">
      <c r="A823" s="8"/>
    </row>
    <row r="824" spans="1:1" ht="15.75" customHeight="1">
      <c r="A824" s="8"/>
    </row>
    <row r="825" spans="1:1" ht="15.75" customHeight="1">
      <c r="A825" s="8"/>
    </row>
    <row r="826" spans="1:1" ht="15.75" customHeight="1">
      <c r="A826" s="8"/>
    </row>
    <row r="827" spans="1:1" ht="15.75" customHeight="1">
      <c r="A827" s="8"/>
    </row>
    <row r="828" spans="1:1" ht="15.75" customHeight="1">
      <c r="A828" s="8"/>
    </row>
    <row r="829" spans="1:1" ht="15.75" customHeight="1">
      <c r="A829" s="8"/>
    </row>
    <row r="830" spans="1:1" ht="15.75" customHeight="1">
      <c r="A830" s="8"/>
    </row>
    <row r="831" spans="1:1" ht="15.75" customHeight="1">
      <c r="A831" s="8"/>
    </row>
    <row r="832" spans="1:1" ht="15.75" customHeight="1">
      <c r="A832" s="8"/>
    </row>
    <row r="833" spans="1:1" ht="15.75" customHeight="1">
      <c r="A833" s="8"/>
    </row>
    <row r="834" spans="1:1" ht="15.75" customHeight="1">
      <c r="A834" s="8"/>
    </row>
    <row r="835" spans="1:1" ht="15.75" customHeight="1">
      <c r="A835" s="8"/>
    </row>
    <row r="836" spans="1:1" ht="15.75" customHeight="1">
      <c r="A836" s="8"/>
    </row>
    <row r="837" spans="1:1" ht="15.75" customHeight="1">
      <c r="A837" s="8"/>
    </row>
    <row r="838" spans="1:1" ht="15.75" customHeight="1">
      <c r="A838" s="8"/>
    </row>
    <row r="839" spans="1:1" ht="15.75" customHeight="1">
      <c r="A839" s="8"/>
    </row>
    <row r="840" spans="1:1" ht="15.75" customHeight="1">
      <c r="A840" s="8"/>
    </row>
    <row r="841" spans="1:1" ht="15.75" customHeight="1">
      <c r="A841" s="8"/>
    </row>
    <row r="842" spans="1:1" ht="15.75" customHeight="1">
      <c r="A842" s="8"/>
    </row>
    <row r="843" spans="1:1" ht="15.75" customHeight="1">
      <c r="A843" s="8"/>
    </row>
    <row r="844" spans="1:1" ht="15.75" customHeight="1">
      <c r="A844" s="8"/>
    </row>
    <row r="845" spans="1:1" ht="15.75" customHeight="1">
      <c r="A845" s="8"/>
    </row>
    <row r="846" spans="1:1" ht="15.75" customHeight="1">
      <c r="A846" s="8"/>
    </row>
    <row r="847" spans="1:1" ht="15.75" customHeight="1">
      <c r="A847" s="8"/>
    </row>
    <row r="848" spans="1:1" ht="15.75" customHeight="1">
      <c r="A848" s="8"/>
    </row>
    <row r="849" spans="1:1" ht="15.75" customHeight="1">
      <c r="A849" s="8"/>
    </row>
    <row r="850" spans="1:1" ht="15.75" customHeight="1">
      <c r="A850" s="8"/>
    </row>
    <row r="851" spans="1:1" ht="15.75" customHeight="1">
      <c r="A851" s="8"/>
    </row>
    <row r="852" spans="1:1" ht="15.75" customHeight="1">
      <c r="A852" s="8"/>
    </row>
    <row r="853" spans="1:1" ht="15.75" customHeight="1">
      <c r="A853" s="8"/>
    </row>
    <row r="854" spans="1:1" ht="15.75" customHeight="1">
      <c r="A854" s="8"/>
    </row>
    <row r="855" spans="1:1" ht="15.75" customHeight="1">
      <c r="A855" s="8"/>
    </row>
    <row r="856" spans="1:1" ht="15.75" customHeight="1">
      <c r="A856" s="8"/>
    </row>
    <row r="857" spans="1:1" ht="15.75" customHeight="1">
      <c r="A857" s="8"/>
    </row>
    <row r="858" spans="1:1" ht="15.75" customHeight="1">
      <c r="A858" s="8"/>
    </row>
    <row r="859" spans="1:1" ht="15.75" customHeight="1">
      <c r="A859" s="8"/>
    </row>
    <row r="860" spans="1:1" ht="15.75" customHeight="1">
      <c r="A860" s="8"/>
    </row>
    <row r="861" spans="1:1" ht="15.75" customHeight="1">
      <c r="A861" s="8"/>
    </row>
    <row r="862" spans="1:1" ht="15.75" customHeight="1">
      <c r="A862" s="8"/>
    </row>
    <row r="863" spans="1:1" ht="15.75" customHeight="1">
      <c r="A863" s="8"/>
    </row>
    <row r="864" spans="1:1" ht="15.75" customHeight="1">
      <c r="A864" s="8"/>
    </row>
    <row r="865" spans="1:1" ht="15.75" customHeight="1">
      <c r="A865" s="8"/>
    </row>
    <row r="866" spans="1:1" ht="15.75" customHeight="1">
      <c r="A866" s="8"/>
    </row>
    <row r="867" spans="1:1" ht="15.75" customHeight="1">
      <c r="A867" s="8"/>
    </row>
    <row r="868" spans="1:1" ht="15.75" customHeight="1">
      <c r="A868" s="8"/>
    </row>
    <row r="869" spans="1:1" ht="15.75" customHeight="1">
      <c r="A869" s="8"/>
    </row>
    <row r="870" spans="1:1" ht="15.75" customHeight="1">
      <c r="A870" s="8"/>
    </row>
    <row r="871" spans="1:1" ht="15.75" customHeight="1">
      <c r="A871" s="8"/>
    </row>
    <row r="872" spans="1:1" ht="15.75" customHeight="1">
      <c r="A872" s="8"/>
    </row>
    <row r="873" spans="1:1" ht="15.75" customHeight="1">
      <c r="A873" s="8"/>
    </row>
    <row r="874" spans="1:1" ht="15.75" customHeight="1">
      <c r="A874" s="8"/>
    </row>
    <row r="875" spans="1:1" ht="15.75" customHeight="1">
      <c r="A875" s="8"/>
    </row>
    <row r="876" spans="1:1" ht="15.75" customHeight="1">
      <c r="A876" s="8"/>
    </row>
    <row r="877" spans="1:1" ht="15.75" customHeight="1">
      <c r="A877" s="8"/>
    </row>
    <row r="878" spans="1:1" ht="15.75" customHeight="1">
      <c r="A878" s="8"/>
    </row>
    <row r="879" spans="1:1" ht="15.75" customHeight="1">
      <c r="A879" s="8"/>
    </row>
    <row r="880" spans="1:1" ht="15.75" customHeight="1">
      <c r="A880" s="8"/>
    </row>
    <row r="881" spans="1:1" ht="15.75" customHeight="1">
      <c r="A881" s="8"/>
    </row>
    <row r="882" spans="1:1" ht="15.75" customHeight="1">
      <c r="A882" s="8"/>
    </row>
    <row r="883" spans="1:1" ht="15.75" customHeight="1">
      <c r="A883" s="8"/>
    </row>
    <row r="884" spans="1:1" ht="15.75" customHeight="1">
      <c r="A884" s="8"/>
    </row>
    <row r="885" spans="1:1" ht="15.75" customHeight="1">
      <c r="A885" s="8"/>
    </row>
    <row r="886" spans="1:1" ht="15.75" customHeight="1">
      <c r="A886" s="8"/>
    </row>
    <row r="887" spans="1:1" ht="15.75" customHeight="1">
      <c r="A887" s="8"/>
    </row>
    <row r="888" spans="1:1" ht="15.75" customHeight="1">
      <c r="A888" s="8"/>
    </row>
    <row r="889" spans="1:1" ht="15.75" customHeight="1">
      <c r="A889" s="8"/>
    </row>
    <row r="890" spans="1:1" ht="15.75" customHeight="1">
      <c r="A890" s="8"/>
    </row>
    <row r="891" spans="1:1" ht="15.75" customHeight="1">
      <c r="A891" s="8"/>
    </row>
    <row r="892" spans="1:1" ht="15.75" customHeight="1">
      <c r="A892" s="8"/>
    </row>
    <row r="893" spans="1:1" ht="15.75" customHeight="1">
      <c r="A893" s="8"/>
    </row>
    <row r="894" spans="1:1" ht="15.75" customHeight="1">
      <c r="A894" s="8"/>
    </row>
    <row r="895" spans="1:1" ht="15.75" customHeight="1">
      <c r="A895" s="8"/>
    </row>
    <row r="896" spans="1:1" ht="15.75" customHeight="1">
      <c r="A896" s="8"/>
    </row>
    <row r="897" spans="1:1" ht="15.75" customHeight="1">
      <c r="A897" s="8"/>
    </row>
    <row r="898" spans="1:1" ht="15.75" customHeight="1">
      <c r="A898" s="8"/>
    </row>
    <row r="899" spans="1:1" ht="15.75" customHeight="1">
      <c r="A899" s="8"/>
    </row>
    <row r="900" spans="1:1" ht="15.75" customHeight="1">
      <c r="A900" s="8"/>
    </row>
    <row r="901" spans="1:1" ht="15.75" customHeight="1">
      <c r="A901" s="8"/>
    </row>
    <row r="902" spans="1:1" ht="15.75" customHeight="1">
      <c r="A902" s="8"/>
    </row>
    <row r="903" spans="1:1" ht="15.75" customHeight="1">
      <c r="A903" s="8"/>
    </row>
    <row r="904" spans="1:1" ht="15.75" customHeight="1">
      <c r="A904" s="8"/>
    </row>
    <row r="905" spans="1:1" ht="15.75" customHeight="1">
      <c r="A905" s="8"/>
    </row>
    <row r="906" spans="1:1" ht="15.75" customHeight="1">
      <c r="A906" s="8"/>
    </row>
    <row r="907" spans="1:1" ht="15.75" customHeight="1">
      <c r="A907" s="8"/>
    </row>
    <row r="908" spans="1:1" ht="15.75" customHeight="1">
      <c r="A908" s="8"/>
    </row>
    <row r="909" spans="1:1" ht="15.75" customHeight="1">
      <c r="A909" s="8"/>
    </row>
    <row r="910" spans="1:1" ht="15.75" customHeight="1">
      <c r="A910" s="8"/>
    </row>
    <row r="911" spans="1:1" ht="15.75" customHeight="1">
      <c r="A911" s="8"/>
    </row>
    <row r="912" spans="1:1" ht="15.75" customHeight="1">
      <c r="A912" s="8"/>
    </row>
    <row r="913" spans="1:1" ht="15.75" customHeight="1">
      <c r="A913" s="8"/>
    </row>
    <row r="914" spans="1:1" ht="15.75" customHeight="1">
      <c r="A914" s="8"/>
    </row>
    <row r="915" spans="1:1" ht="15.75" customHeight="1">
      <c r="A915" s="8"/>
    </row>
    <row r="916" spans="1:1" ht="15.75" customHeight="1">
      <c r="A916" s="8"/>
    </row>
    <row r="917" spans="1:1" ht="15.75" customHeight="1">
      <c r="A917" s="8"/>
    </row>
    <row r="918" spans="1:1" ht="15.75" customHeight="1">
      <c r="A918" s="8"/>
    </row>
    <row r="919" spans="1:1" ht="15.75" customHeight="1">
      <c r="A919" s="8"/>
    </row>
    <row r="920" spans="1:1" ht="15.75" customHeight="1">
      <c r="A920" s="8"/>
    </row>
    <row r="921" spans="1:1" ht="15.75" customHeight="1">
      <c r="A921" s="8"/>
    </row>
    <row r="922" spans="1:1" ht="15.75" customHeight="1">
      <c r="A922" s="8"/>
    </row>
    <row r="923" spans="1:1" ht="15.75" customHeight="1">
      <c r="A923" s="8"/>
    </row>
    <row r="924" spans="1:1" ht="15.75" customHeight="1">
      <c r="A924" s="8"/>
    </row>
    <row r="925" spans="1:1" ht="15.75" customHeight="1">
      <c r="A925" s="8"/>
    </row>
    <row r="926" spans="1:1" ht="15.75" customHeight="1">
      <c r="A926" s="8"/>
    </row>
    <row r="927" spans="1:1" ht="15.75" customHeight="1">
      <c r="A927" s="8"/>
    </row>
    <row r="928" spans="1:1" ht="15.75" customHeight="1">
      <c r="A928" s="8"/>
    </row>
    <row r="929" spans="1:1" ht="15.75" customHeight="1">
      <c r="A929" s="8"/>
    </row>
    <row r="930" spans="1:1" ht="15.75" customHeight="1">
      <c r="A930" s="8"/>
    </row>
    <row r="931" spans="1:1" ht="15.75" customHeight="1">
      <c r="A931" s="8"/>
    </row>
    <row r="932" spans="1:1" ht="15.75" customHeight="1">
      <c r="A932" s="8"/>
    </row>
    <row r="933" spans="1:1" ht="15.75" customHeight="1">
      <c r="A933" s="8"/>
    </row>
    <row r="934" spans="1:1" ht="15.75" customHeight="1">
      <c r="A934" s="8"/>
    </row>
    <row r="935" spans="1:1" ht="15.75" customHeight="1">
      <c r="A935" s="8"/>
    </row>
    <row r="936" spans="1:1" ht="15.75" customHeight="1">
      <c r="A936" s="8"/>
    </row>
    <row r="937" spans="1:1" ht="15.75" customHeight="1">
      <c r="A937" s="8"/>
    </row>
    <row r="938" spans="1:1" ht="15.75" customHeight="1">
      <c r="A938" s="8"/>
    </row>
    <row r="939" spans="1:1" ht="15.75" customHeight="1">
      <c r="A939" s="8"/>
    </row>
    <row r="940" spans="1:1" ht="15.75" customHeight="1">
      <c r="A940" s="8"/>
    </row>
    <row r="941" spans="1:1" ht="15.75" customHeight="1">
      <c r="A941" s="8"/>
    </row>
    <row r="942" spans="1:1" ht="15.75" customHeight="1">
      <c r="A942" s="8"/>
    </row>
    <row r="943" spans="1:1" ht="15.75" customHeight="1">
      <c r="A943" s="8"/>
    </row>
    <row r="944" spans="1:1" ht="15.75" customHeight="1">
      <c r="A944" s="8"/>
    </row>
    <row r="945" spans="1:1" ht="15.75" customHeight="1">
      <c r="A945" s="8"/>
    </row>
    <row r="946" spans="1:1" ht="15.75" customHeight="1">
      <c r="A946" s="8"/>
    </row>
    <row r="947" spans="1:1" ht="15.75" customHeight="1">
      <c r="A947" s="8"/>
    </row>
    <row r="948" spans="1:1" ht="15.75" customHeight="1">
      <c r="A948" s="8"/>
    </row>
    <row r="949" spans="1:1" ht="15.75" customHeight="1">
      <c r="A949" s="8"/>
    </row>
    <row r="950" spans="1:1" ht="15.75" customHeight="1">
      <c r="A950" s="8"/>
    </row>
    <row r="951" spans="1:1" ht="15.75" customHeight="1">
      <c r="A951" s="8"/>
    </row>
    <row r="952" spans="1:1" ht="15.75" customHeight="1">
      <c r="A952" s="8"/>
    </row>
    <row r="953" spans="1:1" ht="15.75" customHeight="1">
      <c r="A953" s="8"/>
    </row>
    <row r="954" spans="1:1" ht="15.75" customHeight="1">
      <c r="A954" s="8"/>
    </row>
    <row r="955" spans="1:1" ht="15.75" customHeight="1">
      <c r="A955" s="8"/>
    </row>
    <row r="956" spans="1:1" ht="15.75" customHeight="1">
      <c r="A956" s="8"/>
    </row>
    <row r="957" spans="1:1" ht="15.75" customHeight="1">
      <c r="A957" s="8"/>
    </row>
    <row r="958" spans="1:1" ht="15.75" customHeight="1">
      <c r="A958" s="8"/>
    </row>
    <row r="959" spans="1:1" ht="15.75" customHeight="1">
      <c r="A959" s="8"/>
    </row>
    <row r="960" spans="1:1" ht="15.75" customHeight="1">
      <c r="A960" s="8"/>
    </row>
    <row r="961" spans="1:1" ht="15.75" customHeight="1">
      <c r="A961" s="8"/>
    </row>
    <row r="962" spans="1:1" ht="15.75" customHeight="1">
      <c r="A962" s="8"/>
    </row>
    <row r="963" spans="1:1" ht="15.75" customHeight="1">
      <c r="A963" s="8"/>
    </row>
    <row r="964" spans="1:1" ht="15.75" customHeight="1">
      <c r="A964" s="8"/>
    </row>
    <row r="965" spans="1:1" ht="15.75" customHeight="1">
      <c r="A965" s="8"/>
    </row>
    <row r="966" spans="1:1" ht="15.75" customHeight="1">
      <c r="A966" s="8"/>
    </row>
    <row r="967" spans="1:1" ht="15.75" customHeight="1">
      <c r="A967" s="8"/>
    </row>
    <row r="968" spans="1:1" ht="15.75" customHeight="1">
      <c r="A968" s="8"/>
    </row>
    <row r="969" spans="1:1" ht="15.75" customHeight="1">
      <c r="A969" s="8"/>
    </row>
    <row r="970" spans="1:1" ht="15.75" customHeight="1">
      <c r="A970" s="8"/>
    </row>
    <row r="971" spans="1:1" ht="15.75" customHeight="1">
      <c r="A971" s="8"/>
    </row>
    <row r="972" spans="1:1" ht="15.75" customHeight="1">
      <c r="A972" s="8"/>
    </row>
    <row r="973" spans="1:1" ht="15.75" customHeight="1">
      <c r="A973" s="8"/>
    </row>
    <row r="974" spans="1:1" ht="15.75" customHeight="1">
      <c r="A974" s="8"/>
    </row>
    <row r="975" spans="1:1" ht="15.75" customHeight="1">
      <c r="A975" s="8"/>
    </row>
    <row r="976" spans="1:1" ht="15.75" customHeight="1">
      <c r="A976" s="8"/>
    </row>
    <row r="977" spans="1:1" ht="15.75" customHeight="1">
      <c r="A977" s="8"/>
    </row>
    <row r="978" spans="1:1" ht="15.75" customHeight="1">
      <c r="A978" s="8"/>
    </row>
    <row r="979" spans="1:1" ht="15.75" customHeight="1">
      <c r="A979" s="8"/>
    </row>
    <row r="980" spans="1:1" ht="15.75" customHeight="1">
      <c r="A980" s="8"/>
    </row>
    <row r="981" spans="1:1" ht="15.75" customHeight="1">
      <c r="A981" s="8"/>
    </row>
    <row r="982" spans="1:1" ht="15.75" customHeight="1">
      <c r="A982" s="8"/>
    </row>
    <row r="983" spans="1:1" ht="15.75" customHeight="1">
      <c r="A983" s="8"/>
    </row>
    <row r="984" spans="1:1" ht="15.75" customHeight="1">
      <c r="A984" s="8"/>
    </row>
    <row r="985" spans="1:1" ht="15.75" customHeight="1">
      <c r="A985" s="8"/>
    </row>
    <row r="986" spans="1:1" ht="15.75" customHeight="1">
      <c r="A986" s="8"/>
    </row>
    <row r="987" spans="1:1" ht="15.75" customHeight="1">
      <c r="A987" s="8"/>
    </row>
    <row r="988" spans="1:1" ht="15.75" customHeight="1">
      <c r="A988" s="8"/>
    </row>
    <row r="989" spans="1:1" ht="15.75" customHeight="1">
      <c r="A989" s="8"/>
    </row>
    <row r="990" spans="1:1" ht="15.75" customHeight="1">
      <c r="A990" s="8"/>
    </row>
    <row r="991" spans="1:1" ht="15.75" customHeight="1">
      <c r="A991" s="8"/>
    </row>
    <row r="992" spans="1:1" ht="15.75" customHeight="1">
      <c r="A992" s="8"/>
    </row>
    <row r="993" spans="1:1" ht="15.75" customHeight="1">
      <c r="A993" s="8"/>
    </row>
    <row r="994" spans="1:1" ht="15.75" customHeight="1">
      <c r="A994" s="8"/>
    </row>
    <row r="995" spans="1:1" ht="15.75" customHeight="1">
      <c r="A995" s="8"/>
    </row>
    <row r="996" spans="1:1" ht="15.75" customHeight="1">
      <c r="A996" s="8"/>
    </row>
    <row r="997" spans="1:1" ht="15.75" customHeight="1">
      <c r="A997" s="8"/>
    </row>
    <row r="998" spans="1:1" ht="15.75" customHeight="1">
      <c r="A998" s="8"/>
    </row>
    <row r="999" spans="1:1" ht="15.75" customHeight="1">
      <c r="A999" s="8"/>
    </row>
    <row r="1000" spans="1:1" ht="15.75" customHeight="1">
      <c r="A1000" s="8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4" t="s">
        <v>81</v>
      </c>
      <c r="B1" s="4" t="s">
        <v>82</v>
      </c>
    </row>
    <row r="2" spans="1:2">
      <c r="A2" s="9" t="s">
        <v>83</v>
      </c>
      <c r="B2" s="9" t="s">
        <v>84</v>
      </c>
    </row>
    <row r="3" spans="1:2">
      <c r="A3" s="9" t="s">
        <v>85</v>
      </c>
      <c r="B3" s="9" t="s">
        <v>86</v>
      </c>
    </row>
    <row r="4" spans="1:2">
      <c r="A4" s="9" t="s">
        <v>87</v>
      </c>
      <c r="B4" s="9" t="s">
        <v>88</v>
      </c>
    </row>
    <row r="5" spans="1:2">
      <c r="A5" s="9" t="s">
        <v>89</v>
      </c>
      <c r="B5" s="9" t="s">
        <v>90</v>
      </c>
    </row>
    <row r="6" spans="1:2">
      <c r="A6" s="9" t="s">
        <v>91</v>
      </c>
      <c r="B6" s="9" t="s">
        <v>92</v>
      </c>
    </row>
    <row r="7" spans="1:2">
      <c r="A7" s="9" t="s">
        <v>93</v>
      </c>
      <c r="B7" s="9" t="s">
        <v>94</v>
      </c>
    </row>
    <row r="8" spans="1:2">
      <c r="A8" s="9" t="s">
        <v>95</v>
      </c>
      <c r="B8" s="9" t="s">
        <v>96</v>
      </c>
    </row>
    <row r="9" spans="1:2">
      <c r="A9" s="9" t="s">
        <v>97</v>
      </c>
      <c r="B9" s="9" t="s">
        <v>98</v>
      </c>
    </row>
    <row r="10" spans="1:2">
      <c r="A10" s="9" t="s">
        <v>99</v>
      </c>
      <c r="B10" s="9" t="s">
        <v>100</v>
      </c>
    </row>
    <row r="11" spans="1:2">
      <c r="A11" s="9" t="s">
        <v>101</v>
      </c>
      <c r="B11" s="9" t="s">
        <v>102</v>
      </c>
    </row>
    <row r="12" spans="1:2">
      <c r="A12" s="9" t="s">
        <v>103</v>
      </c>
      <c r="B12" s="9" t="s">
        <v>104</v>
      </c>
    </row>
    <row r="13" spans="1:2">
      <c r="A13" s="9" t="s">
        <v>105</v>
      </c>
      <c r="B13" s="9" t="s">
        <v>106</v>
      </c>
    </row>
    <row r="14" spans="1:2">
      <c r="A14" s="9" t="s">
        <v>107</v>
      </c>
      <c r="B14" s="9" t="s">
        <v>108</v>
      </c>
    </row>
    <row r="15" spans="1:2">
      <c r="A15" s="9" t="s">
        <v>109</v>
      </c>
      <c r="B15" s="9" t="s">
        <v>110</v>
      </c>
    </row>
    <row r="16" spans="1:2">
      <c r="A16" s="9" t="s">
        <v>111</v>
      </c>
      <c r="B16" s="9" t="s">
        <v>112</v>
      </c>
    </row>
    <row r="17" spans="1:2">
      <c r="A17" s="9" t="s">
        <v>113</v>
      </c>
      <c r="B17" s="9" t="s">
        <v>114</v>
      </c>
    </row>
    <row r="18" spans="1:2">
      <c r="A18" s="9" t="s">
        <v>115</v>
      </c>
      <c r="B18" s="9" t="s">
        <v>116</v>
      </c>
    </row>
    <row r="19" spans="1:2">
      <c r="A19" s="9" t="s">
        <v>117</v>
      </c>
      <c r="B19" s="9" t="s">
        <v>118</v>
      </c>
    </row>
    <row r="20" spans="1:2">
      <c r="A20" s="9" t="s">
        <v>119</v>
      </c>
      <c r="B20" s="9" t="s">
        <v>120</v>
      </c>
    </row>
    <row r="21" spans="1:2" ht="15.75" customHeight="1">
      <c r="A21" s="9" t="s">
        <v>121</v>
      </c>
      <c r="B21" s="9" t="s">
        <v>122</v>
      </c>
    </row>
    <row r="22" spans="1:2" ht="15.75" customHeight="1">
      <c r="A22" s="9" t="s">
        <v>123</v>
      </c>
      <c r="B22" s="9" t="s">
        <v>124</v>
      </c>
    </row>
    <row r="23" spans="1:2" ht="15.75" customHeight="1">
      <c r="A23" s="9" t="s">
        <v>125</v>
      </c>
      <c r="B23" s="9" t="s">
        <v>126</v>
      </c>
    </row>
    <row r="24" spans="1:2" ht="15.75" customHeight="1">
      <c r="A24" s="9" t="s">
        <v>127</v>
      </c>
      <c r="B24" s="9" t="s">
        <v>128</v>
      </c>
    </row>
    <row r="25" spans="1:2" ht="15.75" customHeight="1">
      <c r="A25" s="9" t="s">
        <v>129</v>
      </c>
      <c r="B25" s="9" t="s">
        <v>130</v>
      </c>
    </row>
    <row r="26" spans="1:2" ht="15.75" customHeight="1">
      <c r="A26" s="9" t="s">
        <v>131</v>
      </c>
      <c r="B26" s="9" t="s">
        <v>132</v>
      </c>
    </row>
    <row r="27" spans="1:2" ht="15.75" customHeight="1">
      <c r="A27" s="9" t="s">
        <v>133</v>
      </c>
      <c r="B27" s="9" t="s">
        <v>134</v>
      </c>
    </row>
    <row r="28" spans="1:2" ht="15.75" customHeight="1">
      <c r="A28" s="9" t="s">
        <v>135</v>
      </c>
      <c r="B28" s="9" t="s">
        <v>136</v>
      </c>
    </row>
    <row r="29" spans="1:2" ht="15.75" customHeight="1">
      <c r="A29" s="9" t="s">
        <v>137</v>
      </c>
      <c r="B29" s="9" t="s">
        <v>138</v>
      </c>
    </row>
    <row r="30" spans="1:2" ht="15.75" customHeight="1">
      <c r="A30" s="9" t="s">
        <v>139</v>
      </c>
      <c r="B30" s="9" t="s">
        <v>140</v>
      </c>
    </row>
    <row r="31" spans="1:2" ht="15.75" customHeight="1">
      <c r="A31" s="9" t="s">
        <v>141</v>
      </c>
      <c r="B31" s="9" t="s">
        <v>142</v>
      </c>
    </row>
    <row r="32" spans="1:2" ht="15.75" customHeight="1">
      <c r="A32" s="9" t="s">
        <v>143</v>
      </c>
      <c r="B32" s="9" t="s">
        <v>144</v>
      </c>
    </row>
    <row r="33" spans="1:2" ht="15.75" customHeight="1">
      <c r="A33" s="9" t="s">
        <v>145</v>
      </c>
      <c r="B33" s="9" t="s">
        <v>146</v>
      </c>
    </row>
    <row r="34" spans="1:2" ht="15.75" customHeight="1">
      <c r="A34" s="9" t="s">
        <v>147</v>
      </c>
      <c r="B34" s="9" t="s">
        <v>148</v>
      </c>
    </row>
    <row r="35" spans="1:2" ht="15.75" customHeight="1">
      <c r="A35" s="9" t="s">
        <v>149</v>
      </c>
      <c r="B35" s="9" t="s">
        <v>150</v>
      </c>
    </row>
    <row r="36" spans="1:2" ht="15.75" customHeight="1">
      <c r="A36" s="9" t="s">
        <v>151</v>
      </c>
      <c r="B36" s="9" t="s">
        <v>152</v>
      </c>
    </row>
    <row r="37" spans="1:2" ht="15.75" customHeight="1">
      <c r="A37" s="9" t="s">
        <v>153</v>
      </c>
      <c r="B37" s="9" t="s">
        <v>154</v>
      </c>
    </row>
    <row r="38" spans="1:2" ht="15.75" customHeight="1">
      <c r="A38" s="9" t="s">
        <v>155</v>
      </c>
      <c r="B38" s="9" t="s">
        <v>156</v>
      </c>
    </row>
    <row r="39" spans="1:2" ht="15.75" customHeight="1">
      <c r="A39" s="9" t="s">
        <v>157</v>
      </c>
      <c r="B39" s="9" t="s">
        <v>158</v>
      </c>
    </row>
    <row r="40" spans="1:2" ht="15.75" customHeight="1">
      <c r="A40" s="9" t="s">
        <v>159</v>
      </c>
      <c r="B40" s="9" t="s">
        <v>160</v>
      </c>
    </row>
    <row r="41" spans="1:2" ht="15.75" customHeight="1">
      <c r="A41" s="9" t="s">
        <v>161</v>
      </c>
      <c r="B41" s="9" t="s">
        <v>162</v>
      </c>
    </row>
    <row r="42" spans="1:2" ht="15.75" customHeight="1">
      <c r="A42" s="9" t="s">
        <v>163</v>
      </c>
      <c r="B42" s="9" t="s">
        <v>164</v>
      </c>
    </row>
    <row r="43" spans="1:2" ht="15.75" customHeight="1">
      <c r="A43" s="9" t="s">
        <v>165</v>
      </c>
      <c r="B43" s="9" t="s">
        <v>166</v>
      </c>
    </row>
    <row r="44" spans="1:2" ht="15.75" customHeight="1">
      <c r="A44" s="9" t="s">
        <v>167</v>
      </c>
      <c r="B44" s="9" t="s">
        <v>168</v>
      </c>
    </row>
    <row r="45" spans="1:2" ht="15.75" customHeight="1">
      <c r="A45" s="9" t="s">
        <v>169</v>
      </c>
      <c r="B45" s="9" t="s">
        <v>170</v>
      </c>
    </row>
    <row r="46" spans="1:2" ht="15.75" customHeight="1">
      <c r="A46" s="9" t="s">
        <v>171</v>
      </c>
      <c r="B46" s="9" t="s">
        <v>172</v>
      </c>
    </row>
    <row r="47" spans="1:2" ht="15.75" customHeight="1">
      <c r="A47" s="9" t="s">
        <v>173</v>
      </c>
      <c r="B47" s="9" t="s">
        <v>174</v>
      </c>
    </row>
    <row r="48" spans="1:2" ht="15.75" customHeight="1">
      <c r="A48" s="9" t="s">
        <v>175</v>
      </c>
      <c r="B48" s="9" t="s">
        <v>176</v>
      </c>
    </row>
    <row r="49" spans="1:2" ht="15.75" customHeight="1">
      <c r="A49" s="9" t="s">
        <v>177</v>
      </c>
      <c r="B49" s="9" t="s">
        <v>178</v>
      </c>
    </row>
    <row r="50" spans="1:2" ht="15.75" customHeight="1">
      <c r="A50" s="9" t="s">
        <v>179</v>
      </c>
      <c r="B50" s="9" t="s">
        <v>180</v>
      </c>
    </row>
    <row r="51" spans="1:2" ht="15.75" customHeight="1">
      <c r="A51" s="9" t="s">
        <v>181</v>
      </c>
      <c r="B51" s="9" t="s">
        <v>182</v>
      </c>
    </row>
    <row r="52" spans="1:2" ht="15.75" customHeight="1">
      <c r="A52" s="9" t="s">
        <v>183</v>
      </c>
      <c r="B52" s="9" t="s">
        <v>184</v>
      </c>
    </row>
    <row r="53" spans="1:2" ht="15.75" customHeight="1">
      <c r="A53" s="9" t="s">
        <v>185</v>
      </c>
      <c r="B53" s="9" t="s">
        <v>186</v>
      </c>
    </row>
    <row r="54" spans="1:2" ht="15.75" customHeight="1">
      <c r="A54" s="9" t="s">
        <v>187</v>
      </c>
      <c r="B54" s="9" t="s">
        <v>188</v>
      </c>
    </row>
    <row r="55" spans="1:2" ht="15.75" customHeight="1">
      <c r="A55" s="9" t="s">
        <v>189</v>
      </c>
      <c r="B55" s="9" t="s">
        <v>190</v>
      </c>
    </row>
    <row r="56" spans="1:2" ht="15.75" customHeight="1">
      <c r="A56" s="9" t="s">
        <v>191</v>
      </c>
      <c r="B56" s="9" t="s">
        <v>192</v>
      </c>
    </row>
    <row r="57" spans="1:2" ht="15.75" customHeight="1">
      <c r="A57" s="9" t="s">
        <v>193</v>
      </c>
      <c r="B57" s="9" t="s">
        <v>194</v>
      </c>
    </row>
    <row r="58" spans="1:2" ht="15.75" customHeight="1">
      <c r="A58" s="9" t="s">
        <v>195</v>
      </c>
      <c r="B58" s="9" t="s">
        <v>196</v>
      </c>
    </row>
    <row r="59" spans="1:2" ht="15.75" customHeight="1">
      <c r="A59" s="9" t="s">
        <v>197</v>
      </c>
      <c r="B59" s="9" t="s">
        <v>198</v>
      </c>
    </row>
    <row r="60" spans="1:2" ht="15.75" customHeight="1">
      <c r="A60" s="9" t="s">
        <v>199</v>
      </c>
      <c r="B60" s="9" t="s">
        <v>200</v>
      </c>
    </row>
    <row r="61" spans="1:2" ht="15.75" customHeight="1">
      <c r="A61" s="9" t="s">
        <v>201</v>
      </c>
      <c r="B61" s="9" t="s">
        <v>202</v>
      </c>
    </row>
    <row r="62" spans="1:2" ht="15.75" customHeight="1">
      <c r="A62" s="9" t="s">
        <v>203</v>
      </c>
      <c r="B62" s="9" t="s">
        <v>204</v>
      </c>
    </row>
    <row r="63" spans="1:2" ht="15.75" customHeight="1">
      <c r="A63" s="9" t="s">
        <v>205</v>
      </c>
      <c r="B63" s="9" t="s">
        <v>206</v>
      </c>
    </row>
    <row r="64" spans="1:2" ht="15.75" customHeight="1">
      <c r="A64" s="9" t="s">
        <v>207</v>
      </c>
      <c r="B64" s="9" t="s">
        <v>208</v>
      </c>
    </row>
    <row r="65" spans="1:2" ht="15.75" customHeight="1">
      <c r="A65" s="9" t="s">
        <v>209</v>
      </c>
      <c r="B65" s="9" t="s">
        <v>210</v>
      </c>
    </row>
    <row r="66" spans="1:2" ht="15.75" customHeight="1">
      <c r="A66" s="9" t="s">
        <v>211</v>
      </c>
      <c r="B66" s="9" t="s">
        <v>212</v>
      </c>
    </row>
    <row r="67" spans="1:2" ht="15.75" customHeight="1">
      <c r="A67" s="9" t="s">
        <v>213</v>
      </c>
      <c r="B67" s="9" t="s">
        <v>214</v>
      </c>
    </row>
    <row r="68" spans="1:2" ht="15.75" customHeight="1">
      <c r="A68" s="9" t="s">
        <v>215</v>
      </c>
      <c r="B68" s="9" t="s">
        <v>216</v>
      </c>
    </row>
    <row r="69" spans="1:2" ht="15.75" customHeight="1">
      <c r="A69" s="9" t="s">
        <v>217</v>
      </c>
      <c r="B69" s="9" t="s">
        <v>218</v>
      </c>
    </row>
    <row r="70" spans="1:2" ht="15.75" customHeight="1">
      <c r="A70" s="9" t="s">
        <v>219</v>
      </c>
      <c r="B70" s="9" t="s">
        <v>220</v>
      </c>
    </row>
    <row r="71" spans="1:2" ht="15.75" customHeight="1">
      <c r="A71" s="9" t="s">
        <v>221</v>
      </c>
      <c r="B71" s="9" t="s">
        <v>222</v>
      </c>
    </row>
    <row r="72" spans="1:2" ht="15.75" customHeight="1">
      <c r="A72" s="9" t="s">
        <v>223</v>
      </c>
      <c r="B72" s="9" t="s">
        <v>224</v>
      </c>
    </row>
    <row r="73" spans="1:2" ht="15.75" customHeight="1">
      <c r="A73" s="9" t="s">
        <v>225</v>
      </c>
      <c r="B73" s="9" t="s">
        <v>226</v>
      </c>
    </row>
    <row r="74" spans="1:2" ht="15.75" customHeight="1">
      <c r="A74" s="9" t="s">
        <v>227</v>
      </c>
      <c r="B74" s="9" t="s">
        <v>228</v>
      </c>
    </row>
    <row r="75" spans="1:2" ht="15.75" customHeight="1">
      <c r="A75" s="9" t="s">
        <v>229</v>
      </c>
      <c r="B75" s="9" t="s">
        <v>230</v>
      </c>
    </row>
    <row r="76" spans="1:2" ht="15.75" customHeight="1">
      <c r="A76" s="9" t="s">
        <v>231</v>
      </c>
      <c r="B76" s="9" t="s">
        <v>232</v>
      </c>
    </row>
    <row r="77" spans="1:2" ht="15.75" customHeight="1">
      <c r="A77" s="9" t="s">
        <v>233</v>
      </c>
      <c r="B77" s="9" t="s">
        <v>234</v>
      </c>
    </row>
    <row r="78" spans="1:2" ht="15.75" customHeight="1">
      <c r="A78" s="9" t="s">
        <v>235</v>
      </c>
      <c r="B78" s="9" t="s">
        <v>236</v>
      </c>
    </row>
    <row r="79" spans="1:2" ht="15.75" customHeight="1">
      <c r="A79" s="9" t="s">
        <v>237</v>
      </c>
      <c r="B79" s="9" t="s">
        <v>238</v>
      </c>
    </row>
    <row r="80" spans="1:2" ht="15.75" customHeight="1">
      <c r="A80" s="9" t="s">
        <v>239</v>
      </c>
      <c r="B80" s="9" t="s">
        <v>240</v>
      </c>
    </row>
    <row r="81" spans="1:2" ht="15.75" customHeight="1">
      <c r="A81" s="9" t="s">
        <v>241</v>
      </c>
      <c r="B81" s="9" t="s">
        <v>242</v>
      </c>
    </row>
    <row r="82" spans="1:2" ht="15.75" customHeight="1">
      <c r="A82" s="9" t="s">
        <v>243</v>
      </c>
      <c r="B82" s="9" t="s">
        <v>244</v>
      </c>
    </row>
    <row r="83" spans="1:2" ht="15.75" customHeight="1">
      <c r="A83" s="9" t="s">
        <v>245</v>
      </c>
      <c r="B83" s="9" t="s">
        <v>246</v>
      </c>
    </row>
    <row r="84" spans="1:2" ht="15.75" customHeight="1">
      <c r="A84" s="9" t="s">
        <v>247</v>
      </c>
      <c r="B84" s="9" t="s">
        <v>248</v>
      </c>
    </row>
    <row r="85" spans="1:2" ht="15.75" customHeight="1">
      <c r="A85" s="9" t="s">
        <v>249</v>
      </c>
      <c r="B85" s="9" t="s">
        <v>250</v>
      </c>
    </row>
    <row r="86" spans="1:2" ht="15.75" customHeight="1">
      <c r="A86" s="9" t="s">
        <v>251</v>
      </c>
      <c r="B86" s="9" t="s">
        <v>252</v>
      </c>
    </row>
    <row r="87" spans="1:2" ht="15.75" customHeight="1">
      <c r="A87" s="9" t="s">
        <v>253</v>
      </c>
      <c r="B87" s="9" t="s">
        <v>254</v>
      </c>
    </row>
    <row r="88" spans="1:2" ht="15.75" customHeight="1">
      <c r="A88" s="9" t="s">
        <v>255</v>
      </c>
      <c r="B88" s="9" t="s">
        <v>256</v>
      </c>
    </row>
    <row r="89" spans="1:2" ht="15.75" customHeight="1">
      <c r="A89" s="9" t="s">
        <v>257</v>
      </c>
      <c r="B89" s="9" t="s">
        <v>258</v>
      </c>
    </row>
    <row r="90" spans="1:2" ht="15.75" customHeight="1">
      <c r="A90" s="9" t="s">
        <v>259</v>
      </c>
      <c r="B90" s="9" t="s">
        <v>260</v>
      </c>
    </row>
    <row r="91" spans="1:2" ht="15.75" customHeight="1">
      <c r="A91" s="9" t="s">
        <v>261</v>
      </c>
      <c r="B91" s="9" t="s">
        <v>262</v>
      </c>
    </row>
    <row r="92" spans="1:2" ht="15.75" customHeight="1">
      <c r="A92" s="9" t="s">
        <v>263</v>
      </c>
      <c r="B92" s="9" t="s">
        <v>264</v>
      </c>
    </row>
    <row r="93" spans="1:2" ht="15.75" customHeight="1">
      <c r="A93" s="9" t="s">
        <v>265</v>
      </c>
      <c r="B93" s="9" t="s">
        <v>266</v>
      </c>
    </row>
    <row r="94" spans="1:2" ht="15.75" customHeight="1">
      <c r="A94" s="9" t="s">
        <v>267</v>
      </c>
      <c r="B94" s="9" t="s">
        <v>268</v>
      </c>
    </row>
    <row r="95" spans="1:2" ht="15.75" customHeight="1">
      <c r="A95" s="9" t="s">
        <v>269</v>
      </c>
      <c r="B95" s="9" t="s">
        <v>270</v>
      </c>
    </row>
    <row r="96" spans="1:2" ht="15.75" customHeight="1">
      <c r="A96" s="9" t="s">
        <v>271</v>
      </c>
      <c r="B96" s="9" t="s">
        <v>272</v>
      </c>
    </row>
    <row r="97" spans="1:2" ht="15.75" customHeight="1">
      <c r="A97" s="9" t="s">
        <v>273</v>
      </c>
      <c r="B97" s="9" t="s">
        <v>274</v>
      </c>
    </row>
    <row r="98" spans="1:2" ht="15.75" customHeight="1">
      <c r="A98" s="9" t="s">
        <v>275</v>
      </c>
      <c r="B98" s="9" t="s">
        <v>276</v>
      </c>
    </row>
    <row r="99" spans="1:2" ht="15.75" customHeight="1">
      <c r="A99" s="9" t="s">
        <v>277</v>
      </c>
      <c r="B99" s="9" t="s">
        <v>278</v>
      </c>
    </row>
    <row r="100" spans="1:2" ht="15.75" customHeight="1">
      <c r="A100" s="9" t="s">
        <v>279</v>
      </c>
      <c r="B100" s="9" t="s">
        <v>280</v>
      </c>
    </row>
    <row r="101" spans="1:2" ht="15.75" customHeight="1">
      <c r="A101" s="9" t="s">
        <v>281</v>
      </c>
      <c r="B101" s="9" t="s">
        <v>282</v>
      </c>
    </row>
    <row r="102" spans="1:2" ht="15.75" customHeight="1">
      <c r="A102" s="9" t="s">
        <v>283</v>
      </c>
      <c r="B102" s="9" t="s">
        <v>284</v>
      </c>
    </row>
    <row r="103" spans="1:2" ht="15.75" customHeight="1">
      <c r="A103" s="9" t="s">
        <v>285</v>
      </c>
      <c r="B103" s="9" t="s">
        <v>286</v>
      </c>
    </row>
    <row r="104" spans="1:2" ht="15.75" customHeight="1">
      <c r="A104" s="9" t="s">
        <v>287</v>
      </c>
      <c r="B104" s="9" t="s">
        <v>288</v>
      </c>
    </row>
    <row r="105" spans="1:2" ht="15.75" customHeight="1">
      <c r="A105" s="9" t="s">
        <v>289</v>
      </c>
      <c r="B105" s="9" t="s">
        <v>290</v>
      </c>
    </row>
    <row r="106" spans="1:2" ht="15.75" customHeight="1">
      <c r="A106" s="9" t="s">
        <v>291</v>
      </c>
      <c r="B106" s="9" t="s">
        <v>292</v>
      </c>
    </row>
    <row r="107" spans="1:2" ht="15.75" customHeight="1">
      <c r="A107" s="9" t="s">
        <v>293</v>
      </c>
      <c r="B107" s="9" t="s">
        <v>294</v>
      </c>
    </row>
    <row r="108" spans="1:2" ht="15.75" customHeight="1">
      <c r="A108" s="9" t="s">
        <v>295</v>
      </c>
      <c r="B108" s="9" t="s">
        <v>296</v>
      </c>
    </row>
    <row r="109" spans="1:2" ht="15.75" customHeight="1">
      <c r="A109" s="9" t="s">
        <v>297</v>
      </c>
      <c r="B109" s="9" t="s">
        <v>298</v>
      </c>
    </row>
    <row r="110" spans="1:2" ht="15.75" customHeight="1">
      <c r="A110" s="9" t="s">
        <v>299</v>
      </c>
      <c r="B110" s="9" t="s">
        <v>300</v>
      </c>
    </row>
    <row r="111" spans="1:2" ht="15.75" customHeight="1">
      <c r="A111" s="9" t="s">
        <v>301</v>
      </c>
      <c r="B111" s="9" t="s">
        <v>302</v>
      </c>
    </row>
    <row r="112" spans="1:2" ht="15.75" customHeight="1">
      <c r="A112" s="9" t="s">
        <v>303</v>
      </c>
      <c r="B112" s="9" t="s">
        <v>304</v>
      </c>
    </row>
    <row r="113" spans="1:2" ht="15.75" customHeight="1">
      <c r="A113" s="9" t="s">
        <v>305</v>
      </c>
      <c r="B113" s="9" t="s">
        <v>306</v>
      </c>
    </row>
    <row r="114" spans="1:2" ht="15.75" customHeight="1">
      <c r="A114" s="9" t="s">
        <v>307</v>
      </c>
      <c r="B114" s="9" t="s">
        <v>308</v>
      </c>
    </row>
    <row r="115" spans="1:2" ht="15.75" customHeight="1">
      <c r="A115" s="9" t="s">
        <v>309</v>
      </c>
      <c r="B115" s="9" t="s">
        <v>310</v>
      </c>
    </row>
    <row r="116" spans="1:2" ht="15.75" customHeight="1">
      <c r="A116" s="9" t="s">
        <v>311</v>
      </c>
      <c r="B116" s="9" t="s">
        <v>312</v>
      </c>
    </row>
    <row r="117" spans="1:2" ht="15.75" customHeight="1">
      <c r="A117" s="9" t="s">
        <v>313</v>
      </c>
      <c r="B117" s="9" t="s">
        <v>314</v>
      </c>
    </row>
    <row r="118" spans="1:2" ht="15.75" customHeight="1">
      <c r="A118" s="9" t="s">
        <v>315</v>
      </c>
      <c r="B118" s="9" t="s">
        <v>316</v>
      </c>
    </row>
    <row r="119" spans="1:2" ht="15.75" customHeight="1">
      <c r="A119" s="9" t="s">
        <v>317</v>
      </c>
      <c r="B119" s="9" t="s">
        <v>318</v>
      </c>
    </row>
    <row r="120" spans="1:2" ht="15.75" customHeight="1">
      <c r="A120" s="9" t="s">
        <v>319</v>
      </c>
      <c r="B120" s="9" t="s">
        <v>320</v>
      </c>
    </row>
    <row r="121" spans="1:2" ht="15.75" customHeight="1">
      <c r="A121" s="9" t="s">
        <v>321</v>
      </c>
      <c r="B121" s="9" t="s">
        <v>322</v>
      </c>
    </row>
    <row r="122" spans="1:2" ht="15.75" customHeight="1">
      <c r="A122" s="9" t="s">
        <v>323</v>
      </c>
      <c r="B122" s="9" t="s">
        <v>324</v>
      </c>
    </row>
    <row r="123" spans="1:2" ht="15.75" customHeight="1">
      <c r="A123" s="9" t="s">
        <v>325</v>
      </c>
      <c r="B123" s="9" t="s">
        <v>326</v>
      </c>
    </row>
    <row r="124" spans="1:2" ht="15.75" customHeight="1">
      <c r="A124" s="9" t="s">
        <v>327</v>
      </c>
      <c r="B124" s="9" t="s">
        <v>328</v>
      </c>
    </row>
    <row r="125" spans="1:2" ht="15.75" customHeight="1">
      <c r="A125" s="9" t="s">
        <v>329</v>
      </c>
      <c r="B125" s="9" t="s">
        <v>330</v>
      </c>
    </row>
    <row r="126" spans="1:2" ht="15.75" customHeight="1">
      <c r="A126" s="9" t="s">
        <v>331</v>
      </c>
      <c r="B126" s="9" t="s">
        <v>332</v>
      </c>
    </row>
    <row r="127" spans="1:2" ht="15.75" customHeight="1">
      <c r="A127" s="9" t="s">
        <v>333</v>
      </c>
      <c r="B127" s="9" t="s">
        <v>334</v>
      </c>
    </row>
    <row r="128" spans="1:2" ht="15.75" customHeight="1">
      <c r="A128" s="9" t="s">
        <v>335</v>
      </c>
      <c r="B128" s="9" t="s">
        <v>336</v>
      </c>
    </row>
    <row r="129" spans="1:2" ht="15.75" customHeight="1">
      <c r="A129" s="9" t="s">
        <v>337</v>
      </c>
      <c r="B129" s="9" t="s">
        <v>338</v>
      </c>
    </row>
    <row r="130" spans="1:2" ht="15.75" customHeight="1">
      <c r="A130" s="9" t="s">
        <v>339</v>
      </c>
      <c r="B130" s="9" t="s">
        <v>340</v>
      </c>
    </row>
    <row r="131" spans="1:2" ht="15.75" customHeight="1">
      <c r="A131" s="9" t="s">
        <v>341</v>
      </c>
      <c r="B131" s="9" t="s">
        <v>342</v>
      </c>
    </row>
    <row r="132" spans="1:2" ht="15.75" customHeight="1">
      <c r="A132" s="9" t="s">
        <v>343</v>
      </c>
      <c r="B132" s="9" t="s">
        <v>344</v>
      </c>
    </row>
    <row r="133" spans="1:2" ht="15.75" customHeight="1">
      <c r="A133" s="9" t="s">
        <v>345</v>
      </c>
      <c r="B133" s="9" t="s">
        <v>346</v>
      </c>
    </row>
    <row r="134" spans="1:2" ht="15.75" customHeight="1">
      <c r="A134" s="9" t="s">
        <v>347</v>
      </c>
      <c r="B134" s="9" t="s">
        <v>348</v>
      </c>
    </row>
    <row r="135" spans="1:2" ht="15.75" customHeight="1">
      <c r="A135" s="9" t="s">
        <v>349</v>
      </c>
      <c r="B135" s="9" t="s">
        <v>350</v>
      </c>
    </row>
    <row r="136" spans="1:2" ht="15.75" customHeight="1">
      <c r="A136" s="9" t="s">
        <v>351</v>
      </c>
      <c r="B136" s="9" t="s">
        <v>352</v>
      </c>
    </row>
    <row r="137" spans="1:2" ht="15.75" customHeight="1">
      <c r="A137" s="9" t="s">
        <v>353</v>
      </c>
      <c r="B137" s="9" t="s">
        <v>354</v>
      </c>
    </row>
    <row r="138" spans="1:2" ht="15.75" customHeight="1">
      <c r="A138" s="9" t="s">
        <v>355</v>
      </c>
      <c r="B138" s="9" t="s">
        <v>356</v>
      </c>
    </row>
    <row r="139" spans="1:2" ht="15.75" customHeight="1">
      <c r="A139" s="9" t="s">
        <v>357</v>
      </c>
      <c r="B139" s="9" t="s">
        <v>358</v>
      </c>
    </row>
    <row r="140" spans="1:2" ht="15.75" customHeight="1">
      <c r="A140" s="9" t="s">
        <v>359</v>
      </c>
      <c r="B140" s="9" t="s">
        <v>360</v>
      </c>
    </row>
    <row r="141" spans="1:2" ht="15.75" customHeight="1">
      <c r="A141" s="9" t="s">
        <v>361</v>
      </c>
      <c r="B141" s="9" t="s">
        <v>362</v>
      </c>
    </row>
    <row r="142" spans="1:2" ht="15.75" customHeight="1">
      <c r="A142" s="9" t="s">
        <v>363</v>
      </c>
      <c r="B142" s="9" t="s">
        <v>364</v>
      </c>
    </row>
    <row r="143" spans="1:2" ht="15.75" customHeight="1">
      <c r="A143" s="9" t="s">
        <v>365</v>
      </c>
      <c r="B143" s="9" t="s">
        <v>366</v>
      </c>
    </row>
    <row r="144" spans="1:2" ht="15.75" customHeight="1">
      <c r="A144" s="9" t="s">
        <v>367</v>
      </c>
      <c r="B144" s="9" t="s">
        <v>368</v>
      </c>
    </row>
    <row r="145" spans="1:2" ht="15.75" customHeight="1">
      <c r="A145" s="9" t="s">
        <v>369</v>
      </c>
      <c r="B145" s="9" t="s">
        <v>370</v>
      </c>
    </row>
    <row r="146" spans="1:2" ht="15.75" customHeight="1">
      <c r="A146" s="9" t="s">
        <v>371</v>
      </c>
      <c r="B146" s="9" t="s">
        <v>372</v>
      </c>
    </row>
    <row r="147" spans="1:2" ht="15.75" customHeight="1">
      <c r="A147" s="9" t="s">
        <v>373</v>
      </c>
      <c r="B147" s="9" t="s">
        <v>374</v>
      </c>
    </row>
    <row r="148" spans="1:2" ht="15.75" customHeight="1">
      <c r="A148" s="9" t="s">
        <v>375</v>
      </c>
      <c r="B148" s="9" t="s">
        <v>376</v>
      </c>
    </row>
    <row r="149" spans="1:2" ht="15.75" customHeight="1">
      <c r="A149" s="9" t="s">
        <v>377</v>
      </c>
      <c r="B149" s="9" t="s">
        <v>378</v>
      </c>
    </row>
    <row r="150" spans="1:2" ht="15.75" customHeight="1">
      <c r="A150" s="9" t="s">
        <v>379</v>
      </c>
      <c r="B150" s="9" t="s">
        <v>380</v>
      </c>
    </row>
    <row r="151" spans="1:2" ht="15.75" customHeight="1">
      <c r="A151" s="9" t="s">
        <v>381</v>
      </c>
      <c r="B151" s="9" t="s">
        <v>382</v>
      </c>
    </row>
    <row r="152" spans="1:2" ht="15.75" customHeight="1">
      <c r="A152" s="9" t="s">
        <v>383</v>
      </c>
      <c r="B152" s="9" t="s">
        <v>384</v>
      </c>
    </row>
    <row r="153" spans="1:2" ht="15.75" customHeight="1">
      <c r="A153" s="9" t="s">
        <v>385</v>
      </c>
      <c r="B153" s="9" t="s">
        <v>386</v>
      </c>
    </row>
    <row r="154" spans="1:2" ht="15.75" customHeight="1">
      <c r="A154" s="9" t="s">
        <v>387</v>
      </c>
      <c r="B154" s="9" t="s">
        <v>388</v>
      </c>
    </row>
    <row r="155" spans="1:2" ht="15.75" customHeight="1">
      <c r="A155" s="9" t="s">
        <v>389</v>
      </c>
      <c r="B155" s="9" t="s">
        <v>390</v>
      </c>
    </row>
    <row r="156" spans="1:2" ht="15.75" customHeight="1">
      <c r="A156" s="9" t="s">
        <v>391</v>
      </c>
      <c r="B156" s="9" t="s">
        <v>392</v>
      </c>
    </row>
    <row r="157" spans="1:2" ht="15.75" customHeight="1">
      <c r="A157" s="9" t="s">
        <v>393</v>
      </c>
      <c r="B157" s="9" t="s">
        <v>394</v>
      </c>
    </row>
    <row r="158" spans="1:2" ht="15.75" customHeight="1">
      <c r="A158" s="9" t="s">
        <v>395</v>
      </c>
      <c r="B158" s="9" t="s">
        <v>396</v>
      </c>
    </row>
    <row r="159" spans="1:2" ht="15.75" customHeight="1">
      <c r="A159" s="9" t="s">
        <v>397</v>
      </c>
      <c r="B159" s="9" t="s">
        <v>398</v>
      </c>
    </row>
    <row r="160" spans="1:2" ht="15.75" customHeight="1">
      <c r="A160" s="9" t="s">
        <v>399</v>
      </c>
      <c r="B160" s="9" t="s">
        <v>400</v>
      </c>
    </row>
    <row r="161" spans="1:2" ht="15.75" customHeight="1">
      <c r="A161" s="9" t="s">
        <v>401</v>
      </c>
      <c r="B161" s="9" t="s">
        <v>402</v>
      </c>
    </row>
    <row r="162" spans="1:2" ht="15.75" customHeight="1">
      <c r="A162" s="9" t="s">
        <v>403</v>
      </c>
      <c r="B162" s="9" t="s">
        <v>404</v>
      </c>
    </row>
    <row r="163" spans="1:2" ht="15.75" customHeight="1">
      <c r="A163" s="9" t="s">
        <v>405</v>
      </c>
      <c r="B163" s="9" t="s">
        <v>406</v>
      </c>
    </row>
    <row r="164" spans="1:2" ht="15.75" customHeight="1">
      <c r="A164" s="9" t="s">
        <v>407</v>
      </c>
      <c r="B164" s="9" t="s">
        <v>210</v>
      </c>
    </row>
    <row r="165" spans="1:2" ht="15.75" customHeight="1">
      <c r="A165" s="9" t="s">
        <v>408</v>
      </c>
      <c r="B165" s="9" t="s">
        <v>409</v>
      </c>
    </row>
    <row r="166" spans="1:2" ht="15.75" customHeight="1">
      <c r="A166" s="9" t="s">
        <v>410</v>
      </c>
      <c r="B166" s="9" t="s">
        <v>411</v>
      </c>
    </row>
    <row r="167" spans="1:2" ht="15.75" customHeight="1">
      <c r="A167" s="9" t="s">
        <v>412</v>
      </c>
      <c r="B167" s="9" t="s">
        <v>413</v>
      </c>
    </row>
    <row r="168" spans="1:2" ht="15.75" customHeight="1">
      <c r="A168" s="9" t="s">
        <v>414</v>
      </c>
      <c r="B168" s="9" t="s">
        <v>415</v>
      </c>
    </row>
    <row r="169" spans="1:2" ht="15.75" customHeight="1">
      <c r="A169" s="9" t="s">
        <v>416</v>
      </c>
      <c r="B169" s="9" t="s">
        <v>417</v>
      </c>
    </row>
    <row r="170" spans="1:2" ht="15.75" customHeight="1">
      <c r="A170" s="9" t="s">
        <v>418</v>
      </c>
      <c r="B170" s="9" t="s">
        <v>419</v>
      </c>
    </row>
    <row r="171" spans="1:2" ht="15.75" customHeight="1">
      <c r="A171" s="9" t="s">
        <v>420</v>
      </c>
      <c r="B171" s="9" t="s">
        <v>421</v>
      </c>
    </row>
    <row r="172" spans="1:2" ht="15.75" customHeight="1">
      <c r="A172" s="9" t="s">
        <v>422</v>
      </c>
      <c r="B172" s="9" t="s">
        <v>423</v>
      </c>
    </row>
    <row r="173" spans="1:2" ht="15.75" customHeight="1">
      <c r="A173" s="9" t="s">
        <v>424</v>
      </c>
      <c r="B173" s="9" t="s">
        <v>425</v>
      </c>
    </row>
    <row r="174" spans="1:2" ht="15.75" customHeight="1">
      <c r="A174" s="9" t="s">
        <v>426</v>
      </c>
      <c r="B174" s="9" t="s">
        <v>427</v>
      </c>
    </row>
    <row r="175" spans="1:2" ht="15.75" customHeight="1">
      <c r="A175" s="9" t="s">
        <v>428</v>
      </c>
      <c r="B175" s="9" t="s">
        <v>429</v>
      </c>
    </row>
    <row r="176" spans="1:2" ht="15.75" customHeight="1">
      <c r="A176" s="9" t="s">
        <v>430</v>
      </c>
      <c r="B176" s="9" t="s">
        <v>431</v>
      </c>
    </row>
    <row r="177" spans="1:2" ht="15.75" customHeight="1">
      <c r="A177" s="9" t="s">
        <v>432</v>
      </c>
      <c r="B177" s="9" t="s">
        <v>433</v>
      </c>
    </row>
    <row r="178" spans="1:2" ht="15.75" customHeight="1">
      <c r="A178" s="9" t="s">
        <v>434</v>
      </c>
      <c r="B178" s="9" t="s">
        <v>435</v>
      </c>
    </row>
    <row r="179" spans="1:2" ht="15.75" customHeight="1">
      <c r="A179" s="9" t="s">
        <v>436</v>
      </c>
      <c r="B179" s="9" t="s">
        <v>437</v>
      </c>
    </row>
    <row r="180" spans="1:2" ht="15.75" customHeight="1">
      <c r="A180" s="9" t="s">
        <v>438</v>
      </c>
      <c r="B180" s="9" t="s">
        <v>439</v>
      </c>
    </row>
    <row r="181" spans="1:2" ht="15.75" customHeight="1">
      <c r="A181" s="9" t="s">
        <v>440</v>
      </c>
      <c r="B181" s="9" t="s">
        <v>441</v>
      </c>
    </row>
    <row r="182" spans="1:2" ht="15.75" customHeight="1">
      <c r="A182" s="9" t="s">
        <v>442</v>
      </c>
      <c r="B182" s="9" t="s">
        <v>443</v>
      </c>
    </row>
    <row r="183" spans="1:2" ht="15.75" customHeight="1">
      <c r="A183" s="9" t="s">
        <v>444</v>
      </c>
      <c r="B183" s="9" t="s">
        <v>445</v>
      </c>
    </row>
    <row r="184" spans="1:2" ht="15.75" customHeight="1">
      <c r="A184" s="9" t="s">
        <v>446</v>
      </c>
      <c r="B184" s="9" t="s">
        <v>447</v>
      </c>
    </row>
    <row r="185" spans="1:2" ht="15.75" customHeight="1">
      <c r="A185" s="9" t="s">
        <v>448</v>
      </c>
      <c r="B185" s="9" t="s">
        <v>449</v>
      </c>
    </row>
    <row r="186" spans="1:2" ht="15.75" customHeight="1">
      <c r="A186" s="9" t="s">
        <v>450</v>
      </c>
      <c r="B186" s="9" t="s">
        <v>451</v>
      </c>
    </row>
    <row r="187" spans="1:2" ht="15.75" customHeight="1">
      <c r="A187" s="9" t="s">
        <v>452</v>
      </c>
      <c r="B187" s="9" t="s">
        <v>453</v>
      </c>
    </row>
    <row r="188" spans="1:2" ht="15.75" customHeight="1">
      <c r="A188" s="9" t="s">
        <v>454</v>
      </c>
      <c r="B188" s="9" t="s">
        <v>455</v>
      </c>
    </row>
    <row r="189" spans="1:2" ht="15.75" customHeight="1">
      <c r="A189" s="9" t="s">
        <v>456</v>
      </c>
      <c r="B189" s="9" t="s">
        <v>457</v>
      </c>
    </row>
    <row r="190" spans="1:2" ht="15.75" customHeight="1">
      <c r="A190" s="9" t="s">
        <v>458</v>
      </c>
      <c r="B190" s="9" t="s">
        <v>459</v>
      </c>
    </row>
    <row r="191" spans="1:2" ht="15.75" customHeight="1">
      <c r="A191" s="9" t="s">
        <v>460</v>
      </c>
      <c r="B191" s="9" t="s">
        <v>461</v>
      </c>
    </row>
    <row r="192" spans="1:2" ht="15.75" customHeight="1">
      <c r="A192" s="9" t="s">
        <v>462</v>
      </c>
      <c r="B192" s="9" t="s">
        <v>463</v>
      </c>
    </row>
    <row r="193" spans="1:2" ht="15.75" customHeight="1">
      <c r="A193" s="9" t="s">
        <v>464</v>
      </c>
      <c r="B193" s="9" t="s">
        <v>465</v>
      </c>
    </row>
    <row r="194" spans="1:2" ht="15.75" customHeight="1">
      <c r="A194" s="9" t="s">
        <v>466</v>
      </c>
      <c r="B194" s="9" t="s">
        <v>467</v>
      </c>
    </row>
    <row r="195" spans="1:2" ht="15.75" customHeight="1">
      <c r="A195" s="9" t="s">
        <v>468</v>
      </c>
      <c r="B195" s="9" t="s">
        <v>469</v>
      </c>
    </row>
    <row r="196" spans="1:2" ht="15.75" customHeight="1">
      <c r="A196" s="9" t="s">
        <v>470</v>
      </c>
      <c r="B196" s="9" t="s">
        <v>471</v>
      </c>
    </row>
    <row r="197" spans="1:2" ht="15.75" customHeight="1">
      <c r="A197" s="9" t="s">
        <v>472</v>
      </c>
      <c r="B197" s="9" t="s">
        <v>473</v>
      </c>
    </row>
    <row r="198" spans="1:2" ht="15.75" customHeight="1">
      <c r="A198" s="9" t="s">
        <v>474</v>
      </c>
      <c r="B198" s="9" t="s">
        <v>475</v>
      </c>
    </row>
    <row r="199" spans="1:2" ht="15.75" customHeight="1">
      <c r="A199" s="9" t="s">
        <v>476</v>
      </c>
      <c r="B199" s="9" t="s">
        <v>477</v>
      </c>
    </row>
    <row r="200" spans="1:2" ht="15.75" customHeight="1">
      <c r="A200" s="9" t="s">
        <v>478</v>
      </c>
      <c r="B200" s="9" t="s">
        <v>479</v>
      </c>
    </row>
    <row r="201" spans="1:2" ht="15.75" customHeight="1">
      <c r="A201" s="9" t="s">
        <v>480</v>
      </c>
      <c r="B201" s="9" t="s">
        <v>481</v>
      </c>
    </row>
    <row r="202" spans="1:2" ht="15.75" customHeight="1">
      <c r="A202" s="9" t="s">
        <v>482</v>
      </c>
      <c r="B202" s="9" t="s">
        <v>483</v>
      </c>
    </row>
    <row r="203" spans="1:2" ht="15.75" customHeight="1">
      <c r="A203" s="9" t="s">
        <v>484</v>
      </c>
      <c r="B203" s="9" t="s">
        <v>485</v>
      </c>
    </row>
    <row r="204" spans="1:2" ht="15.75" customHeight="1">
      <c r="A204" s="9" t="s">
        <v>486</v>
      </c>
      <c r="B204" s="9" t="s">
        <v>487</v>
      </c>
    </row>
    <row r="205" spans="1:2" ht="15.75" customHeight="1">
      <c r="A205" s="9" t="s">
        <v>488</v>
      </c>
      <c r="B205" s="9" t="s">
        <v>489</v>
      </c>
    </row>
    <row r="206" spans="1:2" ht="15.75" customHeight="1">
      <c r="A206" s="9" t="s">
        <v>490</v>
      </c>
      <c r="B206" s="9" t="s">
        <v>491</v>
      </c>
    </row>
    <row r="207" spans="1:2" ht="15.75" customHeight="1">
      <c r="A207" s="9" t="s">
        <v>492</v>
      </c>
      <c r="B207" s="9" t="s">
        <v>493</v>
      </c>
    </row>
    <row r="208" spans="1:2" ht="15.75" customHeight="1">
      <c r="A208" s="9" t="s">
        <v>494</v>
      </c>
      <c r="B208" s="9" t="s">
        <v>495</v>
      </c>
    </row>
    <row r="209" spans="1:2" ht="15.75" customHeight="1">
      <c r="A209" s="9" t="s">
        <v>496</v>
      </c>
      <c r="B209" s="9" t="s">
        <v>497</v>
      </c>
    </row>
    <row r="210" spans="1:2" ht="15.75" customHeight="1">
      <c r="A210" s="9" t="s">
        <v>498</v>
      </c>
      <c r="B210" s="9" t="s">
        <v>499</v>
      </c>
    </row>
    <row r="211" spans="1:2" ht="15.75" customHeight="1">
      <c r="A211" s="9" t="s">
        <v>500</v>
      </c>
      <c r="B211" s="9" t="s">
        <v>501</v>
      </c>
    </row>
    <row r="212" spans="1:2" ht="15.75" customHeight="1">
      <c r="A212" s="9" t="s">
        <v>502</v>
      </c>
      <c r="B212" s="9" t="s">
        <v>503</v>
      </c>
    </row>
    <row r="213" spans="1:2" ht="15.75" customHeight="1">
      <c r="A213" s="9" t="s">
        <v>504</v>
      </c>
      <c r="B213" s="9" t="s">
        <v>505</v>
      </c>
    </row>
    <row r="214" spans="1:2" ht="15.75" customHeight="1">
      <c r="A214" s="9" t="s">
        <v>506</v>
      </c>
      <c r="B214" s="9" t="s">
        <v>507</v>
      </c>
    </row>
    <row r="215" spans="1:2" ht="15.75" customHeight="1">
      <c r="A215" s="9" t="s">
        <v>508</v>
      </c>
      <c r="B215" s="9" t="s">
        <v>509</v>
      </c>
    </row>
    <row r="216" spans="1:2" ht="15.75" customHeight="1">
      <c r="A216" s="9" t="s">
        <v>510</v>
      </c>
      <c r="B216" s="9" t="s">
        <v>511</v>
      </c>
    </row>
    <row r="217" spans="1:2" ht="15.75" customHeight="1">
      <c r="A217" s="9" t="s">
        <v>512</v>
      </c>
      <c r="B217" s="9" t="s">
        <v>513</v>
      </c>
    </row>
    <row r="218" spans="1:2" ht="15.75" customHeight="1">
      <c r="A218" s="9" t="s">
        <v>514</v>
      </c>
      <c r="B218" s="9" t="s">
        <v>515</v>
      </c>
    </row>
    <row r="219" spans="1:2" ht="15.75" customHeight="1">
      <c r="A219" s="9" t="s">
        <v>516</v>
      </c>
      <c r="B219" s="9" t="s">
        <v>517</v>
      </c>
    </row>
    <row r="220" spans="1:2" ht="15.75" customHeight="1">
      <c r="A220" s="9" t="s">
        <v>518</v>
      </c>
      <c r="B220" s="9" t="s">
        <v>519</v>
      </c>
    </row>
    <row r="221" spans="1:2" ht="15.75" customHeight="1">
      <c r="A221" s="9" t="s">
        <v>520</v>
      </c>
      <c r="B221" s="9" t="s">
        <v>521</v>
      </c>
    </row>
    <row r="222" spans="1:2" ht="15.75" customHeight="1">
      <c r="A222" s="9" t="s">
        <v>522</v>
      </c>
      <c r="B222" s="9" t="s">
        <v>523</v>
      </c>
    </row>
    <row r="223" spans="1:2" ht="15.75" customHeight="1">
      <c r="A223" s="9" t="s">
        <v>524</v>
      </c>
      <c r="B223" s="9" t="s">
        <v>525</v>
      </c>
    </row>
    <row r="224" spans="1:2" ht="15.75" customHeight="1">
      <c r="A224" s="9" t="s">
        <v>526</v>
      </c>
      <c r="B224" s="9" t="s">
        <v>527</v>
      </c>
    </row>
    <row r="225" spans="1:2" ht="15.75" customHeight="1">
      <c r="A225" s="9" t="s">
        <v>528</v>
      </c>
      <c r="B225" s="9" t="s">
        <v>529</v>
      </c>
    </row>
    <row r="226" spans="1:2" ht="15.75" customHeight="1">
      <c r="A226" s="9" t="s">
        <v>530</v>
      </c>
      <c r="B226" s="9" t="s">
        <v>531</v>
      </c>
    </row>
    <row r="227" spans="1:2" ht="15.75" customHeight="1">
      <c r="A227" s="9" t="s">
        <v>532</v>
      </c>
      <c r="B227" s="9" t="s">
        <v>533</v>
      </c>
    </row>
    <row r="228" spans="1:2" ht="15.75" customHeight="1">
      <c r="A228" s="9" t="s">
        <v>534</v>
      </c>
      <c r="B228" s="9" t="s">
        <v>535</v>
      </c>
    </row>
    <row r="229" spans="1:2" ht="15.75" customHeight="1">
      <c r="A229" s="9" t="s">
        <v>536</v>
      </c>
      <c r="B229" s="9" t="s">
        <v>537</v>
      </c>
    </row>
    <row r="230" spans="1:2" ht="15.75" customHeight="1">
      <c r="A230" s="9" t="s">
        <v>538</v>
      </c>
      <c r="B230" s="9" t="s">
        <v>539</v>
      </c>
    </row>
    <row r="231" spans="1:2" ht="15.75" customHeight="1">
      <c r="A231" s="9" t="s">
        <v>540</v>
      </c>
      <c r="B231" s="9" t="s">
        <v>541</v>
      </c>
    </row>
    <row r="232" spans="1:2" ht="15.75" customHeight="1">
      <c r="A232" s="9" t="s">
        <v>542</v>
      </c>
      <c r="B232" s="9" t="s">
        <v>543</v>
      </c>
    </row>
    <row r="233" spans="1:2" ht="15.75" customHeight="1">
      <c r="A233" s="9" t="s">
        <v>544</v>
      </c>
      <c r="B233" s="9" t="s">
        <v>545</v>
      </c>
    </row>
    <row r="234" spans="1:2" ht="15.75" customHeight="1">
      <c r="A234" s="9" t="s">
        <v>546</v>
      </c>
      <c r="B234" s="9" t="s">
        <v>547</v>
      </c>
    </row>
    <row r="235" spans="1:2" ht="15.75" customHeight="1">
      <c r="A235" s="9" t="s">
        <v>548</v>
      </c>
      <c r="B235" s="9" t="s">
        <v>549</v>
      </c>
    </row>
    <row r="236" spans="1:2" ht="15.75" customHeight="1">
      <c r="A236" s="9" t="s">
        <v>550</v>
      </c>
      <c r="B236" s="9" t="s">
        <v>551</v>
      </c>
    </row>
    <row r="237" spans="1:2" ht="15.75" customHeight="1">
      <c r="A237" s="9" t="s">
        <v>552</v>
      </c>
      <c r="B237" s="9" t="s">
        <v>553</v>
      </c>
    </row>
    <row r="238" spans="1:2" ht="15.75" customHeight="1">
      <c r="A238" s="9" t="s">
        <v>554</v>
      </c>
      <c r="B238" s="9" t="s">
        <v>555</v>
      </c>
    </row>
    <row r="239" spans="1:2" ht="15.75" customHeight="1">
      <c r="A239" s="9" t="s">
        <v>556</v>
      </c>
      <c r="B239" s="9" t="s">
        <v>557</v>
      </c>
    </row>
    <row r="240" spans="1:2" ht="15.75" customHeight="1">
      <c r="A240" s="9" t="s">
        <v>558</v>
      </c>
      <c r="B240" s="9" t="s">
        <v>559</v>
      </c>
    </row>
    <row r="241" spans="1:2" ht="15.75" customHeight="1">
      <c r="A241" s="9" t="s">
        <v>560</v>
      </c>
      <c r="B241" s="9" t="s">
        <v>561</v>
      </c>
    </row>
    <row r="242" spans="1:2" ht="15.75" customHeight="1">
      <c r="A242" s="9" t="s">
        <v>562</v>
      </c>
      <c r="B242" s="9" t="s">
        <v>563</v>
      </c>
    </row>
    <row r="243" spans="1:2" ht="15.75" customHeight="1">
      <c r="A243" s="9" t="s">
        <v>564</v>
      </c>
      <c r="B243" s="9" t="s">
        <v>565</v>
      </c>
    </row>
    <row r="244" spans="1:2" ht="15.75" customHeight="1">
      <c r="A244" s="9" t="s">
        <v>566</v>
      </c>
      <c r="B244" s="9" t="s">
        <v>567</v>
      </c>
    </row>
    <row r="245" spans="1:2" ht="15.75" customHeight="1">
      <c r="A245" s="9" t="s">
        <v>568</v>
      </c>
      <c r="B245" s="9" t="s">
        <v>569</v>
      </c>
    </row>
    <row r="246" spans="1:2" ht="15.75" customHeight="1">
      <c r="A246" s="9" t="s">
        <v>570</v>
      </c>
      <c r="B246" s="9" t="s">
        <v>571</v>
      </c>
    </row>
    <row r="247" spans="1:2" ht="15.75" customHeight="1">
      <c r="A247" s="9" t="s">
        <v>572</v>
      </c>
      <c r="B247" s="9" t="s">
        <v>573</v>
      </c>
    </row>
    <row r="248" spans="1:2" ht="15.75" customHeight="1">
      <c r="A248" s="9" t="s">
        <v>574</v>
      </c>
      <c r="B248" s="9" t="s">
        <v>575</v>
      </c>
    </row>
    <row r="249" spans="1:2" ht="15.75" customHeight="1">
      <c r="A249" s="9" t="s">
        <v>576</v>
      </c>
      <c r="B249" s="9" t="s">
        <v>577</v>
      </c>
    </row>
    <row r="250" spans="1:2" ht="15.75" customHeight="1">
      <c r="A250" s="9" t="s">
        <v>578</v>
      </c>
      <c r="B250" s="9" t="s">
        <v>579</v>
      </c>
    </row>
    <row r="251" spans="1:2" ht="15.75" customHeight="1">
      <c r="A251" s="9" t="s">
        <v>580</v>
      </c>
      <c r="B251" s="9" t="s">
        <v>581</v>
      </c>
    </row>
    <row r="252" spans="1:2" ht="15.75" customHeight="1">
      <c r="A252" s="9" t="s">
        <v>582</v>
      </c>
      <c r="B252" s="9" t="s">
        <v>583</v>
      </c>
    </row>
    <row r="253" spans="1:2" ht="15.75" customHeight="1">
      <c r="A253" s="9" t="s">
        <v>584</v>
      </c>
      <c r="B253" s="9" t="s">
        <v>585</v>
      </c>
    </row>
    <row r="254" spans="1:2" ht="15.75" customHeight="1">
      <c r="A254" s="9" t="s">
        <v>586</v>
      </c>
      <c r="B254" s="9" t="s">
        <v>587</v>
      </c>
    </row>
    <row r="255" spans="1:2" ht="15.75" customHeight="1">
      <c r="A255" s="9" t="s">
        <v>588</v>
      </c>
      <c r="B255" s="9" t="s">
        <v>589</v>
      </c>
    </row>
    <row r="256" spans="1:2" ht="15.75" customHeight="1">
      <c r="A256" s="9" t="s">
        <v>590</v>
      </c>
      <c r="B256" s="9" t="s">
        <v>591</v>
      </c>
    </row>
    <row r="257" spans="1:2" ht="15.75" customHeight="1">
      <c r="A257" s="9" t="s">
        <v>592</v>
      </c>
      <c r="B257" s="9" t="s">
        <v>593</v>
      </c>
    </row>
    <row r="258" spans="1:2" ht="15.75" customHeight="1">
      <c r="A258" s="9" t="s">
        <v>594</v>
      </c>
      <c r="B258" s="9" t="s">
        <v>595</v>
      </c>
    </row>
    <row r="259" spans="1:2" ht="15.75" customHeight="1">
      <c r="A259" s="9" t="s">
        <v>596</v>
      </c>
      <c r="B259" s="9" t="s">
        <v>597</v>
      </c>
    </row>
    <row r="260" spans="1:2" ht="15.75" customHeight="1">
      <c r="A260" s="9" t="s">
        <v>598</v>
      </c>
      <c r="B260" s="9" t="s">
        <v>599</v>
      </c>
    </row>
    <row r="261" spans="1:2" ht="15.75" customHeight="1">
      <c r="A261" s="9" t="s">
        <v>600</v>
      </c>
      <c r="B261" s="9" t="s">
        <v>601</v>
      </c>
    </row>
    <row r="262" spans="1:2" ht="15.75" customHeight="1">
      <c r="A262" s="9" t="s">
        <v>602</v>
      </c>
      <c r="B262" s="9" t="s">
        <v>603</v>
      </c>
    </row>
    <row r="263" spans="1:2" ht="15.75" customHeight="1">
      <c r="A263" s="9" t="s">
        <v>604</v>
      </c>
      <c r="B263" s="9" t="s">
        <v>605</v>
      </c>
    </row>
    <row r="264" spans="1:2" ht="15.75" customHeight="1">
      <c r="A264" s="9" t="s">
        <v>606</v>
      </c>
      <c r="B264" s="9" t="s">
        <v>607</v>
      </c>
    </row>
    <row r="265" spans="1:2" ht="15.75" customHeight="1">
      <c r="A265" s="9" t="s">
        <v>608</v>
      </c>
      <c r="B265" s="9" t="s">
        <v>609</v>
      </c>
    </row>
    <row r="266" spans="1:2" ht="15.75" customHeight="1">
      <c r="A266" s="9" t="s">
        <v>610</v>
      </c>
      <c r="B266" s="9" t="s">
        <v>611</v>
      </c>
    </row>
    <row r="267" spans="1:2" ht="15.75" customHeight="1">
      <c r="A267" s="9" t="s">
        <v>612</v>
      </c>
      <c r="B267" s="9" t="s">
        <v>613</v>
      </c>
    </row>
    <row r="268" spans="1:2" ht="15.75" customHeight="1">
      <c r="A268" s="9" t="s">
        <v>614</v>
      </c>
      <c r="B268" s="9" t="s">
        <v>615</v>
      </c>
    </row>
    <row r="269" spans="1:2" ht="15.75" customHeight="1">
      <c r="A269" s="9" t="s">
        <v>616</v>
      </c>
      <c r="B269" s="9" t="s">
        <v>617</v>
      </c>
    </row>
    <row r="270" spans="1:2" ht="15.75" customHeight="1">
      <c r="A270" s="9" t="s">
        <v>618</v>
      </c>
      <c r="B270" s="9" t="s">
        <v>619</v>
      </c>
    </row>
    <row r="271" spans="1:2" ht="15.75" customHeight="1">
      <c r="A271" s="9" t="s">
        <v>620</v>
      </c>
      <c r="B271" s="9" t="s">
        <v>621</v>
      </c>
    </row>
    <row r="272" spans="1:2" ht="15.75" customHeight="1">
      <c r="A272" s="9" t="s">
        <v>622</v>
      </c>
      <c r="B272" s="9" t="s">
        <v>623</v>
      </c>
    </row>
    <row r="273" spans="1:2" ht="15.75" customHeight="1">
      <c r="A273" s="9" t="s">
        <v>624</v>
      </c>
      <c r="B273" s="9" t="s">
        <v>154</v>
      </c>
    </row>
    <row r="274" spans="1:2" ht="15.75" customHeight="1">
      <c r="A274" s="9" t="s">
        <v>625</v>
      </c>
      <c r="B274" s="9" t="s">
        <v>626</v>
      </c>
    </row>
    <row r="275" spans="1:2" ht="15.75" customHeight="1">
      <c r="A275" s="9" t="s">
        <v>627</v>
      </c>
      <c r="B275" s="9" t="s">
        <v>340</v>
      </c>
    </row>
    <row r="276" spans="1:2" ht="15.75" customHeight="1">
      <c r="A276" s="9" t="s">
        <v>628</v>
      </c>
      <c r="B276" s="9" t="s">
        <v>629</v>
      </c>
    </row>
    <row r="277" spans="1:2" ht="15.75" customHeight="1">
      <c r="A277" s="9" t="s">
        <v>630</v>
      </c>
      <c r="B277" s="9" t="s">
        <v>631</v>
      </c>
    </row>
    <row r="278" spans="1:2" ht="15.75" customHeight="1">
      <c r="A278" s="9" t="s">
        <v>632</v>
      </c>
      <c r="B278" s="9" t="s">
        <v>90</v>
      </c>
    </row>
    <row r="279" spans="1:2" ht="15.75" customHeight="1">
      <c r="A279" s="9" t="s">
        <v>633</v>
      </c>
      <c r="B279" s="9" t="s">
        <v>634</v>
      </c>
    </row>
    <row r="280" spans="1:2" ht="15.75" customHeight="1">
      <c r="A280" s="9" t="s">
        <v>635</v>
      </c>
      <c r="B280" s="9" t="s">
        <v>636</v>
      </c>
    </row>
    <row r="281" spans="1:2" ht="15.75" customHeight="1">
      <c r="A281" s="9" t="s">
        <v>637</v>
      </c>
      <c r="B281" s="9" t="s">
        <v>638</v>
      </c>
    </row>
    <row r="282" spans="1:2" ht="15.75" customHeight="1">
      <c r="A282" s="9" t="s">
        <v>639</v>
      </c>
      <c r="B282" s="9" t="s">
        <v>640</v>
      </c>
    </row>
    <row r="283" spans="1:2" ht="15.75" customHeight="1">
      <c r="A283" s="9" t="s">
        <v>641</v>
      </c>
      <c r="B283" s="9" t="s">
        <v>642</v>
      </c>
    </row>
    <row r="284" spans="1:2" ht="15.75" customHeight="1">
      <c r="A284" s="9" t="s">
        <v>643</v>
      </c>
      <c r="B284" s="9" t="s">
        <v>644</v>
      </c>
    </row>
    <row r="285" spans="1:2" ht="15.75" customHeight="1">
      <c r="A285" s="9" t="s">
        <v>645</v>
      </c>
      <c r="B285" s="9" t="s">
        <v>646</v>
      </c>
    </row>
    <row r="286" spans="1:2" ht="15.75" customHeight="1">
      <c r="A286" s="9" t="s">
        <v>647</v>
      </c>
      <c r="B286" s="9" t="s">
        <v>648</v>
      </c>
    </row>
    <row r="287" spans="1:2" ht="15.75" customHeight="1">
      <c r="A287" s="9" t="s">
        <v>649</v>
      </c>
      <c r="B287" s="9" t="s">
        <v>650</v>
      </c>
    </row>
    <row r="288" spans="1:2" ht="15.75" customHeight="1">
      <c r="A288" s="9" t="s">
        <v>651</v>
      </c>
      <c r="B288" s="9" t="s">
        <v>652</v>
      </c>
    </row>
    <row r="289" spans="1:2" ht="15.75" customHeight="1">
      <c r="A289" s="9" t="s">
        <v>653</v>
      </c>
      <c r="B289" s="9" t="s">
        <v>654</v>
      </c>
    </row>
    <row r="290" spans="1:2" ht="15.75" customHeight="1">
      <c r="A290" s="9" t="s">
        <v>655</v>
      </c>
      <c r="B290" s="9" t="s">
        <v>656</v>
      </c>
    </row>
    <row r="291" spans="1:2" ht="15.75" customHeight="1">
      <c r="A291" s="9" t="s">
        <v>657</v>
      </c>
      <c r="B291" s="9" t="s">
        <v>658</v>
      </c>
    </row>
    <row r="292" spans="1:2" ht="15.75" customHeight="1">
      <c r="A292" s="9" t="s">
        <v>659</v>
      </c>
      <c r="B292" s="9" t="s">
        <v>660</v>
      </c>
    </row>
    <row r="293" spans="1:2" ht="15.75" customHeight="1">
      <c r="A293" s="9" t="s">
        <v>661</v>
      </c>
      <c r="B293" s="9" t="s">
        <v>662</v>
      </c>
    </row>
    <row r="294" spans="1:2" ht="15.75" customHeight="1">
      <c r="A294" s="9" t="s">
        <v>663</v>
      </c>
      <c r="B294" s="9" t="s">
        <v>664</v>
      </c>
    </row>
    <row r="295" spans="1:2" ht="15.75" customHeight="1">
      <c r="A295" s="9" t="s">
        <v>665</v>
      </c>
      <c r="B295" s="9" t="s">
        <v>666</v>
      </c>
    </row>
    <row r="296" spans="1:2" ht="15.75" customHeight="1">
      <c r="A296" s="9" t="s">
        <v>667</v>
      </c>
      <c r="B296" s="9" t="s">
        <v>668</v>
      </c>
    </row>
    <row r="297" spans="1:2" ht="15.75" customHeight="1">
      <c r="A297" s="9" t="s">
        <v>669</v>
      </c>
      <c r="B297" s="9" t="s">
        <v>670</v>
      </c>
    </row>
    <row r="298" spans="1:2" ht="15.75" customHeight="1">
      <c r="A298" s="9" t="s">
        <v>671</v>
      </c>
      <c r="B298" s="9" t="s">
        <v>672</v>
      </c>
    </row>
    <row r="299" spans="1:2" ht="15.75" customHeight="1">
      <c r="A299" s="9" t="s">
        <v>673</v>
      </c>
      <c r="B299" s="9" t="s">
        <v>674</v>
      </c>
    </row>
    <row r="300" spans="1:2" ht="15.75" customHeight="1">
      <c r="A300" s="9" t="s">
        <v>675</v>
      </c>
      <c r="B300" s="9" t="s">
        <v>676</v>
      </c>
    </row>
    <row r="301" spans="1:2" ht="15.75" customHeight="1">
      <c r="A301" s="9" t="s">
        <v>677</v>
      </c>
      <c r="B301" s="9" t="s">
        <v>678</v>
      </c>
    </row>
    <row r="302" spans="1:2" ht="15.75" customHeight="1">
      <c r="A302" s="9" t="s">
        <v>679</v>
      </c>
      <c r="B302" s="9" t="s">
        <v>680</v>
      </c>
    </row>
    <row r="303" spans="1:2" ht="15.75" customHeight="1">
      <c r="A303" s="9" t="s">
        <v>681</v>
      </c>
      <c r="B303" s="9" t="s">
        <v>682</v>
      </c>
    </row>
    <row r="304" spans="1:2" ht="15.75" customHeight="1">
      <c r="A304" s="9" t="s">
        <v>683</v>
      </c>
      <c r="B304" s="9" t="s">
        <v>684</v>
      </c>
    </row>
    <row r="305" spans="1:2" ht="15.75" customHeight="1">
      <c r="A305" s="9" t="s">
        <v>685</v>
      </c>
      <c r="B305" s="9" t="s">
        <v>686</v>
      </c>
    </row>
    <row r="306" spans="1:2" ht="15.75" customHeight="1">
      <c r="A306" s="9" t="s">
        <v>687</v>
      </c>
      <c r="B306" s="9" t="s">
        <v>688</v>
      </c>
    </row>
    <row r="307" spans="1:2" ht="15.75" customHeight="1">
      <c r="A307" s="9" t="s">
        <v>689</v>
      </c>
      <c r="B307" s="9" t="s">
        <v>690</v>
      </c>
    </row>
    <row r="308" spans="1:2" ht="15.75" customHeight="1">
      <c r="A308" s="9" t="s">
        <v>691</v>
      </c>
      <c r="B308" s="9" t="s">
        <v>692</v>
      </c>
    </row>
    <row r="309" spans="1:2" ht="15.75" customHeight="1">
      <c r="A309" s="9" t="s">
        <v>693</v>
      </c>
      <c r="B309" s="9" t="s">
        <v>694</v>
      </c>
    </row>
    <row r="310" spans="1:2" ht="15.75" customHeight="1">
      <c r="A310" s="9" t="s">
        <v>695</v>
      </c>
      <c r="B310" s="9" t="s">
        <v>696</v>
      </c>
    </row>
    <row r="311" spans="1:2" ht="15.75" customHeight="1">
      <c r="A311" s="9" t="s">
        <v>697</v>
      </c>
      <c r="B311" s="9" t="s">
        <v>698</v>
      </c>
    </row>
    <row r="312" spans="1:2" ht="15.75" customHeight="1">
      <c r="A312" s="9" t="s">
        <v>699</v>
      </c>
      <c r="B312" s="9" t="s">
        <v>700</v>
      </c>
    </row>
    <row r="313" spans="1:2" ht="15.75" customHeight="1">
      <c r="A313" s="9" t="s">
        <v>701</v>
      </c>
      <c r="B313" s="9" t="s">
        <v>702</v>
      </c>
    </row>
    <row r="314" spans="1:2" ht="15.75" customHeight="1">
      <c r="A314" s="9" t="s">
        <v>703</v>
      </c>
      <c r="B314" s="9" t="s">
        <v>704</v>
      </c>
    </row>
    <row r="315" spans="1:2" ht="15.75" customHeight="1">
      <c r="A315" s="9" t="s">
        <v>705</v>
      </c>
      <c r="B315" s="9" t="s">
        <v>706</v>
      </c>
    </row>
    <row r="316" spans="1:2" ht="15.75" customHeight="1">
      <c r="A316" s="9" t="s">
        <v>707</v>
      </c>
      <c r="B316" s="9" t="s">
        <v>708</v>
      </c>
    </row>
    <row r="317" spans="1:2" ht="15.75" customHeight="1">
      <c r="A317" s="9" t="s">
        <v>709</v>
      </c>
      <c r="B317" s="9" t="s">
        <v>710</v>
      </c>
    </row>
    <row r="318" spans="1:2" ht="15.75" customHeight="1">
      <c r="A318" s="9" t="s">
        <v>711</v>
      </c>
      <c r="B318" s="9" t="s">
        <v>712</v>
      </c>
    </row>
    <row r="319" spans="1:2" ht="15.75" customHeight="1">
      <c r="A319" s="9" t="s">
        <v>713</v>
      </c>
      <c r="B319" s="9" t="s">
        <v>714</v>
      </c>
    </row>
    <row r="320" spans="1:2" ht="15.75" customHeight="1">
      <c r="A320" s="9" t="s">
        <v>715</v>
      </c>
      <c r="B320" s="9" t="s">
        <v>716</v>
      </c>
    </row>
    <row r="321" spans="1:2" ht="15.75" customHeight="1">
      <c r="A321" s="9" t="s">
        <v>717</v>
      </c>
      <c r="B321" s="9" t="s">
        <v>718</v>
      </c>
    </row>
    <row r="322" spans="1:2" ht="15.75" customHeight="1">
      <c r="A322" s="9" t="s">
        <v>719</v>
      </c>
      <c r="B322" s="9" t="s">
        <v>720</v>
      </c>
    </row>
    <row r="323" spans="1:2" ht="15.75" customHeight="1">
      <c r="A323" s="9" t="s">
        <v>721</v>
      </c>
      <c r="B323" s="9" t="s">
        <v>722</v>
      </c>
    </row>
    <row r="324" spans="1:2" ht="15.75" customHeight="1">
      <c r="A324" s="9" t="s">
        <v>723</v>
      </c>
      <c r="B324" s="9" t="s">
        <v>724</v>
      </c>
    </row>
    <row r="325" spans="1:2" ht="15.75" customHeight="1">
      <c r="A325" s="9" t="s">
        <v>725</v>
      </c>
      <c r="B325" s="9" t="s">
        <v>726</v>
      </c>
    </row>
    <row r="326" spans="1:2" ht="15.75" customHeight="1">
      <c r="A326" s="9" t="s">
        <v>727</v>
      </c>
      <c r="B326" s="9" t="s">
        <v>728</v>
      </c>
    </row>
    <row r="327" spans="1:2" ht="15.75" customHeight="1">
      <c r="A327" s="9" t="s">
        <v>729</v>
      </c>
      <c r="B327" s="9" t="s">
        <v>730</v>
      </c>
    </row>
    <row r="328" spans="1:2" ht="15.75" customHeight="1">
      <c r="A328" s="9" t="s">
        <v>731</v>
      </c>
      <c r="B328" s="9" t="s">
        <v>732</v>
      </c>
    </row>
    <row r="329" spans="1:2" ht="15.75" customHeight="1">
      <c r="A329" s="9" t="s">
        <v>733</v>
      </c>
      <c r="B329" s="9" t="s">
        <v>734</v>
      </c>
    </row>
    <row r="330" spans="1:2" ht="15.75" customHeight="1">
      <c r="A330" s="9" t="s">
        <v>735</v>
      </c>
      <c r="B330" s="9" t="s">
        <v>736</v>
      </c>
    </row>
    <row r="331" spans="1:2" ht="15.75" customHeight="1">
      <c r="A331" s="9" t="s">
        <v>737</v>
      </c>
      <c r="B331" s="9" t="s">
        <v>738</v>
      </c>
    </row>
    <row r="332" spans="1:2" ht="15.75" customHeight="1">
      <c r="A332" s="9" t="s">
        <v>739</v>
      </c>
      <c r="B332" s="9" t="s">
        <v>740</v>
      </c>
    </row>
    <row r="333" spans="1:2" ht="15.75" customHeight="1">
      <c r="A333" s="9" t="s">
        <v>741</v>
      </c>
      <c r="B333" s="9" t="s">
        <v>742</v>
      </c>
    </row>
    <row r="334" spans="1:2" ht="15.75" customHeight="1">
      <c r="A334" s="9" t="s">
        <v>743</v>
      </c>
      <c r="B334" s="9" t="s">
        <v>290</v>
      </c>
    </row>
    <row r="335" spans="1:2" ht="15.75" customHeight="1">
      <c r="A335" s="9" t="s">
        <v>744</v>
      </c>
      <c r="B335" s="9" t="s">
        <v>745</v>
      </c>
    </row>
    <row r="336" spans="1:2" ht="15.75" customHeight="1">
      <c r="A336" s="9" t="s">
        <v>746</v>
      </c>
      <c r="B336" s="9" t="s">
        <v>747</v>
      </c>
    </row>
    <row r="337" spans="1:2" ht="15.75" customHeight="1">
      <c r="A337" s="9" t="s">
        <v>748</v>
      </c>
      <c r="B337" s="9" t="s">
        <v>749</v>
      </c>
    </row>
    <row r="338" spans="1:2" ht="15.75" customHeight="1">
      <c r="A338" s="9" t="s">
        <v>750</v>
      </c>
      <c r="B338" s="9" t="s">
        <v>751</v>
      </c>
    </row>
    <row r="339" spans="1:2" ht="15.75" customHeight="1">
      <c r="A339" s="9" t="s">
        <v>752</v>
      </c>
      <c r="B339" s="9" t="s">
        <v>753</v>
      </c>
    </row>
    <row r="340" spans="1:2" ht="15.75" customHeight="1">
      <c r="A340" s="9" t="s">
        <v>754</v>
      </c>
      <c r="B340" s="9" t="s">
        <v>755</v>
      </c>
    </row>
    <row r="341" spans="1:2" ht="15.75" customHeight="1">
      <c r="A341" s="9" t="s">
        <v>756</v>
      </c>
      <c r="B341" s="9" t="s">
        <v>757</v>
      </c>
    </row>
    <row r="342" spans="1:2" ht="15.75" customHeight="1">
      <c r="A342" s="9" t="s">
        <v>758</v>
      </c>
      <c r="B342" s="9" t="s">
        <v>759</v>
      </c>
    </row>
    <row r="343" spans="1:2" ht="15.75" customHeight="1">
      <c r="A343" s="9" t="s">
        <v>760</v>
      </c>
      <c r="B343" s="9" t="s">
        <v>761</v>
      </c>
    </row>
    <row r="344" spans="1:2" ht="15.75" customHeight="1">
      <c r="A344" s="9" t="s">
        <v>762</v>
      </c>
      <c r="B344" s="9" t="s">
        <v>763</v>
      </c>
    </row>
    <row r="345" spans="1:2" ht="15.75" customHeight="1">
      <c r="A345" s="9" t="s">
        <v>764</v>
      </c>
      <c r="B345" s="9" t="s">
        <v>765</v>
      </c>
    </row>
    <row r="346" spans="1:2" ht="15.75" customHeight="1">
      <c r="A346" s="9" t="s">
        <v>766</v>
      </c>
      <c r="B346" s="9" t="s">
        <v>767</v>
      </c>
    </row>
    <row r="347" spans="1:2" ht="15.75" customHeight="1">
      <c r="A347" s="9" t="s">
        <v>768</v>
      </c>
      <c r="B347" s="9" t="s">
        <v>769</v>
      </c>
    </row>
    <row r="348" spans="1:2" ht="15.75" customHeight="1">
      <c r="A348" s="9" t="s">
        <v>770</v>
      </c>
      <c r="B348" s="9" t="s">
        <v>771</v>
      </c>
    </row>
    <row r="349" spans="1:2" ht="15.75" customHeight="1">
      <c r="A349" s="9" t="s">
        <v>772</v>
      </c>
      <c r="B349" s="9" t="s">
        <v>773</v>
      </c>
    </row>
    <row r="350" spans="1:2" ht="15.75" customHeight="1">
      <c r="A350" s="9" t="s">
        <v>774</v>
      </c>
      <c r="B350" s="9" t="s">
        <v>775</v>
      </c>
    </row>
    <row r="351" spans="1:2" ht="15.75" customHeight="1">
      <c r="A351" s="9" t="s">
        <v>776</v>
      </c>
      <c r="B351" s="9" t="s">
        <v>777</v>
      </c>
    </row>
    <row r="352" spans="1:2" ht="15.75" customHeight="1">
      <c r="A352" s="9" t="s">
        <v>778</v>
      </c>
      <c r="B352" s="9" t="s">
        <v>779</v>
      </c>
    </row>
    <row r="353" spans="1:2" ht="15.75" customHeight="1">
      <c r="A353" s="9" t="s">
        <v>780</v>
      </c>
      <c r="B353" s="9" t="s">
        <v>781</v>
      </c>
    </row>
    <row r="354" spans="1:2" ht="15.75" customHeight="1">
      <c r="A354" s="9" t="s">
        <v>782</v>
      </c>
      <c r="B354" s="9" t="s">
        <v>783</v>
      </c>
    </row>
    <row r="355" spans="1:2" ht="15.75" customHeight="1">
      <c r="A355" s="9" t="s">
        <v>784</v>
      </c>
      <c r="B355" s="9" t="s">
        <v>785</v>
      </c>
    </row>
    <row r="356" spans="1:2" ht="15.75" customHeight="1">
      <c r="A356" s="9" t="s">
        <v>786</v>
      </c>
      <c r="B356" s="9" t="s">
        <v>787</v>
      </c>
    </row>
    <row r="357" spans="1:2" ht="15.75" customHeight="1">
      <c r="A357" s="9" t="s">
        <v>788</v>
      </c>
      <c r="B357" s="9" t="s">
        <v>789</v>
      </c>
    </row>
    <row r="358" spans="1:2" ht="15.75" customHeight="1">
      <c r="A358" s="9" t="s">
        <v>790</v>
      </c>
      <c r="B358" s="9" t="s">
        <v>791</v>
      </c>
    </row>
    <row r="359" spans="1:2" ht="15.75" customHeight="1">
      <c r="A359" s="9" t="s">
        <v>792</v>
      </c>
      <c r="B359" s="9" t="s">
        <v>793</v>
      </c>
    </row>
    <row r="360" spans="1:2" ht="15.75" customHeight="1">
      <c r="A360" s="9" t="s">
        <v>794</v>
      </c>
      <c r="B360" s="9" t="s">
        <v>795</v>
      </c>
    </row>
    <row r="361" spans="1:2" ht="15.75" customHeight="1">
      <c r="A361" s="9" t="s">
        <v>796</v>
      </c>
      <c r="B361" s="9" t="s">
        <v>797</v>
      </c>
    </row>
    <row r="362" spans="1:2" ht="15.75" customHeight="1">
      <c r="A362" s="9" t="s">
        <v>798</v>
      </c>
      <c r="B362" s="9" t="s">
        <v>799</v>
      </c>
    </row>
    <row r="363" spans="1:2" ht="15.75" customHeight="1">
      <c r="A363" s="9" t="s">
        <v>800</v>
      </c>
      <c r="B363" s="9" t="s">
        <v>801</v>
      </c>
    </row>
    <row r="364" spans="1:2" ht="15.75" customHeight="1">
      <c r="A364" s="9" t="s">
        <v>802</v>
      </c>
      <c r="B364" s="9" t="s">
        <v>803</v>
      </c>
    </row>
    <row r="365" spans="1:2" ht="15.75" customHeight="1">
      <c r="A365" s="9" t="s">
        <v>804</v>
      </c>
      <c r="B365" s="9" t="s">
        <v>805</v>
      </c>
    </row>
    <row r="366" spans="1:2" ht="15.75" customHeight="1">
      <c r="A366" s="9" t="s">
        <v>806</v>
      </c>
      <c r="B366" s="9" t="s">
        <v>807</v>
      </c>
    </row>
    <row r="367" spans="1:2" ht="15.75" customHeight="1">
      <c r="A367" s="9" t="s">
        <v>808</v>
      </c>
      <c r="B367" s="9" t="s">
        <v>809</v>
      </c>
    </row>
    <row r="368" spans="1:2" ht="15.75" customHeight="1">
      <c r="A368" s="9" t="s">
        <v>810</v>
      </c>
      <c r="B368" s="9" t="s">
        <v>811</v>
      </c>
    </row>
    <row r="369" spans="1:2" ht="15.75" customHeight="1">
      <c r="A369" s="9" t="s">
        <v>812</v>
      </c>
      <c r="B369" s="9" t="s">
        <v>813</v>
      </c>
    </row>
    <row r="370" spans="1:2" ht="15.75" customHeight="1">
      <c r="A370" s="9" t="s">
        <v>814</v>
      </c>
      <c r="B370" s="9" t="s">
        <v>815</v>
      </c>
    </row>
    <row r="371" spans="1:2" ht="15.75" customHeight="1">
      <c r="A371" s="9" t="s">
        <v>816</v>
      </c>
      <c r="B371" s="9" t="s">
        <v>817</v>
      </c>
    </row>
    <row r="372" spans="1:2" ht="15.75" customHeight="1">
      <c r="A372" s="9" t="s">
        <v>818</v>
      </c>
      <c r="B372" s="9" t="s">
        <v>819</v>
      </c>
    </row>
    <row r="373" spans="1:2" ht="15.75" customHeight="1">
      <c r="A373" s="9" t="s">
        <v>820</v>
      </c>
      <c r="B373" s="9" t="s">
        <v>821</v>
      </c>
    </row>
    <row r="374" spans="1:2" ht="15.75" customHeight="1">
      <c r="A374" s="9" t="s">
        <v>822</v>
      </c>
      <c r="B374" s="9" t="s">
        <v>823</v>
      </c>
    </row>
    <row r="375" spans="1:2" ht="15.75" customHeight="1">
      <c r="A375" s="9" t="s">
        <v>824</v>
      </c>
      <c r="B375" s="9" t="s">
        <v>825</v>
      </c>
    </row>
    <row r="376" spans="1:2" ht="15.75" customHeight="1">
      <c r="A376" s="9" t="s">
        <v>826</v>
      </c>
      <c r="B376" s="9" t="s">
        <v>827</v>
      </c>
    </row>
    <row r="377" spans="1:2" ht="15.75" customHeight="1">
      <c r="A377" s="9" t="s">
        <v>828</v>
      </c>
      <c r="B377" s="9" t="s">
        <v>829</v>
      </c>
    </row>
    <row r="378" spans="1:2" ht="15.75" customHeight="1">
      <c r="A378" s="9" t="s">
        <v>830</v>
      </c>
      <c r="B378" s="9" t="s">
        <v>831</v>
      </c>
    </row>
    <row r="379" spans="1:2" ht="15.75" customHeight="1">
      <c r="A379" s="9" t="s">
        <v>832</v>
      </c>
      <c r="B379" s="9" t="s">
        <v>833</v>
      </c>
    </row>
    <row r="380" spans="1:2" ht="15.75" customHeight="1">
      <c r="A380" s="9" t="s">
        <v>834</v>
      </c>
      <c r="B380" s="9" t="s">
        <v>835</v>
      </c>
    </row>
    <row r="381" spans="1:2" ht="15.75" customHeight="1">
      <c r="A381" s="9" t="s">
        <v>836</v>
      </c>
      <c r="B381" s="9" t="s">
        <v>310</v>
      </c>
    </row>
    <row r="382" spans="1:2" ht="15.75" customHeight="1">
      <c r="A382" s="9" t="s">
        <v>837</v>
      </c>
      <c r="B382" s="9" t="s">
        <v>838</v>
      </c>
    </row>
    <row r="383" spans="1:2" ht="15.75" customHeight="1">
      <c r="A383" s="9" t="s">
        <v>839</v>
      </c>
      <c r="B383" s="9" t="s">
        <v>840</v>
      </c>
    </row>
    <row r="384" spans="1:2" ht="15.75" customHeight="1">
      <c r="A384" s="9" t="s">
        <v>841</v>
      </c>
      <c r="B384" s="9" t="s">
        <v>842</v>
      </c>
    </row>
    <row r="385" spans="1:2" ht="15.75" customHeight="1">
      <c r="A385" s="9" t="s">
        <v>843</v>
      </c>
      <c r="B385" s="9" t="s">
        <v>844</v>
      </c>
    </row>
    <row r="386" spans="1:2" ht="15.75" customHeight="1">
      <c r="A386" s="9" t="s">
        <v>845</v>
      </c>
      <c r="B386" s="9" t="s">
        <v>846</v>
      </c>
    </row>
    <row r="387" spans="1:2" ht="15.75" customHeight="1">
      <c r="A387" s="9" t="s">
        <v>847</v>
      </c>
      <c r="B387" s="9" t="s">
        <v>848</v>
      </c>
    </row>
    <row r="388" spans="1:2" ht="15.75" customHeight="1">
      <c r="A388" s="9" t="s">
        <v>849</v>
      </c>
      <c r="B388" s="9" t="s">
        <v>850</v>
      </c>
    </row>
    <row r="389" spans="1:2" ht="15.75" customHeight="1">
      <c r="A389" s="9" t="s">
        <v>851</v>
      </c>
      <c r="B389" s="9" t="s">
        <v>852</v>
      </c>
    </row>
    <row r="390" spans="1:2" ht="15.75" customHeight="1">
      <c r="A390" s="9" t="s">
        <v>853</v>
      </c>
      <c r="B390" s="9" t="s">
        <v>854</v>
      </c>
    </row>
    <row r="391" spans="1:2" ht="15.75" customHeight="1">
      <c r="A391" s="9" t="s">
        <v>855</v>
      </c>
      <c r="B391" s="9" t="s">
        <v>856</v>
      </c>
    </row>
    <row r="392" spans="1:2" ht="15.75" customHeight="1">
      <c r="A392" s="9" t="s">
        <v>857</v>
      </c>
      <c r="B392" s="9" t="s">
        <v>858</v>
      </c>
    </row>
    <row r="393" spans="1:2" ht="15.75" customHeight="1">
      <c r="A393" s="9" t="s">
        <v>859</v>
      </c>
      <c r="B393" s="9" t="s">
        <v>210</v>
      </c>
    </row>
    <row r="394" spans="1:2" ht="15.75" customHeight="1">
      <c r="A394" s="9" t="s">
        <v>860</v>
      </c>
      <c r="B394" s="9" t="s">
        <v>861</v>
      </c>
    </row>
    <row r="395" spans="1:2" ht="15.75" customHeight="1">
      <c r="A395" s="9" t="s">
        <v>862</v>
      </c>
      <c r="B395" s="9" t="s">
        <v>863</v>
      </c>
    </row>
    <row r="396" spans="1:2" ht="15.75" customHeight="1">
      <c r="A396" s="9" t="s">
        <v>864</v>
      </c>
      <c r="B396" s="9" t="s">
        <v>865</v>
      </c>
    </row>
    <row r="397" spans="1:2" ht="15.75" customHeight="1">
      <c r="A397" s="9" t="s">
        <v>866</v>
      </c>
      <c r="B397" s="9" t="s">
        <v>867</v>
      </c>
    </row>
    <row r="398" spans="1:2" ht="15.75" customHeight="1">
      <c r="A398" s="9" t="s">
        <v>868</v>
      </c>
      <c r="B398" s="9" t="s">
        <v>869</v>
      </c>
    </row>
    <row r="399" spans="1:2" ht="15.75" customHeight="1">
      <c r="A399" s="9" t="s">
        <v>870</v>
      </c>
      <c r="B399" s="9" t="s">
        <v>459</v>
      </c>
    </row>
    <row r="400" spans="1:2" ht="15.75" customHeight="1">
      <c r="A400" s="9" t="s">
        <v>871</v>
      </c>
      <c r="B400" s="9" t="s">
        <v>872</v>
      </c>
    </row>
    <row r="401" spans="1:2" ht="15.75" customHeight="1">
      <c r="A401" s="9" t="s">
        <v>873</v>
      </c>
      <c r="B401" s="9" t="s">
        <v>874</v>
      </c>
    </row>
    <row r="402" spans="1:2" ht="15.75" customHeight="1">
      <c r="A402" s="9" t="s">
        <v>875</v>
      </c>
      <c r="B402" s="9" t="s">
        <v>876</v>
      </c>
    </row>
    <row r="403" spans="1:2" ht="15.75" customHeight="1">
      <c r="A403" s="9" t="s">
        <v>877</v>
      </c>
      <c r="B403" s="9" t="s">
        <v>878</v>
      </c>
    </row>
    <row r="404" spans="1:2" ht="15.75" customHeight="1">
      <c r="A404" s="9" t="s">
        <v>879</v>
      </c>
      <c r="B404" s="9" t="s">
        <v>477</v>
      </c>
    </row>
    <row r="405" spans="1:2" ht="15.75" customHeight="1">
      <c r="A405" s="9" t="s">
        <v>880</v>
      </c>
      <c r="B405" s="9" t="s">
        <v>881</v>
      </c>
    </row>
    <row r="406" spans="1:2" ht="15.75" customHeight="1">
      <c r="A406" s="9" t="s">
        <v>882</v>
      </c>
      <c r="B406" s="9" t="s">
        <v>883</v>
      </c>
    </row>
    <row r="407" spans="1:2" ht="15.75" customHeight="1">
      <c r="A407" s="9" t="s">
        <v>884</v>
      </c>
      <c r="B407" s="9" t="s">
        <v>885</v>
      </c>
    </row>
    <row r="408" spans="1:2" ht="15.75" customHeight="1">
      <c r="A408" s="9" t="s">
        <v>886</v>
      </c>
      <c r="B408" s="9" t="s">
        <v>887</v>
      </c>
    </row>
    <row r="409" spans="1:2" ht="15.75" customHeight="1">
      <c r="A409" s="9" t="s">
        <v>888</v>
      </c>
      <c r="B409" s="9" t="s">
        <v>889</v>
      </c>
    </row>
    <row r="410" spans="1:2" ht="15.75" customHeight="1">
      <c r="A410" s="9" t="s">
        <v>890</v>
      </c>
      <c r="B410" s="9" t="s">
        <v>891</v>
      </c>
    </row>
    <row r="411" spans="1:2" ht="15.75" customHeight="1">
      <c r="A411" s="9" t="s">
        <v>892</v>
      </c>
      <c r="B411" s="9" t="s">
        <v>893</v>
      </c>
    </row>
    <row r="412" spans="1:2" ht="15.75" customHeight="1">
      <c r="A412" s="9" t="s">
        <v>894</v>
      </c>
      <c r="B412" s="9" t="s">
        <v>895</v>
      </c>
    </row>
    <row r="413" spans="1:2" ht="15.75" customHeight="1">
      <c r="A413" s="9" t="s">
        <v>896</v>
      </c>
      <c r="B413" s="9" t="s">
        <v>897</v>
      </c>
    </row>
    <row r="414" spans="1:2" ht="15.75" customHeight="1">
      <c r="A414" s="9" t="s">
        <v>898</v>
      </c>
      <c r="B414" s="9" t="s">
        <v>899</v>
      </c>
    </row>
    <row r="415" spans="1:2" ht="15.75" customHeight="1">
      <c r="A415" s="9" t="s">
        <v>900</v>
      </c>
      <c r="B415" s="9" t="s">
        <v>901</v>
      </c>
    </row>
    <row r="416" spans="1:2" ht="15.75" customHeight="1">
      <c r="A416" s="9" t="s">
        <v>902</v>
      </c>
      <c r="B416" s="9" t="s">
        <v>903</v>
      </c>
    </row>
    <row r="417" spans="1:2" ht="15.75" customHeight="1">
      <c r="A417" s="9" t="s">
        <v>904</v>
      </c>
      <c r="B417" s="9" t="s">
        <v>905</v>
      </c>
    </row>
    <row r="418" spans="1:2" ht="15.75" customHeight="1">
      <c r="A418" s="9" t="s">
        <v>906</v>
      </c>
      <c r="B418" s="9" t="s">
        <v>907</v>
      </c>
    </row>
    <row r="419" spans="1:2" ht="15.75" customHeight="1">
      <c r="A419" s="9" t="s">
        <v>908</v>
      </c>
      <c r="B419" s="9" t="s">
        <v>909</v>
      </c>
    </row>
    <row r="420" spans="1:2" ht="15.75" customHeight="1">
      <c r="A420" s="9" t="s">
        <v>910</v>
      </c>
      <c r="B420" s="9" t="s">
        <v>911</v>
      </c>
    </row>
    <row r="421" spans="1:2" ht="15.75" customHeight="1">
      <c r="A421" s="9" t="s">
        <v>912</v>
      </c>
      <c r="B421" s="9" t="s">
        <v>913</v>
      </c>
    </row>
    <row r="422" spans="1:2" ht="15.75" customHeight="1">
      <c r="A422" s="9" t="s">
        <v>914</v>
      </c>
      <c r="B422" s="9" t="s">
        <v>915</v>
      </c>
    </row>
    <row r="423" spans="1:2" ht="15.75" customHeight="1">
      <c r="A423" s="9" t="s">
        <v>916</v>
      </c>
      <c r="B423" s="9" t="s">
        <v>917</v>
      </c>
    </row>
    <row r="424" spans="1:2" ht="15.75" customHeight="1">
      <c r="A424" s="9" t="s">
        <v>918</v>
      </c>
      <c r="B424" s="9" t="s">
        <v>919</v>
      </c>
    </row>
    <row r="425" spans="1:2" ht="15.75" customHeight="1">
      <c r="A425" s="9" t="s">
        <v>920</v>
      </c>
      <c r="B425" s="9" t="s">
        <v>921</v>
      </c>
    </row>
    <row r="426" spans="1:2" ht="15.75" customHeight="1">
      <c r="A426" s="9" t="s">
        <v>922</v>
      </c>
      <c r="B426" s="9" t="s">
        <v>923</v>
      </c>
    </row>
    <row r="427" spans="1:2" ht="15.75" customHeight="1">
      <c r="A427" s="9" t="s">
        <v>924</v>
      </c>
      <c r="B427" s="9" t="s">
        <v>925</v>
      </c>
    </row>
    <row r="428" spans="1:2" ht="15.75" customHeight="1">
      <c r="A428" s="9" t="s">
        <v>926</v>
      </c>
      <c r="B428" s="9" t="s">
        <v>927</v>
      </c>
    </row>
    <row r="429" spans="1:2" ht="15.75" customHeight="1">
      <c r="A429" s="9" t="s">
        <v>928</v>
      </c>
      <c r="B429" s="9" t="s">
        <v>929</v>
      </c>
    </row>
    <row r="430" spans="1:2" ht="15.75" customHeight="1">
      <c r="A430" s="9" t="s">
        <v>930</v>
      </c>
      <c r="B430" s="9" t="s">
        <v>931</v>
      </c>
    </row>
    <row r="431" spans="1:2" ht="15.75" customHeight="1">
      <c r="A431" s="9" t="s">
        <v>932</v>
      </c>
      <c r="B431" s="9" t="s">
        <v>224</v>
      </c>
    </row>
    <row r="432" spans="1:2" ht="15.75" customHeight="1">
      <c r="A432" s="9" t="s">
        <v>933</v>
      </c>
      <c r="B432" s="9" t="s">
        <v>934</v>
      </c>
    </row>
    <row r="433" spans="1:2" ht="15.75" customHeight="1">
      <c r="A433" s="9" t="s">
        <v>935</v>
      </c>
      <c r="B433" s="9" t="s">
        <v>936</v>
      </c>
    </row>
    <row r="434" spans="1:2" ht="15.75" customHeight="1">
      <c r="A434" s="9" t="s">
        <v>937</v>
      </c>
      <c r="B434" s="9" t="s">
        <v>819</v>
      </c>
    </row>
    <row r="435" spans="1:2" ht="15.75" customHeight="1">
      <c r="A435" s="9" t="s">
        <v>938</v>
      </c>
      <c r="B435" s="9" t="s">
        <v>939</v>
      </c>
    </row>
    <row r="436" spans="1:2" ht="15.75" customHeight="1">
      <c r="A436" s="9" t="s">
        <v>940</v>
      </c>
      <c r="B436" s="9" t="s">
        <v>941</v>
      </c>
    </row>
    <row r="437" spans="1:2" ht="15.75" customHeight="1">
      <c r="A437" s="9" t="s">
        <v>942</v>
      </c>
      <c r="B437" s="9" t="s">
        <v>943</v>
      </c>
    </row>
    <row r="438" spans="1:2" ht="15.75" customHeight="1">
      <c r="A438" s="9" t="s">
        <v>944</v>
      </c>
      <c r="B438" s="9" t="s">
        <v>945</v>
      </c>
    </row>
    <row r="439" spans="1:2" ht="15.75" customHeight="1">
      <c r="A439" s="9" t="s">
        <v>946</v>
      </c>
      <c r="B439" s="9" t="s">
        <v>947</v>
      </c>
    </row>
    <row r="440" spans="1:2" ht="15.75" customHeight="1">
      <c r="A440" s="9" t="s">
        <v>948</v>
      </c>
      <c r="B440" s="9" t="s">
        <v>949</v>
      </c>
    </row>
    <row r="441" spans="1:2" ht="15.75" customHeight="1">
      <c r="A441" s="9" t="s">
        <v>950</v>
      </c>
      <c r="B441" s="9" t="s">
        <v>951</v>
      </c>
    </row>
    <row r="442" spans="1:2" ht="15.75" customHeight="1">
      <c r="A442" s="9" t="s">
        <v>952</v>
      </c>
      <c r="B442" s="9" t="s">
        <v>953</v>
      </c>
    </row>
    <row r="443" spans="1:2" ht="15.75" customHeight="1">
      <c r="A443" s="9" t="s">
        <v>954</v>
      </c>
      <c r="B443" s="9" t="s">
        <v>955</v>
      </c>
    </row>
    <row r="444" spans="1:2" ht="15.75" customHeight="1">
      <c r="A444" s="9" t="s">
        <v>956</v>
      </c>
      <c r="B444" s="9" t="s">
        <v>957</v>
      </c>
    </row>
    <row r="445" spans="1:2" ht="15.75" customHeight="1">
      <c r="A445" s="9" t="s">
        <v>958</v>
      </c>
      <c r="B445" s="9" t="s">
        <v>959</v>
      </c>
    </row>
    <row r="446" spans="1:2" ht="15.75" customHeight="1">
      <c r="A446" s="9" t="s">
        <v>960</v>
      </c>
      <c r="B446" s="9" t="s">
        <v>961</v>
      </c>
    </row>
    <row r="447" spans="1:2" ht="15.75" customHeight="1">
      <c r="A447" s="9" t="s">
        <v>962</v>
      </c>
      <c r="B447" s="9" t="s">
        <v>963</v>
      </c>
    </row>
    <row r="448" spans="1:2" ht="15.75" customHeight="1">
      <c r="A448" s="9" t="s">
        <v>964</v>
      </c>
      <c r="B448" s="9" t="s">
        <v>965</v>
      </c>
    </row>
    <row r="449" spans="1:2" ht="15.75" customHeight="1">
      <c r="A449" s="9" t="s">
        <v>966</v>
      </c>
      <c r="B449" s="9" t="s">
        <v>967</v>
      </c>
    </row>
    <row r="450" spans="1:2" ht="15.75" customHeight="1">
      <c r="A450" s="9" t="s">
        <v>968</v>
      </c>
      <c r="B450" s="9" t="s">
        <v>969</v>
      </c>
    </row>
    <row r="451" spans="1:2" ht="15.75" customHeight="1">
      <c r="A451" s="9" t="s">
        <v>970</v>
      </c>
      <c r="B451" s="9" t="s">
        <v>971</v>
      </c>
    </row>
    <row r="452" spans="1:2" ht="15.75" customHeight="1">
      <c r="A452" s="9" t="s">
        <v>972</v>
      </c>
      <c r="B452" s="9" t="s">
        <v>973</v>
      </c>
    </row>
    <row r="453" spans="1:2" ht="15.75" customHeight="1">
      <c r="A453" s="9" t="s">
        <v>974</v>
      </c>
      <c r="B453" s="9" t="s">
        <v>975</v>
      </c>
    </row>
    <row r="454" spans="1:2" ht="15.75" customHeight="1">
      <c r="A454" s="9" t="s">
        <v>976</v>
      </c>
      <c r="B454" s="9" t="s">
        <v>977</v>
      </c>
    </row>
    <row r="455" spans="1:2" ht="15.75" customHeight="1">
      <c r="A455" s="9" t="s">
        <v>978</v>
      </c>
      <c r="B455" s="9" t="s">
        <v>979</v>
      </c>
    </row>
    <row r="456" spans="1:2" ht="15.75" customHeight="1">
      <c r="A456" s="9" t="s">
        <v>980</v>
      </c>
      <c r="B456" s="9" t="s">
        <v>981</v>
      </c>
    </row>
    <row r="457" spans="1:2" ht="15.75" customHeight="1">
      <c r="A457" s="9" t="s">
        <v>982</v>
      </c>
      <c r="B457" s="9" t="s">
        <v>983</v>
      </c>
    </row>
    <row r="458" spans="1:2" ht="15.75" customHeight="1">
      <c r="A458" s="9" t="s">
        <v>984</v>
      </c>
      <c r="B458" s="9" t="s">
        <v>985</v>
      </c>
    </row>
    <row r="459" spans="1:2" ht="15.75" customHeight="1">
      <c r="A459" s="9" t="s">
        <v>986</v>
      </c>
      <c r="B459" s="9" t="s">
        <v>987</v>
      </c>
    </row>
    <row r="460" spans="1:2" ht="15.75" customHeight="1">
      <c r="A460" s="9" t="s">
        <v>988</v>
      </c>
      <c r="B460" s="9" t="s">
        <v>989</v>
      </c>
    </row>
    <row r="461" spans="1:2" ht="15.75" customHeight="1">
      <c r="A461" s="9" t="s">
        <v>990</v>
      </c>
      <c r="B461" s="9" t="s">
        <v>991</v>
      </c>
    </row>
    <row r="462" spans="1:2" ht="15.75" customHeight="1">
      <c r="A462" s="9" t="s">
        <v>992</v>
      </c>
      <c r="B462" s="9" t="s">
        <v>993</v>
      </c>
    </row>
    <row r="463" spans="1:2" ht="15.75" customHeight="1">
      <c r="A463" s="9" t="s">
        <v>994</v>
      </c>
      <c r="B463" s="9" t="s">
        <v>995</v>
      </c>
    </row>
    <row r="464" spans="1:2" ht="15.75" customHeight="1">
      <c r="A464" s="9" t="s">
        <v>996</v>
      </c>
      <c r="B464" s="9" t="s">
        <v>997</v>
      </c>
    </row>
    <row r="465" spans="1:2" ht="15.75" customHeight="1">
      <c r="A465" s="9" t="s">
        <v>998</v>
      </c>
      <c r="B465" s="9" t="s">
        <v>999</v>
      </c>
    </row>
    <row r="466" spans="1:2" ht="15.75" customHeight="1">
      <c r="A466" s="9" t="s">
        <v>1000</v>
      </c>
      <c r="B466" s="9" t="s">
        <v>1001</v>
      </c>
    </row>
    <row r="467" spans="1:2" ht="15.75" customHeight="1">
      <c r="A467" s="9" t="s">
        <v>1002</v>
      </c>
      <c r="B467" s="9" t="s">
        <v>1003</v>
      </c>
    </row>
    <row r="468" spans="1:2" ht="15.75" customHeight="1">
      <c r="A468" s="9" t="s">
        <v>1004</v>
      </c>
      <c r="B468" s="9" t="s">
        <v>1005</v>
      </c>
    </row>
    <row r="469" spans="1:2" ht="15.75" customHeight="1">
      <c r="A469" s="9" t="s">
        <v>1006</v>
      </c>
      <c r="B469" s="9" t="s">
        <v>1007</v>
      </c>
    </row>
    <row r="470" spans="1:2" ht="15.75" customHeight="1">
      <c r="A470" s="9" t="s">
        <v>1008</v>
      </c>
      <c r="B470" s="9" t="s">
        <v>1009</v>
      </c>
    </row>
    <row r="471" spans="1:2" ht="15.75" customHeight="1">
      <c r="A471" s="9" t="s">
        <v>1010</v>
      </c>
      <c r="B471" s="9" t="s">
        <v>1011</v>
      </c>
    </row>
    <row r="472" spans="1:2" ht="15.75" customHeight="1">
      <c r="A472" s="9" t="s">
        <v>1012</v>
      </c>
      <c r="B472" s="9" t="s">
        <v>1013</v>
      </c>
    </row>
    <row r="473" spans="1:2" ht="15.75" customHeight="1">
      <c r="A473" s="9" t="s">
        <v>1014</v>
      </c>
      <c r="B473" s="9" t="s">
        <v>1015</v>
      </c>
    </row>
    <row r="474" spans="1:2" ht="15.75" customHeight="1">
      <c r="A474" s="9" t="s">
        <v>1016</v>
      </c>
      <c r="B474" s="9" t="s">
        <v>1017</v>
      </c>
    </row>
    <row r="475" spans="1:2" ht="15.75" customHeight="1">
      <c r="A475" s="9" t="s">
        <v>1018</v>
      </c>
      <c r="B475" s="9" t="s">
        <v>1019</v>
      </c>
    </row>
    <row r="476" spans="1:2" ht="15.75" customHeight="1">
      <c r="A476" s="9" t="s">
        <v>1020</v>
      </c>
      <c r="B476" s="9" t="s">
        <v>1021</v>
      </c>
    </row>
    <row r="477" spans="1:2" ht="15.75" customHeight="1">
      <c r="A477" s="9" t="s">
        <v>1022</v>
      </c>
      <c r="B477" s="9" t="s">
        <v>1023</v>
      </c>
    </row>
    <row r="478" spans="1:2" ht="15.75" customHeight="1">
      <c r="A478" s="9" t="s">
        <v>1024</v>
      </c>
      <c r="B478" s="9" t="s">
        <v>759</v>
      </c>
    </row>
    <row r="479" spans="1:2" ht="15.75" customHeight="1">
      <c r="A479" s="9" t="s">
        <v>1025</v>
      </c>
      <c r="B479" s="9" t="s">
        <v>1026</v>
      </c>
    </row>
    <row r="480" spans="1:2" ht="15.75" customHeight="1">
      <c r="A480" s="9" t="s">
        <v>1027</v>
      </c>
      <c r="B480" s="9" t="s">
        <v>1028</v>
      </c>
    </row>
    <row r="481" spans="1:2" ht="15.75" customHeight="1">
      <c r="A481" s="9" t="s">
        <v>1029</v>
      </c>
      <c r="B481" s="9" t="s">
        <v>1030</v>
      </c>
    </row>
    <row r="482" spans="1:2" ht="15.75" customHeight="1">
      <c r="A482" s="9" t="s">
        <v>1031</v>
      </c>
      <c r="B482" s="9" t="s">
        <v>1032</v>
      </c>
    </row>
    <row r="483" spans="1:2" ht="15.75" customHeight="1">
      <c r="A483" s="9" t="s">
        <v>1033</v>
      </c>
      <c r="B483" s="9" t="s">
        <v>1034</v>
      </c>
    </row>
    <row r="484" spans="1:2" ht="15.75" customHeight="1">
      <c r="A484" s="9" t="s">
        <v>1035</v>
      </c>
      <c r="B484" s="9" t="s">
        <v>1036</v>
      </c>
    </row>
    <row r="485" spans="1:2" ht="15.75" customHeight="1">
      <c r="A485" s="9" t="s">
        <v>1037</v>
      </c>
      <c r="B485" s="9" t="s">
        <v>1038</v>
      </c>
    </row>
    <row r="486" spans="1:2" ht="15.75" customHeight="1">
      <c r="A486" s="9" t="s">
        <v>1039</v>
      </c>
      <c r="B486" s="9" t="s">
        <v>1040</v>
      </c>
    </row>
    <row r="487" spans="1:2" ht="15.75" customHeight="1">
      <c r="A487" s="9" t="s">
        <v>1041</v>
      </c>
      <c r="B487" s="9" t="s">
        <v>1042</v>
      </c>
    </row>
    <row r="488" spans="1:2" ht="15.75" customHeight="1">
      <c r="A488" s="9" t="s">
        <v>1043</v>
      </c>
      <c r="B488" s="9" t="s">
        <v>1044</v>
      </c>
    </row>
    <row r="489" spans="1:2" ht="15.75" customHeight="1">
      <c r="A489" s="9" t="s">
        <v>1045</v>
      </c>
      <c r="B489" s="9" t="s">
        <v>1046</v>
      </c>
    </row>
    <row r="490" spans="1:2" ht="15.75" customHeight="1">
      <c r="A490" s="9" t="s">
        <v>1047</v>
      </c>
      <c r="B490" s="9" t="s">
        <v>1048</v>
      </c>
    </row>
    <row r="491" spans="1:2" ht="15.75" customHeight="1">
      <c r="A491" s="9" t="s">
        <v>1049</v>
      </c>
      <c r="B491" s="9" t="s">
        <v>1050</v>
      </c>
    </row>
    <row r="492" spans="1:2" ht="15.75" customHeight="1">
      <c r="A492" s="9" t="s">
        <v>1051</v>
      </c>
      <c r="B492" s="9" t="s">
        <v>1052</v>
      </c>
    </row>
    <row r="493" spans="1:2" ht="15.75" customHeight="1">
      <c r="A493" s="9" t="s">
        <v>1053</v>
      </c>
      <c r="B493" s="9" t="s">
        <v>1054</v>
      </c>
    </row>
    <row r="494" spans="1:2" ht="15.75" customHeight="1">
      <c r="A494" s="9" t="s">
        <v>1055</v>
      </c>
      <c r="B494" s="9" t="s">
        <v>1056</v>
      </c>
    </row>
    <row r="495" spans="1:2" ht="15.75" customHeight="1">
      <c r="A495" s="9" t="s">
        <v>1057</v>
      </c>
      <c r="B495" s="9" t="s">
        <v>1058</v>
      </c>
    </row>
    <row r="496" spans="1:2" ht="15.75" customHeight="1">
      <c r="A496" s="9" t="s">
        <v>1059</v>
      </c>
      <c r="B496" s="9" t="s">
        <v>1060</v>
      </c>
    </row>
    <row r="497" spans="1:2" ht="15.75" customHeight="1">
      <c r="A497" s="9" t="s">
        <v>1061</v>
      </c>
      <c r="B497" s="9" t="s">
        <v>1062</v>
      </c>
    </row>
    <row r="498" spans="1:2" ht="15.75" customHeight="1">
      <c r="A498" s="9" t="s">
        <v>1063</v>
      </c>
      <c r="B498" s="9" t="s">
        <v>1064</v>
      </c>
    </row>
    <row r="499" spans="1:2" ht="15.75" customHeight="1">
      <c r="A499" s="9" t="s">
        <v>1065</v>
      </c>
      <c r="B499" s="9" t="s">
        <v>1066</v>
      </c>
    </row>
    <row r="500" spans="1:2" ht="15.75" customHeight="1">
      <c r="A500" s="9" t="s">
        <v>1067</v>
      </c>
      <c r="B500" s="9" t="s">
        <v>1068</v>
      </c>
    </row>
    <row r="501" spans="1:2" ht="15.75" customHeight="1">
      <c r="A501" s="9" t="s">
        <v>1069</v>
      </c>
      <c r="B501" s="9" t="s">
        <v>1070</v>
      </c>
    </row>
    <row r="502" spans="1:2" ht="15.75" customHeight="1">
      <c r="A502" s="9" t="s">
        <v>1071</v>
      </c>
      <c r="B502" s="9" t="s">
        <v>1072</v>
      </c>
    </row>
    <row r="503" spans="1:2" ht="15.75" customHeight="1">
      <c r="A503" s="9" t="s">
        <v>1073</v>
      </c>
      <c r="B503" s="9" t="s">
        <v>1074</v>
      </c>
    </row>
    <row r="504" spans="1:2" ht="15.75" customHeight="1">
      <c r="A504" s="9" t="s">
        <v>1075</v>
      </c>
      <c r="B504" s="9" t="s">
        <v>1076</v>
      </c>
    </row>
    <row r="505" spans="1:2" ht="15.75" customHeight="1">
      <c r="A505" s="9" t="s">
        <v>1077</v>
      </c>
      <c r="B505" s="9" t="s">
        <v>1078</v>
      </c>
    </row>
    <row r="506" spans="1:2" ht="15.75" customHeight="1">
      <c r="A506" s="9" t="s">
        <v>1079</v>
      </c>
      <c r="B506" s="9" t="s">
        <v>1080</v>
      </c>
    </row>
    <row r="507" spans="1:2" ht="15.75" customHeight="1">
      <c r="A507" s="9" t="s">
        <v>1081</v>
      </c>
      <c r="B507" s="9" t="s">
        <v>1082</v>
      </c>
    </row>
    <row r="508" spans="1:2" ht="15.75" customHeight="1">
      <c r="A508" s="9" t="s">
        <v>1083</v>
      </c>
      <c r="B508" s="9" t="s">
        <v>1084</v>
      </c>
    </row>
    <row r="509" spans="1:2" ht="15.75" customHeight="1">
      <c r="A509" s="9" t="s">
        <v>1085</v>
      </c>
      <c r="B509" s="9" t="s">
        <v>1086</v>
      </c>
    </row>
    <row r="510" spans="1:2" ht="15.75" customHeight="1">
      <c r="A510" s="9" t="s">
        <v>1087</v>
      </c>
      <c r="B510" s="9" t="s">
        <v>1088</v>
      </c>
    </row>
    <row r="511" spans="1:2" ht="15.75" customHeight="1">
      <c r="A511" s="9" t="s">
        <v>1089</v>
      </c>
      <c r="B511" s="9" t="s">
        <v>1090</v>
      </c>
    </row>
    <row r="512" spans="1:2" ht="15.75" customHeight="1">
      <c r="A512" s="9" t="s">
        <v>1091</v>
      </c>
      <c r="B512" s="9" t="s">
        <v>1092</v>
      </c>
    </row>
    <row r="513" spans="1:2" ht="15.75" customHeight="1">
      <c r="A513" s="9" t="s">
        <v>1093</v>
      </c>
      <c r="B513" s="9" t="s">
        <v>1094</v>
      </c>
    </row>
    <row r="514" spans="1:2" ht="15.75" customHeight="1">
      <c r="A514" s="9" t="s">
        <v>1095</v>
      </c>
      <c r="B514" s="9" t="s">
        <v>1096</v>
      </c>
    </row>
    <row r="515" spans="1:2" ht="15.75" customHeight="1">
      <c r="A515" s="9" t="s">
        <v>1097</v>
      </c>
      <c r="B515" s="9" t="s">
        <v>1098</v>
      </c>
    </row>
    <row r="516" spans="1:2" ht="15.75" customHeight="1">
      <c r="A516" s="9" t="s">
        <v>1099</v>
      </c>
      <c r="B516" s="9" t="s">
        <v>626</v>
      </c>
    </row>
    <row r="517" spans="1:2" ht="15.75" customHeight="1">
      <c r="A517" s="9" t="s">
        <v>1100</v>
      </c>
      <c r="B517" s="9" t="s">
        <v>1101</v>
      </c>
    </row>
    <row r="518" spans="1:2" ht="15.75" customHeight="1">
      <c r="A518" s="9" t="s">
        <v>1102</v>
      </c>
      <c r="B518" s="9" t="s">
        <v>1103</v>
      </c>
    </row>
    <row r="519" spans="1:2" ht="15.75" customHeight="1">
      <c r="A519" s="9" t="s">
        <v>1104</v>
      </c>
      <c r="B519" s="9" t="s">
        <v>1105</v>
      </c>
    </row>
    <row r="520" spans="1:2" ht="15.75" customHeight="1">
      <c r="A520" s="9" t="s">
        <v>1106</v>
      </c>
      <c r="B520" s="9" t="s">
        <v>1107</v>
      </c>
    </row>
    <row r="521" spans="1:2" ht="15.75" customHeight="1">
      <c r="A521" s="9" t="s">
        <v>1108</v>
      </c>
      <c r="B521" s="9" t="s">
        <v>1109</v>
      </c>
    </row>
    <row r="522" spans="1:2" ht="15.75" customHeight="1">
      <c r="A522" s="9" t="s">
        <v>1110</v>
      </c>
      <c r="B522" s="9" t="s">
        <v>1111</v>
      </c>
    </row>
    <row r="523" spans="1:2" ht="15.75" customHeight="1">
      <c r="A523" s="9" t="s">
        <v>1112</v>
      </c>
      <c r="B523" s="9" t="s">
        <v>1113</v>
      </c>
    </row>
    <row r="524" spans="1:2" ht="15.75" customHeight="1">
      <c r="A524" s="9" t="s">
        <v>1114</v>
      </c>
      <c r="B524" s="9" t="s">
        <v>252</v>
      </c>
    </row>
    <row r="525" spans="1:2" ht="15.75" customHeight="1">
      <c r="A525" s="9" t="s">
        <v>1115</v>
      </c>
      <c r="B525" s="9" t="s">
        <v>1116</v>
      </c>
    </row>
    <row r="526" spans="1:2" ht="15.75" customHeight="1">
      <c r="A526" s="9" t="s">
        <v>1117</v>
      </c>
      <c r="B526" s="9" t="s">
        <v>1118</v>
      </c>
    </row>
    <row r="527" spans="1:2" ht="15.75" customHeight="1">
      <c r="A527" s="9" t="s">
        <v>1119</v>
      </c>
      <c r="B527" s="9" t="s">
        <v>1120</v>
      </c>
    </row>
    <row r="528" spans="1:2" ht="15.75" customHeight="1">
      <c r="A528" s="9" t="s">
        <v>1121</v>
      </c>
      <c r="B528" s="9" t="s">
        <v>1122</v>
      </c>
    </row>
    <row r="529" spans="1:2" ht="15.75" customHeight="1">
      <c r="A529" s="9" t="s">
        <v>1123</v>
      </c>
      <c r="B529" s="9" t="s">
        <v>1124</v>
      </c>
    </row>
    <row r="530" spans="1:2" ht="15.75" customHeight="1">
      <c r="A530" s="9" t="s">
        <v>1125</v>
      </c>
      <c r="B530" s="9" t="s">
        <v>1126</v>
      </c>
    </row>
    <row r="531" spans="1:2" ht="15.75" customHeight="1">
      <c r="A531" s="9" t="s">
        <v>1127</v>
      </c>
      <c r="B531" s="9" t="s">
        <v>1128</v>
      </c>
    </row>
    <row r="532" spans="1:2" ht="15.75" customHeight="1">
      <c r="A532" s="9" t="s">
        <v>1129</v>
      </c>
      <c r="B532" s="9" t="s">
        <v>1130</v>
      </c>
    </row>
    <row r="533" spans="1:2" ht="15.75" customHeight="1">
      <c r="A533" s="9" t="s">
        <v>1131</v>
      </c>
      <c r="B533" s="9" t="s">
        <v>1132</v>
      </c>
    </row>
    <row r="534" spans="1:2" ht="15.75" customHeight="1">
      <c r="A534" s="9" t="s">
        <v>1133</v>
      </c>
      <c r="B534" s="9" t="s">
        <v>1134</v>
      </c>
    </row>
    <row r="535" spans="1:2" ht="15.75" customHeight="1">
      <c r="A535" s="9" t="s">
        <v>1135</v>
      </c>
      <c r="B535" s="9" t="s">
        <v>1136</v>
      </c>
    </row>
    <row r="536" spans="1:2" ht="15.75" customHeight="1">
      <c r="A536" s="9" t="s">
        <v>1137</v>
      </c>
      <c r="B536" s="9" t="s">
        <v>1138</v>
      </c>
    </row>
    <row r="537" spans="1:2" ht="15.75" customHeight="1">
      <c r="A537" s="9" t="s">
        <v>1139</v>
      </c>
      <c r="B537" s="9" t="s">
        <v>244</v>
      </c>
    </row>
    <row r="538" spans="1:2" ht="15.75" customHeight="1">
      <c r="A538" s="9" t="s">
        <v>1140</v>
      </c>
      <c r="B538" s="9" t="s">
        <v>1141</v>
      </c>
    </row>
    <row r="539" spans="1:2" ht="15.75" customHeight="1">
      <c r="A539" s="9" t="s">
        <v>1142</v>
      </c>
      <c r="B539" s="9" t="s">
        <v>1143</v>
      </c>
    </row>
    <row r="540" spans="1:2" ht="15.75" customHeight="1">
      <c r="A540" s="9" t="s">
        <v>1144</v>
      </c>
      <c r="B540" s="9" t="s">
        <v>1145</v>
      </c>
    </row>
    <row r="541" spans="1:2" ht="15.75" customHeight="1">
      <c r="A541" s="9" t="s">
        <v>1146</v>
      </c>
      <c r="B541" s="9" t="s">
        <v>1147</v>
      </c>
    </row>
    <row r="542" spans="1:2" ht="15.75" customHeight="1">
      <c r="A542" s="9" t="s">
        <v>1148</v>
      </c>
      <c r="B542" s="9" t="s">
        <v>1149</v>
      </c>
    </row>
    <row r="543" spans="1:2" ht="15.75" customHeight="1">
      <c r="A543" s="9" t="s">
        <v>1150</v>
      </c>
      <c r="B543" s="9" t="s">
        <v>1151</v>
      </c>
    </row>
    <row r="544" spans="1:2" ht="15.75" customHeight="1">
      <c r="A544" s="9" t="s">
        <v>1152</v>
      </c>
      <c r="B544" s="9" t="s">
        <v>1153</v>
      </c>
    </row>
    <row r="545" spans="1:2" ht="15.75" customHeight="1">
      <c r="A545" s="9" t="s">
        <v>1154</v>
      </c>
      <c r="B545" s="9" t="s">
        <v>1155</v>
      </c>
    </row>
    <row r="546" spans="1:2" ht="15.75" customHeight="1">
      <c r="A546" s="9" t="s">
        <v>1156</v>
      </c>
      <c r="B546" s="9" t="s">
        <v>939</v>
      </c>
    </row>
    <row r="547" spans="1:2" ht="15.75" customHeight="1">
      <c r="A547" s="9" t="s">
        <v>1157</v>
      </c>
      <c r="B547" s="9" t="s">
        <v>1158</v>
      </c>
    </row>
    <row r="548" spans="1:2" ht="15.75" customHeight="1">
      <c r="A548" s="9" t="s">
        <v>1159</v>
      </c>
      <c r="B548" s="9" t="s">
        <v>1160</v>
      </c>
    </row>
    <row r="549" spans="1:2" ht="15.75" customHeight="1">
      <c r="A549" s="9" t="s">
        <v>1161</v>
      </c>
      <c r="B549" s="9" t="s">
        <v>1162</v>
      </c>
    </row>
    <row r="550" spans="1:2" ht="15.75" customHeight="1">
      <c r="A550" s="9" t="s">
        <v>1163</v>
      </c>
      <c r="B550" s="9" t="s">
        <v>254</v>
      </c>
    </row>
    <row r="551" spans="1:2" ht="15.75" customHeight="1">
      <c r="A551" s="9" t="s">
        <v>1164</v>
      </c>
      <c r="B551" s="9" t="s">
        <v>1165</v>
      </c>
    </row>
    <row r="552" spans="1:2" ht="15.75" customHeight="1">
      <c r="A552" s="9" t="s">
        <v>1166</v>
      </c>
      <c r="B552" s="9" t="s">
        <v>1167</v>
      </c>
    </row>
    <row r="553" spans="1:2" ht="15.75" customHeight="1">
      <c r="A553" s="9" t="s">
        <v>1168</v>
      </c>
      <c r="B553" s="9" t="s">
        <v>1169</v>
      </c>
    </row>
    <row r="554" spans="1:2" ht="15.75" customHeight="1">
      <c r="A554" s="9" t="s">
        <v>1170</v>
      </c>
      <c r="B554" s="9" t="s">
        <v>1171</v>
      </c>
    </row>
    <row r="555" spans="1:2" ht="15.75" customHeight="1">
      <c r="A555" s="9" t="s">
        <v>1172</v>
      </c>
      <c r="B555" s="9" t="s">
        <v>1173</v>
      </c>
    </row>
    <row r="556" spans="1:2" ht="15.75" customHeight="1">
      <c r="A556" s="9" t="s">
        <v>1174</v>
      </c>
      <c r="B556" s="9" t="s">
        <v>1175</v>
      </c>
    </row>
    <row r="557" spans="1:2" ht="15.75" customHeight="1">
      <c r="A557" s="9" t="s">
        <v>1176</v>
      </c>
      <c r="B557" s="9" t="s">
        <v>1177</v>
      </c>
    </row>
    <row r="558" spans="1:2" ht="15.75" customHeight="1">
      <c r="A558" s="9" t="s">
        <v>1178</v>
      </c>
      <c r="B558" s="9" t="s">
        <v>1179</v>
      </c>
    </row>
    <row r="559" spans="1:2" ht="15.75" customHeight="1">
      <c r="A559" s="9" t="s">
        <v>1180</v>
      </c>
      <c r="B559" s="9" t="s">
        <v>1181</v>
      </c>
    </row>
    <row r="560" spans="1:2" ht="15.75" customHeight="1">
      <c r="A560" s="9" t="s">
        <v>1182</v>
      </c>
      <c r="B560" s="9" t="s">
        <v>1183</v>
      </c>
    </row>
    <row r="561" spans="1:2" ht="15.75" customHeight="1">
      <c r="A561" s="9" t="s">
        <v>1184</v>
      </c>
      <c r="B561" s="9" t="s">
        <v>1185</v>
      </c>
    </row>
    <row r="562" spans="1:2" ht="15.75" customHeight="1">
      <c r="A562" s="9" t="s">
        <v>1186</v>
      </c>
      <c r="B562" s="9" t="s">
        <v>1187</v>
      </c>
    </row>
    <row r="563" spans="1:2" ht="15.75" customHeight="1">
      <c r="A563" s="9" t="s">
        <v>1188</v>
      </c>
      <c r="B563" s="9" t="s">
        <v>1189</v>
      </c>
    </row>
    <row r="564" spans="1:2" ht="15.75" customHeight="1">
      <c r="A564" s="9" t="s">
        <v>1190</v>
      </c>
      <c r="B564" s="9" t="s">
        <v>1191</v>
      </c>
    </row>
    <row r="565" spans="1:2" ht="15.75" customHeight="1">
      <c r="A565" s="9" t="s">
        <v>1192</v>
      </c>
      <c r="B565" s="9" t="s">
        <v>1193</v>
      </c>
    </row>
    <row r="566" spans="1:2" ht="15.75" customHeight="1">
      <c r="A566" s="9" t="s">
        <v>1194</v>
      </c>
      <c r="B566" s="9" t="s">
        <v>1195</v>
      </c>
    </row>
    <row r="567" spans="1:2" ht="15.75" customHeight="1">
      <c r="A567" s="9" t="s">
        <v>1196</v>
      </c>
      <c r="B567" s="9" t="s">
        <v>1197</v>
      </c>
    </row>
    <row r="568" spans="1:2" ht="15.75" customHeight="1">
      <c r="A568" s="9" t="s">
        <v>1198</v>
      </c>
      <c r="B568" s="9" t="s">
        <v>1199</v>
      </c>
    </row>
    <row r="569" spans="1:2" ht="15.75" customHeight="1">
      <c r="A569" s="9" t="s">
        <v>1200</v>
      </c>
      <c r="B569" s="9" t="s">
        <v>1201</v>
      </c>
    </row>
    <row r="570" spans="1:2" ht="15.75" customHeight="1">
      <c r="A570" s="9" t="s">
        <v>1202</v>
      </c>
      <c r="B570" s="9" t="s">
        <v>1203</v>
      </c>
    </row>
    <row r="571" spans="1:2" ht="15.75" customHeight="1">
      <c r="A571" s="9" t="s">
        <v>1204</v>
      </c>
      <c r="B571" s="9" t="s">
        <v>1205</v>
      </c>
    </row>
    <row r="572" spans="1:2" ht="15.75" customHeight="1">
      <c r="A572" s="9" t="s">
        <v>1206</v>
      </c>
      <c r="B572" s="9" t="s">
        <v>1207</v>
      </c>
    </row>
    <row r="573" spans="1:2" ht="15.75" customHeight="1">
      <c r="A573" s="9" t="s">
        <v>1208</v>
      </c>
      <c r="B573" s="9" t="s">
        <v>1209</v>
      </c>
    </row>
    <row r="574" spans="1:2" ht="15.75" customHeight="1">
      <c r="A574" s="9" t="s">
        <v>1210</v>
      </c>
      <c r="B574" s="9" t="s">
        <v>1211</v>
      </c>
    </row>
    <row r="575" spans="1:2" ht="15.75" customHeight="1">
      <c r="A575" s="9" t="s">
        <v>1212</v>
      </c>
      <c r="B575" s="9" t="s">
        <v>1213</v>
      </c>
    </row>
    <row r="576" spans="1:2" ht="15.75" customHeight="1">
      <c r="A576" s="9" t="s">
        <v>1214</v>
      </c>
      <c r="B576" s="9" t="s">
        <v>1215</v>
      </c>
    </row>
    <row r="577" spans="1:2" ht="15.75" customHeight="1">
      <c r="A577" s="9" t="s">
        <v>1216</v>
      </c>
      <c r="B577" s="9" t="s">
        <v>1217</v>
      </c>
    </row>
    <row r="578" spans="1:2" ht="15.75" customHeight="1">
      <c r="A578" s="9" t="s">
        <v>1218</v>
      </c>
      <c r="B578" s="9" t="s">
        <v>1219</v>
      </c>
    </row>
    <row r="579" spans="1:2" ht="15.75" customHeight="1">
      <c r="A579" s="9" t="s">
        <v>1220</v>
      </c>
      <c r="B579" s="9" t="s">
        <v>1221</v>
      </c>
    </row>
    <row r="580" spans="1:2" ht="15.75" customHeight="1">
      <c r="A580" s="9" t="s">
        <v>1222</v>
      </c>
      <c r="B580" s="9" t="s">
        <v>1223</v>
      </c>
    </row>
    <row r="581" spans="1:2" ht="15.75" customHeight="1">
      <c r="A581" s="9" t="s">
        <v>1224</v>
      </c>
      <c r="B581" s="9" t="s">
        <v>1225</v>
      </c>
    </row>
    <row r="582" spans="1:2" ht="15.75" customHeight="1">
      <c r="A582" s="9" t="s">
        <v>1226</v>
      </c>
      <c r="B582" s="9" t="s">
        <v>1227</v>
      </c>
    </row>
    <row r="583" spans="1:2" ht="15.75" customHeight="1">
      <c r="A583" s="9" t="s">
        <v>1228</v>
      </c>
      <c r="B583" s="9" t="s">
        <v>1229</v>
      </c>
    </row>
    <row r="584" spans="1:2" ht="15.75" customHeight="1">
      <c r="A584" s="9" t="s">
        <v>1230</v>
      </c>
      <c r="B584" s="9" t="s">
        <v>1231</v>
      </c>
    </row>
    <row r="585" spans="1:2" ht="15.75" customHeight="1">
      <c r="A585" s="9" t="s">
        <v>1232</v>
      </c>
      <c r="B585" s="9" t="s">
        <v>1233</v>
      </c>
    </row>
    <row r="586" spans="1:2" ht="15.75" customHeight="1">
      <c r="A586" s="9" t="s">
        <v>1234</v>
      </c>
      <c r="B586" s="9" t="s">
        <v>1235</v>
      </c>
    </row>
    <row r="587" spans="1:2" ht="15.75" customHeight="1">
      <c r="A587" s="9" t="s">
        <v>1236</v>
      </c>
      <c r="B587" s="9" t="s">
        <v>1237</v>
      </c>
    </row>
    <row r="588" spans="1:2" ht="15.75" customHeight="1">
      <c r="A588" s="9" t="s">
        <v>1238</v>
      </c>
      <c r="B588" s="9" t="s">
        <v>1239</v>
      </c>
    </row>
    <row r="589" spans="1:2" ht="15.75" customHeight="1">
      <c r="A589" s="9" t="s">
        <v>1240</v>
      </c>
      <c r="B589" s="9" t="s">
        <v>1241</v>
      </c>
    </row>
    <row r="590" spans="1:2" ht="15.75" customHeight="1">
      <c r="A590" s="9" t="s">
        <v>1242</v>
      </c>
      <c r="B590" s="9" t="s">
        <v>1243</v>
      </c>
    </row>
    <row r="591" spans="1:2" ht="15.75" customHeight="1">
      <c r="A591" s="9" t="s">
        <v>1244</v>
      </c>
      <c r="B591" s="9" t="s">
        <v>1245</v>
      </c>
    </row>
    <row r="592" spans="1:2" ht="15.75" customHeight="1">
      <c r="A592" s="9" t="s">
        <v>1246</v>
      </c>
      <c r="B592" s="9" t="s">
        <v>1247</v>
      </c>
    </row>
    <row r="593" spans="1:2" ht="15.75" customHeight="1">
      <c r="A593" s="9" t="s">
        <v>1248</v>
      </c>
      <c r="B593" s="9" t="s">
        <v>1249</v>
      </c>
    </row>
    <row r="594" spans="1:2" ht="15.75" customHeight="1">
      <c r="A594" s="9" t="s">
        <v>1250</v>
      </c>
      <c r="B594" s="9" t="s">
        <v>1251</v>
      </c>
    </row>
    <row r="595" spans="1:2" ht="15.75" customHeight="1">
      <c r="A595" s="9" t="s">
        <v>1252</v>
      </c>
      <c r="B595" s="9" t="s">
        <v>1253</v>
      </c>
    </row>
    <row r="596" spans="1:2" ht="15.75" customHeight="1">
      <c r="A596" s="9" t="s">
        <v>1254</v>
      </c>
      <c r="B596" s="9" t="s">
        <v>1255</v>
      </c>
    </row>
    <row r="597" spans="1:2" ht="15.75" customHeight="1">
      <c r="A597" s="9" t="s">
        <v>1256</v>
      </c>
      <c r="B597" s="9" t="s">
        <v>1257</v>
      </c>
    </row>
    <row r="598" spans="1:2" ht="15.75" customHeight="1">
      <c r="A598" s="9" t="s">
        <v>1258</v>
      </c>
      <c r="B598" s="9" t="s">
        <v>1259</v>
      </c>
    </row>
    <row r="599" spans="1:2" ht="15.75" customHeight="1">
      <c r="A599" s="9" t="s">
        <v>1260</v>
      </c>
      <c r="B599" s="9" t="s">
        <v>1261</v>
      </c>
    </row>
    <row r="600" spans="1:2" ht="15.75" customHeight="1">
      <c r="A600" s="9" t="s">
        <v>1262</v>
      </c>
      <c r="B600" s="9" t="s">
        <v>1263</v>
      </c>
    </row>
    <row r="601" spans="1:2" ht="15.75" customHeight="1">
      <c r="A601" s="9" t="s">
        <v>1264</v>
      </c>
      <c r="B601" s="9" t="s">
        <v>1265</v>
      </c>
    </row>
    <row r="602" spans="1:2" ht="15.75" customHeight="1">
      <c r="A602" s="9" t="s">
        <v>1266</v>
      </c>
      <c r="B602" s="9" t="s">
        <v>1267</v>
      </c>
    </row>
    <row r="603" spans="1:2" ht="15.75" customHeight="1">
      <c r="A603" s="9" t="s">
        <v>1268</v>
      </c>
      <c r="B603" s="9" t="s">
        <v>1269</v>
      </c>
    </row>
    <row r="604" spans="1:2" ht="15.75" customHeight="1">
      <c r="A604" s="9" t="s">
        <v>1270</v>
      </c>
      <c r="B604" s="9" t="s">
        <v>1271</v>
      </c>
    </row>
    <row r="605" spans="1:2" ht="15.75" customHeight="1">
      <c r="A605" s="9" t="s">
        <v>1272</v>
      </c>
      <c r="B605" s="9" t="s">
        <v>1273</v>
      </c>
    </row>
    <row r="606" spans="1:2" ht="15.75" customHeight="1">
      <c r="A606" s="9" t="s">
        <v>1274</v>
      </c>
      <c r="B606" s="9" t="s">
        <v>1275</v>
      </c>
    </row>
    <row r="607" spans="1:2" ht="15.75" customHeight="1">
      <c r="A607" s="9" t="s">
        <v>1276</v>
      </c>
      <c r="B607" s="9" t="s">
        <v>1277</v>
      </c>
    </row>
    <row r="608" spans="1:2" ht="15.75" customHeight="1">
      <c r="A608" s="9" t="s">
        <v>1278</v>
      </c>
      <c r="B608" s="9" t="s">
        <v>1279</v>
      </c>
    </row>
    <row r="609" spans="1:2" ht="15.75" customHeight="1">
      <c r="A609" s="9" t="s">
        <v>1280</v>
      </c>
      <c r="B609" s="9" t="s">
        <v>1281</v>
      </c>
    </row>
    <row r="610" spans="1:2" ht="15.75" customHeight="1">
      <c r="A610" s="9" t="s">
        <v>1282</v>
      </c>
      <c r="B610" s="9" t="s">
        <v>1283</v>
      </c>
    </row>
    <row r="611" spans="1:2" ht="15.75" customHeight="1">
      <c r="A611" s="9" t="s">
        <v>1284</v>
      </c>
      <c r="B611" s="9" t="s">
        <v>1285</v>
      </c>
    </row>
    <row r="612" spans="1:2" ht="15.75" customHeight="1">
      <c r="A612" s="9" t="s">
        <v>1286</v>
      </c>
      <c r="B612" s="9" t="s">
        <v>1287</v>
      </c>
    </row>
    <row r="613" spans="1:2" ht="15.75" customHeight="1">
      <c r="A613" s="9" t="s">
        <v>1288</v>
      </c>
      <c r="B613" s="9" t="s">
        <v>1289</v>
      </c>
    </row>
    <row r="614" spans="1:2" ht="15.75" customHeight="1">
      <c r="A614" s="9" t="s">
        <v>1290</v>
      </c>
      <c r="B614" s="9" t="s">
        <v>1291</v>
      </c>
    </row>
    <row r="615" spans="1:2" ht="15.75" customHeight="1">
      <c r="A615" s="9" t="s">
        <v>1292</v>
      </c>
      <c r="B615" s="9" t="s">
        <v>232</v>
      </c>
    </row>
    <row r="616" spans="1:2" ht="15.75" customHeight="1">
      <c r="A616" s="9" t="s">
        <v>1293</v>
      </c>
      <c r="B616" s="9" t="s">
        <v>1294</v>
      </c>
    </row>
    <row r="617" spans="1:2" ht="15.75" customHeight="1">
      <c r="A617" s="9" t="s">
        <v>1295</v>
      </c>
      <c r="B617" s="9" t="s">
        <v>1296</v>
      </c>
    </row>
    <row r="618" spans="1:2" ht="15.75" customHeight="1">
      <c r="A618" s="9" t="s">
        <v>1297</v>
      </c>
      <c r="B618" s="9" t="s">
        <v>1298</v>
      </c>
    </row>
    <row r="619" spans="1:2" ht="15.75" customHeight="1">
      <c r="A619" s="9" t="s">
        <v>1299</v>
      </c>
      <c r="B619" s="9" t="s">
        <v>1300</v>
      </c>
    </row>
    <row r="620" spans="1:2" ht="15.75" customHeight="1">
      <c r="A620" s="9" t="s">
        <v>1301</v>
      </c>
      <c r="B620" s="9" t="s">
        <v>1302</v>
      </c>
    </row>
    <row r="621" spans="1:2" ht="15.75" customHeight="1">
      <c r="A621" s="9" t="s">
        <v>1303</v>
      </c>
      <c r="B621" s="9" t="s">
        <v>312</v>
      </c>
    </row>
    <row r="622" spans="1:2" ht="15.75" customHeight="1">
      <c r="A622" s="9" t="s">
        <v>1304</v>
      </c>
      <c r="B622" s="9" t="s">
        <v>1305</v>
      </c>
    </row>
    <row r="623" spans="1:2" ht="15.75" customHeight="1">
      <c r="A623" s="9" t="s">
        <v>1306</v>
      </c>
      <c r="B623" s="9" t="s">
        <v>1307</v>
      </c>
    </row>
    <row r="624" spans="1:2" ht="15.75" customHeight="1">
      <c r="A624" s="9" t="s">
        <v>1308</v>
      </c>
      <c r="B624" s="9" t="s">
        <v>1309</v>
      </c>
    </row>
    <row r="625" spans="1:2" ht="15.75" customHeight="1">
      <c r="A625" s="9" t="s">
        <v>1310</v>
      </c>
      <c r="B625" s="9" t="s">
        <v>1311</v>
      </c>
    </row>
    <row r="626" spans="1:2" ht="15.75" customHeight="1">
      <c r="A626" s="9" t="s">
        <v>1312</v>
      </c>
      <c r="B626" s="9" t="s">
        <v>1313</v>
      </c>
    </row>
    <row r="627" spans="1:2" ht="15.75" customHeight="1">
      <c r="A627" s="9" t="s">
        <v>1314</v>
      </c>
      <c r="B627" s="9" t="s">
        <v>1315</v>
      </c>
    </row>
    <row r="628" spans="1:2" ht="15.75" customHeight="1">
      <c r="A628" s="9" t="s">
        <v>1316</v>
      </c>
      <c r="B628" s="9" t="s">
        <v>1317</v>
      </c>
    </row>
    <row r="629" spans="1:2" ht="15.75" customHeight="1">
      <c r="A629" s="9" t="s">
        <v>1318</v>
      </c>
      <c r="B629" s="9" t="s">
        <v>1319</v>
      </c>
    </row>
    <row r="630" spans="1:2" ht="15.75" customHeight="1">
      <c r="A630" s="9" t="s">
        <v>1320</v>
      </c>
      <c r="B630" s="9" t="s">
        <v>1321</v>
      </c>
    </row>
    <row r="631" spans="1:2" ht="15.75" customHeight="1">
      <c r="A631" s="9" t="s">
        <v>1322</v>
      </c>
      <c r="B631" s="9" t="s">
        <v>1323</v>
      </c>
    </row>
    <row r="632" spans="1:2" ht="15.75" customHeight="1">
      <c r="A632" s="9" t="s">
        <v>1324</v>
      </c>
      <c r="B632" s="9" t="s">
        <v>1325</v>
      </c>
    </row>
    <row r="633" spans="1:2" ht="15.75" customHeight="1">
      <c r="A633" s="9" t="s">
        <v>1326</v>
      </c>
      <c r="B633" s="9" t="s">
        <v>1327</v>
      </c>
    </row>
    <row r="634" spans="1:2" ht="15.75" customHeight="1">
      <c r="A634" s="9" t="s">
        <v>1328</v>
      </c>
      <c r="B634" s="9" t="s">
        <v>1329</v>
      </c>
    </row>
    <row r="635" spans="1:2" ht="15.75" customHeight="1">
      <c r="A635" s="9" t="s">
        <v>1330</v>
      </c>
      <c r="B635" s="9" t="s">
        <v>1331</v>
      </c>
    </row>
    <row r="636" spans="1:2" ht="15.75" customHeight="1">
      <c r="A636" s="9" t="s">
        <v>1332</v>
      </c>
      <c r="B636" s="9" t="s">
        <v>1333</v>
      </c>
    </row>
    <row r="637" spans="1:2" ht="15.75" customHeight="1">
      <c r="A637" s="9" t="s">
        <v>1334</v>
      </c>
      <c r="B637" s="9" t="s">
        <v>1335</v>
      </c>
    </row>
    <row r="638" spans="1:2" ht="15.75" customHeight="1">
      <c r="A638" s="9" t="s">
        <v>1336</v>
      </c>
      <c r="B638" s="9" t="s">
        <v>1337</v>
      </c>
    </row>
    <row r="639" spans="1:2" ht="15.75" customHeight="1">
      <c r="A639" s="9" t="s">
        <v>1338</v>
      </c>
      <c r="B639" s="9" t="s">
        <v>1339</v>
      </c>
    </row>
    <row r="640" spans="1:2" ht="15.75" customHeight="1">
      <c r="A640" s="9" t="s">
        <v>1340</v>
      </c>
      <c r="B640" s="9" t="s">
        <v>1341</v>
      </c>
    </row>
    <row r="641" spans="1:2" ht="15.75" customHeight="1">
      <c r="A641" s="9" t="s">
        <v>1342</v>
      </c>
      <c r="B641" s="9" t="s">
        <v>1343</v>
      </c>
    </row>
    <row r="642" spans="1:2" ht="15.75" customHeight="1">
      <c r="A642" s="9" t="s">
        <v>1344</v>
      </c>
      <c r="B642" s="9" t="s">
        <v>1345</v>
      </c>
    </row>
    <row r="643" spans="1:2" ht="15.75" customHeight="1">
      <c r="A643" s="9" t="s">
        <v>1346</v>
      </c>
      <c r="B643" s="9" t="s">
        <v>1347</v>
      </c>
    </row>
    <row r="644" spans="1:2" ht="15.75" customHeight="1">
      <c r="A644" s="9" t="s">
        <v>1348</v>
      </c>
      <c r="B644" s="9" t="s">
        <v>1349</v>
      </c>
    </row>
    <row r="645" spans="1:2" ht="15.75" customHeight="1">
      <c r="A645" s="9" t="s">
        <v>1350</v>
      </c>
      <c r="B645" s="9" t="s">
        <v>1351</v>
      </c>
    </row>
    <row r="646" spans="1:2" ht="15.75" customHeight="1">
      <c r="A646" s="9" t="s">
        <v>1352</v>
      </c>
      <c r="B646" s="9" t="s">
        <v>1353</v>
      </c>
    </row>
    <row r="647" spans="1:2" ht="15.75" customHeight="1">
      <c r="A647" s="9" t="s">
        <v>1354</v>
      </c>
      <c r="B647" s="9" t="s">
        <v>1355</v>
      </c>
    </row>
    <row r="648" spans="1:2" ht="15.75" customHeight="1">
      <c r="A648" s="9" t="s">
        <v>1356</v>
      </c>
      <c r="B648" s="9" t="s">
        <v>1357</v>
      </c>
    </row>
    <row r="649" spans="1:2" ht="15.75" customHeight="1">
      <c r="A649" s="9" t="s">
        <v>1358</v>
      </c>
      <c r="B649" s="9" t="s">
        <v>380</v>
      </c>
    </row>
    <row r="650" spans="1:2" ht="15.75" customHeight="1">
      <c r="A650" s="9" t="s">
        <v>1359</v>
      </c>
      <c r="B650" s="9" t="s">
        <v>1360</v>
      </c>
    </row>
    <row r="651" spans="1:2" ht="15.75" customHeight="1">
      <c r="A651" s="9" t="s">
        <v>1361</v>
      </c>
      <c r="B651" s="9" t="s">
        <v>437</v>
      </c>
    </row>
    <row r="652" spans="1:2" ht="15.75" customHeight="1">
      <c r="A652" s="9" t="s">
        <v>1362</v>
      </c>
      <c r="B652" s="9" t="s">
        <v>1363</v>
      </c>
    </row>
    <row r="653" spans="1:2" ht="15.75" customHeight="1">
      <c r="A653" s="9" t="s">
        <v>1364</v>
      </c>
      <c r="B653" s="9" t="s">
        <v>567</v>
      </c>
    </row>
    <row r="654" spans="1:2" ht="15.75" customHeight="1">
      <c r="A654" s="9" t="s">
        <v>1365</v>
      </c>
      <c r="B654" s="9" t="s">
        <v>1366</v>
      </c>
    </row>
    <row r="655" spans="1:2" ht="15.75" customHeight="1">
      <c r="A655" s="9" t="s">
        <v>1367</v>
      </c>
      <c r="B655" s="9" t="s">
        <v>1368</v>
      </c>
    </row>
    <row r="656" spans="1:2" ht="15.75" customHeight="1">
      <c r="A656" s="9" t="s">
        <v>1369</v>
      </c>
      <c r="B656" s="9" t="s">
        <v>1370</v>
      </c>
    </row>
    <row r="657" spans="1:2" ht="15.75" customHeight="1">
      <c r="A657" s="9" t="s">
        <v>1371</v>
      </c>
      <c r="B657" s="9" t="s">
        <v>1372</v>
      </c>
    </row>
    <row r="658" spans="1:2" ht="15.75" customHeight="1">
      <c r="A658" s="9" t="s">
        <v>1373</v>
      </c>
      <c r="B658" s="9" t="s">
        <v>1374</v>
      </c>
    </row>
    <row r="659" spans="1:2" ht="15.75" customHeight="1">
      <c r="A659" s="9" t="s">
        <v>1375</v>
      </c>
      <c r="B659" s="9" t="s">
        <v>166</v>
      </c>
    </row>
    <row r="660" spans="1:2" ht="15.75" customHeight="1">
      <c r="A660" s="9" t="s">
        <v>1376</v>
      </c>
      <c r="B660" s="9" t="s">
        <v>1377</v>
      </c>
    </row>
    <row r="661" spans="1:2" ht="15.75" customHeight="1">
      <c r="A661" s="9" t="s">
        <v>1378</v>
      </c>
      <c r="B661" s="9" t="s">
        <v>1379</v>
      </c>
    </row>
    <row r="662" spans="1:2" ht="15.75" customHeight="1">
      <c r="A662" s="9" t="s">
        <v>1380</v>
      </c>
      <c r="B662" s="9" t="s">
        <v>1381</v>
      </c>
    </row>
    <row r="663" spans="1:2" ht="15.75" customHeight="1">
      <c r="A663" s="9" t="s">
        <v>1382</v>
      </c>
      <c r="B663" s="9" t="s">
        <v>1383</v>
      </c>
    </row>
    <row r="664" spans="1:2" ht="15.75" customHeight="1">
      <c r="A664" s="9" t="s">
        <v>1384</v>
      </c>
      <c r="B664" s="9" t="s">
        <v>1385</v>
      </c>
    </row>
    <row r="665" spans="1:2" ht="15.75" customHeight="1">
      <c r="A665" s="9" t="s">
        <v>1386</v>
      </c>
      <c r="B665" s="9" t="s">
        <v>1387</v>
      </c>
    </row>
    <row r="666" spans="1:2" ht="15.75" customHeight="1">
      <c r="A666" s="9" t="s">
        <v>1388</v>
      </c>
      <c r="B666" s="9" t="s">
        <v>1389</v>
      </c>
    </row>
    <row r="667" spans="1:2" ht="15.75" customHeight="1">
      <c r="A667" s="9" t="s">
        <v>1390</v>
      </c>
      <c r="B667" s="9" t="s">
        <v>1391</v>
      </c>
    </row>
    <row r="668" spans="1:2" ht="15.75" customHeight="1">
      <c r="A668" s="9" t="s">
        <v>1392</v>
      </c>
      <c r="B668" s="9" t="s">
        <v>1393</v>
      </c>
    </row>
    <row r="669" spans="1:2" ht="15.75" customHeight="1">
      <c r="A669" s="9" t="s">
        <v>1394</v>
      </c>
      <c r="B669" s="9" t="s">
        <v>1395</v>
      </c>
    </row>
    <row r="670" spans="1:2" ht="15.75" customHeight="1">
      <c r="A670" s="9" t="s">
        <v>1396</v>
      </c>
      <c r="B670" s="9" t="s">
        <v>1397</v>
      </c>
    </row>
    <row r="671" spans="1:2" ht="15.75" customHeight="1">
      <c r="A671" s="9" t="s">
        <v>1398</v>
      </c>
      <c r="B671" s="9" t="s">
        <v>1399</v>
      </c>
    </row>
    <row r="672" spans="1:2" ht="15.75" customHeight="1">
      <c r="A672" s="9" t="s">
        <v>1400</v>
      </c>
      <c r="B672" s="9" t="s">
        <v>1401</v>
      </c>
    </row>
    <row r="673" spans="1:2" ht="15.75" customHeight="1">
      <c r="A673" s="9" t="s">
        <v>1402</v>
      </c>
      <c r="B673" s="9" t="s">
        <v>605</v>
      </c>
    </row>
    <row r="674" spans="1:2" ht="15.75" customHeight="1">
      <c r="A674" s="9" t="s">
        <v>1403</v>
      </c>
      <c r="B674" s="9" t="s">
        <v>1404</v>
      </c>
    </row>
    <row r="675" spans="1:2" ht="15.75" customHeight="1">
      <c r="A675" s="9" t="s">
        <v>1405</v>
      </c>
      <c r="B675" s="9" t="s">
        <v>1406</v>
      </c>
    </row>
    <row r="676" spans="1:2" ht="15.75" customHeight="1">
      <c r="A676" s="9" t="s">
        <v>1407</v>
      </c>
      <c r="B676" s="9" t="s">
        <v>1408</v>
      </c>
    </row>
    <row r="677" spans="1:2" ht="15.75" customHeight="1">
      <c r="A677" s="9" t="s">
        <v>1409</v>
      </c>
      <c r="B677" s="9" t="s">
        <v>1410</v>
      </c>
    </row>
    <row r="678" spans="1:2" ht="15.75" customHeight="1">
      <c r="A678" s="9" t="s">
        <v>1411</v>
      </c>
      <c r="B678" s="9" t="s">
        <v>1412</v>
      </c>
    </row>
    <row r="679" spans="1:2" ht="15.75" customHeight="1">
      <c r="A679" s="9" t="s">
        <v>1413</v>
      </c>
      <c r="B679" s="9" t="s">
        <v>1414</v>
      </c>
    </row>
    <row r="680" spans="1:2" ht="15.75" customHeight="1">
      <c r="A680" s="9" t="s">
        <v>1415</v>
      </c>
      <c r="B680" s="9" t="s">
        <v>1416</v>
      </c>
    </row>
    <row r="681" spans="1:2" ht="15.75" customHeight="1">
      <c r="A681" s="9" t="s">
        <v>1417</v>
      </c>
      <c r="B681" s="9" t="s">
        <v>1418</v>
      </c>
    </row>
    <row r="682" spans="1:2" ht="15.75" customHeight="1">
      <c r="A682" s="9" t="s">
        <v>1419</v>
      </c>
      <c r="B682" s="9" t="s">
        <v>1420</v>
      </c>
    </row>
    <row r="683" spans="1:2" ht="15.75" customHeight="1">
      <c r="A683" s="9" t="s">
        <v>1421</v>
      </c>
      <c r="B683" s="9" t="s">
        <v>1422</v>
      </c>
    </row>
    <row r="684" spans="1:2" ht="15.75" customHeight="1">
      <c r="A684" s="9" t="s">
        <v>1423</v>
      </c>
      <c r="B684" s="9" t="s">
        <v>1424</v>
      </c>
    </row>
    <row r="685" spans="1:2" ht="15.75" customHeight="1">
      <c r="A685" s="9" t="s">
        <v>1425</v>
      </c>
      <c r="B685" s="9" t="s">
        <v>1426</v>
      </c>
    </row>
    <row r="686" spans="1:2" ht="15.75" customHeight="1">
      <c r="A686" s="9" t="s">
        <v>1427</v>
      </c>
      <c r="B686" s="9" t="s">
        <v>1428</v>
      </c>
    </row>
    <row r="687" spans="1:2" ht="15.75" customHeight="1">
      <c r="A687" s="9" t="s">
        <v>1429</v>
      </c>
      <c r="B687" s="9" t="s">
        <v>787</v>
      </c>
    </row>
    <row r="688" spans="1:2" ht="15.75" customHeight="1">
      <c r="A688" s="9" t="s">
        <v>1430</v>
      </c>
      <c r="B688" s="9" t="s">
        <v>1431</v>
      </c>
    </row>
    <row r="689" spans="1:2" ht="15.75" customHeight="1">
      <c r="A689" s="9" t="s">
        <v>1432</v>
      </c>
      <c r="B689" s="9" t="s">
        <v>1433</v>
      </c>
    </row>
    <row r="690" spans="1:2" ht="15.75" customHeight="1">
      <c r="A690" s="9" t="s">
        <v>1434</v>
      </c>
      <c r="B690" s="9" t="s">
        <v>1435</v>
      </c>
    </row>
    <row r="691" spans="1:2" ht="15.75" customHeight="1">
      <c r="A691" s="9" t="s">
        <v>1436</v>
      </c>
      <c r="B691" s="9" t="s">
        <v>1437</v>
      </c>
    </row>
    <row r="692" spans="1:2" ht="15.75" customHeight="1">
      <c r="A692" s="9" t="s">
        <v>1438</v>
      </c>
      <c r="B692" s="9" t="s">
        <v>807</v>
      </c>
    </row>
    <row r="693" spans="1:2" ht="15.75" customHeight="1">
      <c r="A693" s="9" t="s">
        <v>1439</v>
      </c>
      <c r="B693" s="9" t="s">
        <v>1440</v>
      </c>
    </row>
    <row r="694" spans="1:2" ht="15.75" customHeight="1">
      <c r="A694" s="9" t="s">
        <v>1441</v>
      </c>
      <c r="B694" s="9" t="s">
        <v>1442</v>
      </c>
    </row>
    <row r="695" spans="1:2" ht="15.75" customHeight="1">
      <c r="A695" s="9" t="s">
        <v>1443</v>
      </c>
      <c r="B695" s="9" t="s">
        <v>979</v>
      </c>
    </row>
    <row r="696" spans="1:2" ht="15.75" customHeight="1">
      <c r="A696" s="9" t="s">
        <v>1444</v>
      </c>
      <c r="B696" s="9" t="s">
        <v>1445</v>
      </c>
    </row>
    <row r="697" spans="1:2" ht="15.75" customHeight="1">
      <c r="A697" s="9" t="s">
        <v>1446</v>
      </c>
      <c r="B697" s="9" t="s">
        <v>1447</v>
      </c>
    </row>
    <row r="698" spans="1:2" ht="15.75" customHeight="1">
      <c r="A698" s="9" t="s">
        <v>1448</v>
      </c>
      <c r="B698" s="9" t="s">
        <v>1449</v>
      </c>
    </row>
    <row r="699" spans="1:2" ht="15.75" customHeight="1">
      <c r="A699" s="9" t="s">
        <v>1450</v>
      </c>
      <c r="B699" s="9" t="s">
        <v>1451</v>
      </c>
    </row>
    <row r="700" spans="1:2" ht="15.75" customHeight="1">
      <c r="A700" s="9" t="s">
        <v>1452</v>
      </c>
      <c r="B700" s="9" t="s">
        <v>1453</v>
      </c>
    </row>
    <row r="701" spans="1:2" ht="15.75" customHeight="1">
      <c r="A701" s="9" t="s">
        <v>1454</v>
      </c>
      <c r="B701" s="9" t="s">
        <v>1455</v>
      </c>
    </row>
    <row r="702" spans="1:2" ht="15.75" customHeight="1">
      <c r="A702" s="9" t="s">
        <v>1456</v>
      </c>
      <c r="B702" s="9" t="s">
        <v>1457</v>
      </c>
    </row>
    <row r="703" spans="1:2" ht="15.75" customHeight="1">
      <c r="A703" s="9" t="s">
        <v>1458</v>
      </c>
      <c r="B703" s="9" t="s">
        <v>1459</v>
      </c>
    </row>
    <row r="704" spans="1:2" ht="15.75" customHeight="1">
      <c r="A704" s="9" t="s">
        <v>1460</v>
      </c>
      <c r="B704" s="9" t="s">
        <v>1461</v>
      </c>
    </row>
    <row r="705" spans="1:2" ht="15.75" customHeight="1">
      <c r="A705" s="9" t="s">
        <v>1462</v>
      </c>
      <c r="B705" s="9" t="s">
        <v>1463</v>
      </c>
    </row>
    <row r="706" spans="1:2" ht="15.75" customHeight="1">
      <c r="A706" s="9" t="s">
        <v>1464</v>
      </c>
      <c r="B706" s="9" t="s">
        <v>459</v>
      </c>
    </row>
    <row r="707" spans="1:2" ht="15.75" customHeight="1">
      <c r="A707" s="9" t="s">
        <v>1465</v>
      </c>
      <c r="B707" s="9" t="s">
        <v>1466</v>
      </c>
    </row>
    <row r="708" spans="1:2" ht="15.75" customHeight="1">
      <c r="A708" s="9" t="s">
        <v>1467</v>
      </c>
      <c r="B708" s="9" t="s">
        <v>1468</v>
      </c>
    </row>
    <row r="709" spans="1:2" ht="15.75" customHeight="1">
      <c r="A709" s="9" t="s">
        <v>1469</v>
      </c>
      <c r="B709" s="9" t="s">
        <v>1470</v>
      </c>
    </row>
    <row r="710" spans="1:2" ht="15.75" customHeight="1">
      <c r="A710" s="9" t="s">
        <v>1471</v>
      </c>
      <c r="B710" s="9" t="s">
        <v>1472</v>
      </c>
    </row>
    <row r="711" spans="1:2" ht="15.75" customHeight="1">
      <c r="A711" s="9" t="s">
        <v>1473</v>
      </c>
      <c r="B711" s="9" t="s">
        <v>1474</v>
      </c>
    </row>
    <row r="712" spans="1:2" ht="15.75" customHeight="1">
      <c r="A712" s="9" t="s">
        <v>1475</v>
      </c>
      <c r="B712" s="9" t="s">
        <v>1476</v>
      </c>
    </row>
    <row r="713" spans="1:2" ht="15.75" customHeight="1">
      <c r="A713" s="9" t="s">
        <v>1477</v>
      </c>
      <c r="B713" s="9" t="s">
        <v>1478</v>
      </c>
    </row>
    <row r="714" spans="1:2" ht="15.75" customHeight="1">
      <c r="A714" s="9" t="s">
        <v>1479</v>
      </c>
      <c r="B714" s="9" t="s">
        <v>1480</v>
      </c>
    </row>
    <row r="715" spans="1:2" ht="15.75" customHeight="1">
      <c r="A715" s="9" t="s">
        <v>1481</v>
      </c>
      <c r="B715" s="9" t="s">
        <v>1482</v>
      </c>
    </row>
    <row r="716" spans="1:2" ht="15.75" customHeight="1">
      <c r="A716" s="9" t="s">
        <v>1483</v>
      </c>
      <c r="B716" s="9" t="s">
        <v>1484</v>
      </c>
    </row>
    <row r="717" spans="1:2" ht="15.75" customHeight="1">
      <c r="A717" s="9" t="s">
        <v>1485</v>
      </c>
      <c r="B717" s="9" t="s">
        <v>1486</v>
      </c>
    </row>
    <row r="718" spans="1:2" ht="15.75" customHeight="1">
      <c r="A718" s="9" t="s">
        <v>1487</v>
      </c>
      <c r="B718" s="9" t="s">
        <v>1488</v>
      </c>
    </row>
    <row r="719" spans="1:2" ht="15.75" customHeight="1">
      <c r="A719" s="9" t="s">
        <v>1489</v>
      </c>
      <c r="B719" s="9" t="s">
        <v>1490</v>
      </c>
    </row>
    <row r="720" spans="1:2" ht="15.75" customHeight="1">
      <c r="A720" s="9" t="s">
        <v>1491</v>
      </c>
      <c r="B720" s="9" t="s">
        <v>1492</v>
      </c>
    </row>
    <row r="721" spans="1:2" ht="15.75" customHeight="1">
      <c r="A721" s="9" t="s">
        <v>1493</v>
      </c>
      <c r="B721" s="9" t="s">
        <v>282</v>
      </c>
    </row>
    <row r="722" spans="1:2" ht="15.75" customHeight="1">
      <c r="A722" s="9" t="s">
        <v>1494</v>
      </c>
      <c r="B722" s="9" t="s">
        <v>1495</v>
      </c>
    </row>
    <row r="723" spans="1:2" ht="15.75" customHeight="1">
      <c r="A723" s="9" t="s">
        <v>1496</v>
      </c>
      <c r="B723" s="9" t="s">
        <v>1497</v>
      </c>
    </row>
    <row r="724" spans="1:2" ht="15.75" customHeight="1">
      <c r="A724" s="9" t="s">
        <v>1498</v>
      </c>
      <c r="B724" s="9" t="s">
        <v>1499</v>
      </c>
    </row>
    <row r="725" spans="1:2" ht="15.75" customHeight="1">
      <c r="A725" s="9" t="s">
        <v>1500</v>
      </c>
      <c r="B725" s="9" t="s">
        <v>1501</v>
      </c>
    </row>
    <row r="726" spans="1:2" ht="15.75" customHeight="1">
      <c r="A726" s="9" t="s">
        <v>1502</v>
      </c>
      <c r="B726" s="9" t="s">
        <v>797</v>
      </c>
    </row>
    <row r="727" spans="1:2" ht="15.75" customHeight="1">
      <c r="A727" s="9" t="s">
        <v>1503</v>
      </c>
      <c r="B727" s="9" t="s">
        <v>1504</v>
      </c>
    </row>
    <row r="728" spans="1:2" ht="15.75" customHeight="1">
      <c r="A728" s="9" t="s">
        <v>1505</v>
      </c>
      <c r="B728" s="9" t="s">
        <v>1506</v>
      </c>
    </row>
    <row r="729" spans="1:2" ht="15.75" customHeight="1">
      <c r="A729" s="9" t="s">
        <v>1507</v>
      </c>
      <c r="B729" s="9" t="s">
        <v>1508</v>
      </c>
    </row>
    <row r="730" spans="1:2" ht="15.75" customHeight="1">
      <c r="A730" s="9" t="s">
        <v>1509</v>
      </c>
      <c r="B730" s="9" t="s">
        <v>1510</v>
      </c>
    </row>
    <row r="731" spans="1:2" ht="15.75" customHeight="1">
      <c r="A731" s="9" t="s">
        <v>1511</v>
      </c>
      <c r="B731" s="9" t="s">
        <v>1512</v>
      </c>
    </row>
    <row r="732" spans="1:2" ht="15.75" customHeight="1">
      <c r="A732" s="9" t="s">
        <v>1513</v>
      </c>
      <c r="B732" s="9" t="s">
        <v>1514</v>
      </c>
    </row>
    <row r="733" spans="1:2" ht="15.75" customHeight="1">
      <c r="A733" s="9" t="s">
        <v>1515</v>
      </c>
      <c r="B733" s="9" t="s">
        <v>1516</v>
      </c>
    </row>
    <row r="734" spans="1:2" ht="15.75" customHeight="1">
      <c r="A734" s="9" t="s">
        <v>1517</v>
      </c>
      <c r="B734" s="9" t="s">
        <v>1518</v>
      </c>
    </row>
    <row r="735" spans="1:2" ht="15.75" customHeight="1">
      <c r="A735" s="9" t="s">
        <v>1519</v>
      </c>
      <c r="B735" s="9" t="s">
        <v>1520</v>
      </c>
    </row>
    <row r="736" spans="1:2" ht="15.75" customHeight="1">
      <c r="A736" s="9" t="s">
        <v>1521</v>
      </c>
      <c r="B736" s="9" t="s">
        <v>1522</v>
      </c>
    </row>
    <row r="737" spans="1:2" ht="15.75" customHeight="1">
      <c r="A737" s="9" t="s">
        <v>1523</v>
      </c>
      <c r="B737" s="9" t="s">
        <v>1524</v>
      </c>
    </row>
    <row r="738" spans="1:2" ht="15.75" customHeight="1">
      <c r="A738" s="9" t="s">
        <v>1525</v>
      </c>
      <c r="B738" s="9" t="s">
        <v>1526</v>
      </c>
    </row>
    <row r="739" spans="1:2" ht="15.75" customHeight="1">
      <c r="A739" s="9" t="s">
        <v>1527</v>
      </c>
      <c r="B739" s="9" t="s">
        <v>1528</v>
      </c>
    </row>
    <row r="740" spans="1:2" ht="15.75" customHeight="1">
      <c r="A740" s="9" t="s">
        <v>1529</v>
      </c>
      <c r="B740" s="9" t="s">
        <v>232</v>
      </c>
    </row>
    <row r="741" spans="1:2" ht="15.75" customHeight="1">
      <c r="A741" s="9" t="s">
        <v>1530</v>
      </c>
      <c r="B741" s="9" t="s">
        <v>1531</v>
      </c>
    </row>
    <row r="742" spans="1:2" ht="15.75" customHeight="1">
      <c r="A742" s="9" t="s">
        <v>1532</v>
      </c>
      <c r="B742" s="9" t="s">
        <v>1533</v>
      </c>
    </row>
    <row r="743" spans="1:2" ht="15.75" customHeight="1">
      <c r="A743" s="9" t="s">
        <v>1534</v>
      </c>
      <c r="B743" s="9" t="s">
        <v>1535</v>
      </c>
    </row>
    <row r="744" spans="1:2" ht="15.75" customHeight="1">
      <c r="A744" s="9" t="s">
        <v>1536</v>
      </c>
      <c r="B744" s="9" t="s">
        <v>1353</v>
      </c>
    </row>
    <row r="745" spans="1:2" ht="15.75" customHeight="1">
      <c r="A745" s="9" t="s">
        <v>1537</v>
      </c>
      <c r="B745" s="9" t="s">
        <v>1538</v>
      </c>
    </row>
    <row r="746" spans="1:2" ht="15.75" customHeight="1">
      <c r="A746" s="9" t="s">
        <v>1539</v>
      </c>
      <c r="B746" s="9" t="s">
        <v>1540</v>
      </c>
    </row>
    <row r="747" spans="1:2" ht="15.75" customHeight="1">
      <c r="A747" s="9" t="s">
        <v>1541</v>
      </c>
      <c r="B747" s="9" t="s">
        <v>1542</v>
      </c>
    </row>
    <row r="748" spans="1:2" ht="15.75" customHeight="1">
      <c r="A748" s="9" t="s">
        <v>1543</v>
      </c>
      <c r="B748" s="9" t="s">
        <v>827</v>
      </c>
    </row>
    <row r="749" spans="1:2" ht="15.75" customHeight="1">
      <c r="A749" s="9" t="s">
        <v>1544</v>
      </c>
      <c r="B749" s="9" t="s">
        <v>1545</v>
      </c>
    </row>
    <row r="750" spans="1:2" ht="15.75" customHeight="1">
      <c r="A750" s="9" t="s">
        <v>1546</v>
      </c>
      <c r="B750" s="9" t="s">
        <v>1547</v>
      </c>
    </row>
    <row r="751" spans="1:2" ht="15.75" customHeight="1">
      <c r="A751" s="9" t="s">
        <v>1548</v>
      </c>
      <c r="B751" s="9" t="s">
        <v>1549</v>
      </c>
    </row>
    <row r="752" spans="1:2" ht="15.75" customHeight="1">
      <c r="A752" s="9" t="s">
        <v>1550</v>
      </c>
      <c r="B752" s="9" t="s">
        <v>1551</v>
      </c>
    </row>
    <row r="753" spans="1:2" ht="15.75" customHeight="1">
      <c r="A753" s="9" t="s">
        <v>1552</v>
      </c>
      <c r="B753" s="9" t="s">
        <v>1553</v>
      </c>
    </row>
    <row r="754" spans="1:2" ht="15.75" customHeight="1">
      <c r="A754" s="9" t="s">
        <v>1554</v>
      </c>
      <c r="B754" s="9" t="s">
        <v>1555</v>
      </c>
    </row>
    <row r="755" spans="1:2" ht="15.75" customHeight="1">
      <c r="A755" s="9" t="s">
        <v>1556</v>
      </c>
      <c r="B755" s="9" t="s">
        <v>1557</v>
      </c>
    </row>
    <row r="756" spans="1:2" ht="15.75" customHeight="1">
      <c r="A756" s="9" t="s">
        <v>1558</v>
      </c>
      <c r="B756" s="9" t="s">
        <v>1559</v>
      </c>
    </row>
    <row r="757" spans="1:2" ht="15.75" customHeight="1">
      <c r="A757" s="9" t="s">
        <v>1560</v>
      </c>
      <c r="B757" s="9" t="s">
        <v>1512</v>
      </c>
    </row>
    <row r="758" spans="1:2" ht="15.75" customHeight="1">
      <c r="A758" s="9" t="s">
        <v>1561</v>
      </c>
      <c r="B758" s="9" t="s">
        <v>1562</v>
      </c>
    </row>
    <row r="759" spans="1:2" ht="15.75" customHeight="1">
      <c r="A759" s="9" t="s">
        <v>1563</v>
      </c>
      <c r="B759" s="9" t="s">
        <v>1564</v>
      </c>
    </row>
    <row r="760" spans="1:2" ht="15.75" customHeight="1">
      <c r="A760" s="9" t="s">
        <v>1565</v>
      </c>
      <c r="B760" s="9" t="s">
        <v>1566</v>
      </c>
    </row>
    <row r="761" spans="1:2" ht="15.75" customHeight="1">
      <c r="A761" s="9" t="s">
        <v>1567</v>
      </c>
      <c r="B761" s="9" t="s">
        <v>1568</v>
      </c>
    </row>
    <row r="762" spans="1:2" ht="15.75" customHeight="1">
      <c r="A762" s="9" t="s">
        <v>1569</v>
      </c>
      <c r="B762" s="9" t="s">
        <v>1001</v>
      </c>
    </row>
    <row r="763" spans="1:2" ht="15.75" customHeight="1">
      <c r="A763" s="9" t="s">
        <v>1570</v>
      </c>
      <c r="B763" s="9" t="s">
        <v>1571</v>
      </c>
    </row>
    <row r="764" spans="1:2" ht="15.75" customHeight="1">
      <c r="A764" s="9" t="s">
        <v>1572</v>
      </c>
      <c r="B764" s="9" t="s">
        <v>1573</v>
      </c>
    </row>
    <row r="765" spans="1:2" ht="15.75" customHeight="1">
      <c r="A765" s="9" t="s">
        <v>1574</v>
      </c>
      <c r="B765" s="9" t="s">
        <v>1575</v>
      </c>
    </row>
    <row r="766" spans="1:2" ht="15.75" customHeight="1">
      <c r="A766" s="9" t="s">
        <v>1576</v>
      </c>
      <c r="B766" s="9" t="s">
        <v>1577</v>
      </c>
    </row>
    <row r="767" spans="1:2" ht="15.75" customHeight="1">
      <c r="A767" s="9" t="s">
        <v>1578</v>
      </c>
      <c r="B767" s="9" t="s">
        <v>1579</v>
      </c>
    </row>
    <row r="768" spans="1:2" ht="15.75" customHeight="1">
      <c r="A768" s="9" t="s">
        <v>1580</v>
      </c>
      <c r="B768" s="9" t="s">
        <v>1581</v>
      </c>
    </row>
    <row r="769" spans="1:2" ht="15.75" customHeight="1">
      <c r="A769" s="9" t="s">
        <v>1582</v>
      </c>
      <c r="B769" s="9" t="s">
        <v>876</v>
      </c>
    </row>
    <row r="770" spans="1:2" ht="15.75" customHeight="1">
      <c r="A770" s="9" t="s">
        <v>1583</v>
      </c>
      <c r="B770" s="9" t="s">
        <v>1584</v>
      </c>
    </row>
    <row r="771" spans="1:2" ht="15.75" customHeight="1">
      <c r="A771" s="9" t="s">
        <v>1585</v>
      </c>
      <c r="B771" s="9" t="s">
        <v>244</v>
      </c>
    </row>
    <row r="772" spans="1:2" ht="15.75" customHeight="1">
      <c r="A772" s="9" t="s">
        <v>1586</v>
      </c>
      <c r="B772" s="9" t="s">
        <v>1587</v>
      </c>
    </row>
    <row r="773" spans="1:2" ht="15.75" customHeight="1">
      <c r="A773" s="9" t="s">
        <v>1588</v>
      </c>
      <c r="B773" s="9" t="s">
        <v>1589</v>
      </c>
    </row>
    <row r="774" spans="1:2" ht="15.75" customHeight="1">
      <c r="A774" s="9" t="s">
        <v>1590</v>
      </c>
      <c r="B774" s="9" t="s">
        <v>1591</v>
      </c>
    </row>
    <row r="775" spans="1:2" ht="15.75" customHeight="1">
      <c r="A775" s="9" t="s">
        <v>1592</v>
      </c>
      <c r="B775" s="9" t="s">
        <v>1593</v>
      </c>
    </row>
    <row r="776" spans="1:2" ht="15.75" customHeight="1">
      <c r="A776" s="9" t="s">
        <v>1594</v>
      </c>
      <c r="B776" s="9" t="s">
        <v>1595</v>
      </c>
    </row>
    <row r="777" spans="1:2" ht="15.75" customHeight="1">
      <c r="A777" s="9" t="s">
        <v>1596</v>
      </c>
      <c r="B777" s="9" t="s">
        <v>1597</v>
      </c>
    </row>
    <row r="778" spans="1:2" ht="15.75" customHeight="1">
      <c r="A778" s="9" t="s">
        <v>1598</v>
      </c>
      <c r="B778" s="9" t="s">
        <v>1599</v>
      </c>
    </row>
    <row r="779" spans="1:2" ht="15.75" customHeight="1">
      <c r="A779" s="9" t="s">
        <v>1600</v>
      </c>
      <c r="B779" s="9" t="s">
        <v>1601</v>
      </c>
    </row>
    <row r="780" spans="1:2" ht="15.75" customHeight="1">
      <c r="A780" s="9" t="s">
        <v>1602</v>
      </c>
      <c r="B780" s="9" t="s">
        <v>1603</v>
      </c>
    </row>
    <row r="781" spans="1:2" ht="15.75" customHeight="1">
      <c r="A781" s="9" t="s">
        <v>1604</v>
      </c>
      <c r="B781" s="9" t="s">
        <v>1605</v>
      </c>
    </row>
    <row r="782" spans="1:2" ht="15.75" customHeight="1">
      <c r="A782" s="9" t="s">
        <v>1606</v>
      </c>
      <c r="B782" s="9" t="s">
        <v>1607</v>
      </c>
    </row>
    <row r="783" spans="1:2" ht="15.75" customHeight="1">
      <c r="A783" s="9" t="s">
        <v>1608</v>
      </c>
      <c r="B783" s="9" t="s">
        <v>1609</v>
      </c>
    </row>
    <row r="784" spans="1:2" ht="15.75" customHeight="1">
      <c r="A784" s="9" t="s">
        <v>1610</v>
      </c>
      <c r="B784" s="9" t="s">
        <v>1143</v>
      </c>
    </row>
    <row r="785" spans="1:2" ht="15.75" customHeight="1">
      <c r="A785" s="9" t="s">
        <v>1611</v>
      </c>
      <c r="B785" s="9" t="s">
        <v>1612</v>
      </c>
    </row>
    <row r="786" spans="1:2" ht="15.75" customHeight="1">
      <c r="A786" s="9" t="s">
        <v>1613</v>
      </c>
      <c r="B786" s="9" t="s">
        <v>1614</v>
      </c>
    </row>
    <row r="787" spans="1:2" ht="15.75" customHeight="1">
      <c r="A787" s="9" t="s">
        <v>1615</v>
      </c>
      <c r="B787" s="9" t="s">
        <v>1616</v>
      </c>
    </row>
    <row r="788" spans="1:2" ht="15.75" customHeight="1">
      <c r="A788" s="9" t="s">
        <v>1617</v>
      </c>
      <c r="B788" s="9" t="s">
        <v>1618</v>
      </c>
    </row>
    <row r="789" spans="1:2" ht="15.75" customHeight="1">
      <c r="A789" s="9" t="s">
        <v>1619</v>
      </c>
      <c r="B789" s="9" t="s">
        <v>1620</v>
      </c>
    </row>
    <row r="790" spans="1:2" ht="15.75" customHeight="1">
      <c r="A790" s="9" t="s">
        <v>1621</v>
      </c>
      <c r="B790" s="9" t="s">
        <v>1622</v>
      </c>
    </row>
    <row r="791" spans="1:2" ht="15.75" customHeight="1">
      <c r="A791" s="9" t="s">
        <v>1623</v>
      </c>
      <c r="B791" s="9" t="s">
        <v>1624</v>
      </c>
    </row>
    <row r="792" spans="1:2" ht="15.75" customHeight="1">
      <c r="A792" s="9" t="s">
        <v>1625</v>
      </c>
      <c r="B792" s="9" t="s">
        <v>1626</v>
      </c>
    </row>
    <row r="793" spans="1:2" ht="15.75" customHeight="1">
      <c r="A793" s="9" t="s">
        <v>1627</v>
      </c>
      <c r="B793" s="9" t="s">
        <v>1628</v>
      </c>
    </row>
    <row r="794" spans="1:2" ht="15.75" customHeight="1">
      <c r="A794" s="9" t="s">
        <v>1629</v>
      </c>
      <c r="B794" s="9" t="s">
        <v>1275</v>
      </c>
    </row>
    <row r="795" spans="1:2" ht="15.75" customHeight="1">
      <c r="A795" s="9" t="s">
        <v>1630</v>
      </c>
      <c r="B795" s="9" t="s">
        <v>1631</v>
      </c>
    </row>
    <row r="796" spans="1:2" ht="15.75" customHeight="1">
      <c r="A796" s="9" t="s">
        <v>1632</v>
      </c>
      <c r="B796" s="9" t="s">
        <v>1633</v>
      </c>
    </row>
    <row r="797" spans="1:2" ht="15.75" customHeight="1">
      <c r="A797" s="9" t="s">
        <v>1634</v>
      </c>
      <c r="B797" s="9" t="s">
        <v>300</v>
      </c>
    </row>
    <row r="798" spans="1:2" ht="15.75" customHeight="1">
      <c r="A798" s="9" t="s">
        <v>1635</v>
      </c>
      <c r="B798" s="9" t="s">
        <v>1636</v>
      </c>
    </row>
    <row r="799" spans="1:2" ht="15.75" customHeight="1">
      <c r="A799" s="9" t="s">
        <v>1637</v>
      </c>
      <c r="B799" s="9" t="s">
        <v>1638</v>
      </c>
    </row>
    <row r="800" spans="1:2" ht="15.75" customHeight="1">
      <c r="A800" s="9" t="s">
        <v>1639</v>
      </c>
      <c r="B800" s="9" t="s">
        <v>1640</v>
      </c>
    </row>
    <row r="801" spans="1:2" ht="15.75" customHeight="1">
      <c r="A801" s="9" t="s">
        <v>1641</v>
      </c>
      <c r="B801" s="9" t="s">
        <v>1642</v>
      </c>
    </row>
    <row r="802" spans="1:2" ht="15.75" customHeight="1">
      <c r="A802" s="9" t="s">
        <v>1643</v>
      </c>
      <c r="B802" s="9" t="s">
        <v>1644</v>
      </c>
    </row>
    <row r="803" spans="1:2" ht="15.75" customHeight="1">
      <c r="A803" s="9" t="s">
        <v>1645</v>
      </c>
      <c r="B803" s="9" t="s">
        <v>1646</v>
      </c>
    </row>
    <row r="804" spans="1:2" ht="15.75" customHeight="1">
      <c r="A804" s="9" t="s">
        <v>1647</v>
      </c>
      <c r="B804" s="9" t="s">
        <v>1648</v>
      </c>
    </row>
    <row r="805" spans="1:2" ht="15.75" customHeight="1">
      <c r="A805" s="9" t="s">
        <v>1649</v>
      </c>
      <c r="B805" s="9" t="s">
        <v>1650</v>
      </c>
    </row>
    <row r="806" spans="1:2" ht="15.75" customHeight="1">
      <c r="A806" s="9" t="s">
        <v>1651</v>
      </c>
      <c r="B806" s="9" t="s">
        <v>1652</v>
      </c>
    </row>
    <row r="807" spans="1:2" ht="15.75" customHeight="1">
      <c r="A807" s="9" t="s">
        <v>1653</v>
      </c>
      <c r="B807" s="9" t="s">
        <v>1654</v>
      </c>
    </row>
    <row r="808" spans="1:2" ht="15.75" customHeight="1">
      <c r="A808" s="9" t="s">
        <v>1655</v>
      </c>
      <c r="B808" s="9" t="s">
        <v>1656</v>
      </c>
    </row>
    <row r="809" spans="1:2" ht="15.75" customHeight="1">
      <c r="A809" s="9" t="s">
        <v>1657</v>
      </c>
      <c r="B809" s="9" t="s">
        <v>1658</v>
      </c>
    </row>
    <row r="810" spans="1:2" ht="15.75" customHeight="1">
      <c r="A810" s="9" t="s">
        <v>1659</v>
      </c>
      <c r="B810" s="9" t="s">
        <v>1660</v>
      </c>
    </row>
    <row r="811" spans="1:2" ht="15.75" customHeight="1">
      <c r="A811" s="9" t="s">
        <v>1661</v>
      </c>
      <c r="B811" s="9" t="s">
        <v>1298</v>
      </c>
    </row>
    <row r="812" spans="1:2" ht="15.75" customHeight="1">
      <c r="A812" s="9" t="s">
        <v>1662</v>
      </c>
      <c r="B812" s="9" t="s">
        <v>1663</v>
      </c>
    </row>
    <row r="813" spans="1:2" ht="15.75" customHeight="1">
      <c r="A813" s="9" t="s">
        <v>1664</v>
      </c>
      <c r="B813" s="9" t="s">
        <v>479</v>
      </c>
    </row>
    <row r="814" spans="1:2" ht="15.75" customHeight="1">
      <c r="A814" s="9" t="s">
        <v>1665</v>
      </c>
      <c r="B814" s="9" t="s">
        <v>1666</v>
      </c>
    </row>
    <row r="815" spans="1:2" ht="15.75" customHeight="1">
      <c r="A815" s="9" t="s">
        <v>1667</v>
      </c>
      <c r="B815" s="9" t="s">
        <v>1668</v>
      </c>
    </row>
    <row r="816" spans="1:2" ht="15.75" customHeight="1">
      <c r="A816" s="9" t="s">
        <v>1669</v>
      </c>
      <c r="B816" s="9" t="s">
        <v>1670</v>
      </c>
    </row>
    <row r="817" spans="1:2" ht="15.75" customHeight="1">
      <c r="A817" s="9" t="s">
        <v>1671</v>
      </c>
      <c r="B817" s="9" t="s">
        <v>1672</v>
      </c>
    </row>
    <row r="818" spans="1:2" ht="15.75" customHeight="1">
      <c r="A818" s="9" t="s">
        <v>1673</v>
      </c>
      <c r="B818" s="9" t="s">
        <v>499</v>
      </c>
    </row>
    <row r="819" spans="1:2" ht="15.75" customHeight="1">
      <c r="A819" s="9" t="s">
        <v>1674</v>
      </c>
      <c r="B819" s="9" t="s">
        <v>1675</v>
      </c>
    </row>
    <row r="820" spans="1:2" ht="15.75" customHeight="1">
      <c r="A820" s="9" t="s">
        <v>1676</v>
      </c>
      <c r="B820" s="9" t="s">
        <v>1677</v>
      </c>
    </row>
    <row r="821" spans="1:2" ht="15.75" customHeight="1">
      <c r="A821" s="9" t="s">
        <v>1678</v>
      </c>
      <c r="B821" s="9" t="s">
        <v>1679</v>
      </c>
    </row>
    <row r="822" spans="1:2" ht="15.75" customHeight="1">
      <c r="A822" s="9" t="s">
        <v>1680</v>
      </c>
      <c r="B822" s="9" t="s">
        <v>1681</v>
      </c>
    </row>
    <row r="823" spans="1:2" ht="15.75" customHeight="1">
      <c r="A823" s="9" t="s">
        <v>1682</v>
      </c>
      <c r="B823" s="9" t="s">
        <v>1683</v>
      </c>
    </row>
    <row r="824" spans="1:2" ht="15.75" customHeight="1">
      <c r="A824" s="9" t="s">
        <v>1684</v>
      </c>
      <c r="B824" s="9" t="s">
        <v>1685</v>
      </c>
    </row>
    <row r="825" spans="1:2" ht="15.75" customHeight="1">
      <c r="A825" s="9" t="s">
        <v>1686</v>
      </c>
      <c r="B825" s="9" t="s">
        <v>1687</v>
      </c>
    </row>
    <row r="826" spans="1:2" ht="15.75" customHeight="1">
      <c r="A826" s="9" t="s">
        <v>1688</v>
      </c>
      <c r="B826" s="9" t="s">
        <v>1689</v>
      </c>
    </row>
    <row r="827" spans="1:2" ht="15.75" customHeight="1">
      <c r="A827" s="9" t="s">
        <v>1690</v>
      </c>
      <c r="B827" s="9" t="s">
        <v>1691</v>
      </c>
    </row>
    <row r="828" spans="1:2" ht="15.75" customHeight="1">
      <c r="A828" s="9" t="s">
        <v>1692</v>
      </c>
      <c r="B828" s="9" t="s">
        <v>1693</v>
      </c>
    </row>
    <row r="829" spans="1:2" ht="15.75" customHeight="1">
      <c r="A829" s="9" t="s">
        <v>1694</v>
      </c>
      <c r="B829" s="9" t="s">
        <v>1695</v>
      </c>
    </row>
    <row r="830" spans="1:2" ht="15.75" customHeight="1">
      <c r="A830" s="9" t="s">
        <v>1696</v>
      </c>
      <c r="B830" s="9" t="s">
        <v>1697</v>
      </c>
    </row>
    <row r="831" spans="1:2" ht="15.75" customHeight="1">
      <c r="A831" s="9" t="s">
        <v>1698</v>
      </c>
      <c r="B831" s="9" t="s">
        <v>1699</v>
      </c>
    </row>
    <row r="832" spans="1:2" ht="15.75" customHeight="1">
      <c r="A832" s="9" t="s">
        <v>1700</v>
      </c>
      <c r="B832" s="9" t="s">
        <v>1701</v>
      </c>
    </row>
    <row r="833" spans="1:2" ht="15.75" customHeight="1">
      <c r="A833" s="9" t="s">
        <v>1702</v>
      </c>
      <c r="B833" s="9" t="s">
        <v>1703</v>
      </c>
    </row>
    <row r="834" spans="1:2" ht="15.75" customHeight="1">
      <c r="A834" s="9" t="s">
        <v>1704</v>
      </c>
      <c r="B834" s="9" t="s">
        <v>1705</v>
      </c>
    </row>
    <row r="835" spans="1:2" ht="15.75" customHeight="1">
      <c r="A835" s="9" t="s">
        <v>1706</v>
      </c>
      <c r="B835" s="9" t="s">
        <v>1707</v>
      </c>
    </row>
    <row r="836" spans="1:2" ht="15.75" customHeight="1">
      <c r="A836" s="9" t="s">
        <v>1708</v>
      </c>
      <c r="B836" s="9" t="s">
        <v>1709</v>
      </c>
    </row>
    <row r="837" spans="1:2" ht="15.75" customHeight="1">
      <c r="A837" s="9" t="s">
        <v>1710</v>
      </c>
      <c r="B837" s="9" t="s">
        <v>1711</v>
      </c>
    </row>
    <row r="838" spans="1:2" ht="15.75" customHeight="1">
      <c r="A838" s="9" t="s">
        <v>1712</v>
      </c>
      <c r="B838" s="9" t="s">
        <v>1713</v>
      </c>
    </row>
    <row r="839" spans="1:2" ht="15.75" customHeight="1">
      <c r="A839" s="9" t="s">
        <v>1714</v>
      </c>
      <c r="B839" s="9" t="s">
        <v>1715</v>
      </c>
    </row>
    <row r="840" spans="1:2" ht="15.75" customHeight="1">
      <c r="A840" s="9" t="s">
        <v>1716</v>
      </c>
      <c r="B840" s="9" t="s">
        <v>1717</v>
      </c>
    </row>
    <row r="841" spans="1:2" ht="15.75" customHeight="1">
      <c r="A841" s="9" t="s">
        <v>1718</v>
      </c>
      <c r="B841" s="9" t="s">
        <v>1719</v>
      </c>
    </row>
    <row r="842" spans="1:2" ht="15.75" customHeight="1">
      <c r="A842" s="9" t="s">
        <v>1720</v>
      </c>
      <c r="B842" s="9" t="s">
        <v>1721</v>
      </c>
    </row>
    <row r="843" spans="1:2" ht="15.75" customHeight="1">
      <c r="A843" s="9" t="s">
        <v>1722</v>
      </c>
      <c r="B843" s="9" t="s">
        <v>1723</v>
      </c>
    </row>
    <row r="844" spans="1:2" ht="15.75" customHeight="1">
      <c r="A844" s="9" t="s">
        <v>1724</v>
      </c>
      <c r="B844" s="9" t="s">
        <v>1725</v>
      </c>
    </row>
    <row r="845" spans="1:2" ht="15.75" customHeight="1">
      <c r="A845" s="9" t="s">
        <v>1726</v>
      </c>
      <c r="B845" s="9" t="s">
        <v>1727</v>
      </c>
    </row>
    <row r="846" spans="1:2" ht="15.75" customHeight="1">
      <c r="A846" s="9" t="s">
        <v>1728</v>
      </c>
      <c r="B846" s="9" t="s">
        <v>1729</v>
      </c>
    </row>
    <row r="847" spans="1:2" ht="15.75" customHeight="1">
      <c r="A847" s="9" t="s">
        <v>1730</v>
      </c>
      <c r="B847" s="9" t="s">
        <v>1731</v>
      </c>
    </row>
    <row r="848" spans="1:2" ht="15.75" customHeight="1">
      <c r="A848" s="9" t="s">
        <v>1732</v>
      </c>
      <c r="B848" s="9" t="s">
        <v>1733</v>
      </c>
    </row>
    <row r="849" spans="1:2" ht="15.75" customHeight="1">
      <c r="A849" s="9" t="s">
        <v>1734</v>
      </c>
      <c r="B849" s="9" t="s">
        <v>1735</v>
      </c>
    </row>
    <row r="850" spans="1:2" ht="15.75" customHeight="1">
      <c r="A850" s="9" t="s">
        <v>1736</v>
      </c>
      <c r="B850" s="9" t="s">
        <v>1737</v>
      </c>
    </row>
    <row r="851" spans="1:2" ht="15.75" customHeight="1">
      <c r="A851" s="9" t="s">
        <v>1738</v>
      </c>
      <c r="B851" s="9" t="s">
        <v>1739</v>
      </c>
    </row>
    <row r="852" spans="1:2" ht="15.75" customHeight="1">
      <c r="A852" s="9" t="s">
        <v>1740</v>
      </c>
      <c r="B852" s="9" t="s">
        <v>1741</v>
      </c>
    </row>
    <row r="853" spans="1:2" ht="15.75" customHeight="1">
      <c r="A853" s="9" t="s">
        <v>1742</v>
      </c>
      <c r="B853" s="9" t="s">
        <v>1743</v>
      </c>
    </row>
    <row r="854" spans="1:2" ht="15.75" customHeight="1">
      <c r="A854" s="9" t="s">
        <v>1744</v>
      </c>
      <c r="B854" s="9" t="s">
        <v>102</v>
      </c>
    </row>
    <row r="855" spans="1:2" ht="15.75" customHeight="1">
      <c r="A855" s="9" t="s">
        <v>1745</v>
      </c>
      <c r="B855" s="9" t="s">
        <v>1237</v>
      </c>
    </row>
    <row r="856" spans="1:2" ht="15.75" customHeight="1">
      <c r="A856" s="9" t="s">
        <v>1746</v>
      </c>
      <c r="B856" s="9" t="s">
        <v>1747</v>
      </c>
    </row>
    <row r="857" spans="1:2" ht="15.75" customHeight="1">
      <c r="A857" s="9" t="s">
        <v>1748</v>
      </c>
      <c r="B857" s="9" t="s">
        <v>1749</v>
      </c>
    </row>
    <row r="858" spans="1:2" ht="15.75" customHeight="1">
      <c r="A858" s="9" t="s">
        <v>1750</v>
      </c>
      <c r="B858" s="9" t="s">
        <v>1751</v>
      </c>
    </row>
    <row r="859" spans="1:2" ht="15.75" customHeight="1">
      <c r="A859" s="9" t="s">
        <v>1752</v>
      </c>
      <c r="B859" s="9" t="s">
        <v>1753</v>
      </c>
    </row>
    <row r="860" spans="1:2" ht="15.75" customHeight="1">
      <c r="A860" s="9" t="s">
        <v>1754</v>
      </c>
      <c r="B860" s="9" t="s">
        <v>1755</v>
      </c>
    </row>
    <row r="861" spans="1:2" ht="15.75" customHeight="1">
      <c r="A861" s="9" t="s">
        <v>1756</v>
      </c>
      <c r="B861" s="9" t="s">
        <v>1757</v>
      </c>
    </row>
    <row r="862" spans="1:2" ht="15.75" customHeight="1">
      <c r="A862" s="9" t="s">
        <v>1758</v>
      </c>
      <c r="B862" s="9" t="s">
        <v>1759</v>
      </c>
    </row>
    <row r="863" spans="1:2" ht="15.75" customHeight="1">
      <c r="A863" s="9" t="s">
        <v>1760</v>
      </c>
      <c r="B863" s="9" t="s">
        <v>1761</v>
      </c>
    </row>
    <row r="864" spans="1:2" ht="15.75" customHeight="1">
      <c r="A864" s="9" t="s">
        <v>1762</v>
      </c>
      <c r="B864" s="9" t="s">
        <v>1763</v>
      </c>
    </row>
    <row r="865" spans="1:2" ht="15.75" customHeight="1">
      <c r="A865" s="9" t="s">
        <v>1764</v>
      </c>
      <c r="B865" s="9" t="s">
        <v>1765</v>
      </c>
    </row>
    <row r="866" spans="1:2" ht="15.75" customHeight="1">
      <c r="A866" s="9" t="s">
        <v>1766</v>
      </c>
      <c r="B866" s="9" t="s">
        <v>1767</v>
      </c>
    </row>
    <row r="867" spans="1:2" ht="15.75" customHeight="1">
      <c r="A867" s="9" t="s">
        <v>1768</v>
      </c>
      <c r="B867" s="9" t="s">
        <v>1769</v>
      </c>
    </row>
    <row r="868" spans="1:2" ht="15.75" customHeight="1">
      <c r="A868" s="9" t="s">
        <v>1770</v>
      </c>
      <c r="B868" s="9" t="s">
        <v>1771</v>
      </c>
    </row>
    <row r="869" spans="1:2" ht="15.75" customHeight="1">
      <c r="A869" s="9" t="s">
        <v>1772</v>
      </c>
      <c r="B869" s="9" t="s">
        <v>178</v>
      </c>
    </row>
    <row r="870" spans="1:2" ht="15.75" customHeight="1">
      <c r="A870" s="9" t="s">
        <v>1773</v>
      </c>
      <c r="B870" s="9" t="s">
        <v>1774</v>
      </c>
    </row>
    <row r="871" spans="1:2" ht="15.75" customHeight="1">
      <c r="A871" s="9" t="s">
        <v>1775</v>
      </c>
      <c r="B871" s="9" t="s">
        <v>1776</v>
      </c>
    </row>
    <row r="872" spans="1:2" ht="15.75" customHeight="1">
      <c r="A872" s="9" t="s">
        <v>1777</v>
      </c>
      <c r="B872" s="9" t="s">
        <v>1778</v>
      </c>
    </row>
    <row r="873" spans="1:2" ht="15.75" customHeight="1">
      <c r="A873" s="9" t="s">
        <v>1779</v>
      </c>
      <c r="B873" s="9" t="s">
        <v>1780</v>
      </c>
    </row>
    <row r="874" spans="1:2" ht="15.75" customHeight="1">
      <c r="A874" s="9" t="s">
        <v>1781</v>
      </c>
      <c r="B874" s="9" t="s">
        <v>1782</v>
      </c>
    </row>
    <row r="875" spans="1:2" ht="15.75" customHeight="1">
      <c r="A875" s="9" t="s">
        <v>1783</v>
      </c>
      <c r="B875" s="9" t="s">
        <v>1784</v>
      </c>
    </row>
    <row r="876" spans="1:2" ht="15.75" customHeight="1">
      <c r="A876" s="9" t="s">
        <v>1785</v>
      </c>
      <c r="B876" s="9" t="s">
        <v>1786</v>
      </c>
    </row>
    <row r="877" spans="1:2" ht="15.75" customHeight="1">
      <c r="A877" s="9" t="s">
        <v>1787</v>
      </c>
      <c r="B877" s="9" t="s">
        <v>254</v>
      </c>
    </row>
    <row r="878" spans="1:2" ht="15.75" customHeight="1">
      <c r="A878" s="9" t="s">
        <v>1788</v>
      </c>
      <c r="B878" s="9" t="s">
        <v>1789</v>
      </c>
    </row>
    <row r="879" spans="1:2" ht="15.75" customHeight="1">
      <c r="A879" s="9" t="s">
        <v>1790</v>
      </c>
      <c r="B879" s="9" t="s">
        <v>1707</v>
      </c>
    </row>
    <row r="880" spans="1:2" ht="15.75" customHeight="1">
      <c r="A880" s="9" t="s">
        <v>1791</v>
      </c>
      <c r="B880" s="9" t="s">
        <v>1792</v>
      </c>
    </row>
    <row r="881" spans="1:2" ht="15.75" customHeight="1">
      <c r="A881" s="9" t="s">
        <v>1793</v>
      </c>
      <c r="B881" s="9" t="s">
        <v>1794</v>
      </c>
    </row>
    <row r="882" spans="1:2" ht="15.75" customHeight="1">
      <c r="A882" s="9" t="s">
        <v>1795</v>
      </c>
      <c r="B882" s="9" t="s">
        <v>1796</v>
      </c>
    </row>
    <row r="883" spans="1:2" ht="15.75" customHeight="1">
      <c r="A883" s="9" t="s">
        <v>1797</v>
      </c>
      <c r="B883" s="9" t="s">
        <v>188</v>
      </c>
    </row>
    <row r="884" spans="1:2" ht="15.75" customHeight="1">
      <c r="A884" s="9" t="s">
        <v>1798</v>
      </c>
      <c r="B884" s="9" t="s">
        <v>626</v>
      </c>
    </row>
    <row r="885" spans="1:2" ht="15.75" customHeight="1">
      <c r="A885" s="9" t="s">
        <v>1799</v>
      </c>
      <c r="B885" s="9" t="s">
        <v>1800</v>
      </c>
    </row>
    <row r="886" spans="1:2" ht="15.75" customHeight="1">
      <c r="A886" s="9" t="s">
        <v>1801</v>
      </c>
      <c r="B886" s="9" t="s">
        <v>1802</v>
      </c>
    </row>
    <row r="887" spans="1:2" ht="15.75" customHeight="1">
      <c r="A887" s="9" t="s">
        <v>1803</v>
      </c>
      <c r="B887" s="9" t="s">
        <v>1804</v>
      </c>
    </row>
    <row r="888" spans="1:2" ht="15.75" customHeight="1">
      <c r="A888" s="9" t="s">
        <v>1805</v>
      </c>
      <c r="B888" s="9" t="s">
        <v>1806</v>
      </c>
    </row>
    <row r="889" spans="1:2" ht="15.75" customHeight="1">
      <c r="A889" s="9" t="s">
        <v>1807</v>
      </c>
      <c r="B889" s="9" t="s">
        <v>1808</v>
      </c>
    </row>
    <row r="890" spans="1:2" ht="15.75" customHeight="1">
      <c r="A890" s="9" t="s">
        <v>1809</v>
      </c>
      <c r="B890" s="9" t="s">
        <v>1810</v>
      </c>
    </row>
    <row r="891" spans="1:2" ht="15.75" customHeight="1">
      <c r="A891" s="9" t="s">
        <v>1811</v>
      </c>
      <c r="B891" s="9" t="s">
        <v>1812</v>
      </c>
    </row>
    <row r="892" spans="1:2" ht="15.75" customHeight="1">
      <c r="A892" s="9" t="s">
        <v>1813</v>
      </c>
      <c r="B892" s="9" t="s">
        <v>1814</v>
      </c>
    </row>
    <row r="893" spans="1:2" ht="15.75" customHeight="1">
      <c r="A893" s="9" t="s">
        <v>1815</v>
      </c>
      <c r="B893" s="9" t="s">
        <v>1816</v>
      </c>
    </row>
    <row r="894" spans="1:2" ht="15.75" customHeight="1">
      <c r="A894" s="9" t="s">
        <v>1817</v>
      </c>
      <c r="B894" s="9" t="s">
        <v>1818</v>
      </c>
    </row>
    <row r="895" spans="1:2" ht="15.75" customHeight="1">
      <c r="A895" s="9" t="s">
        <v>1819</v>
      </c>
      <c r="B895" s="9" t="s">
        <v>1820</v>
      </c>
    </row>
    <row r="896" spans="1:2" ht="15.75" customHeight="1">
      <c r="A896" s="9" t="s">
        <v>1821</v>
      </c>
      <c r="B896" s="9" t="s">
        <v>1822</v>
      </c>
    </row>
    <row r="897" spans="1:2" ht="15.75" customHeight="1">
      <c r="A897" s="9" t="s">
        <v>1823</v>
      </c>
      <c r="B897" s="9" t="s">
        <v>1824</v>
      </c>
    </row>
    <row r="898" spans="1:2" ht="15.75" customHeight="1">
      <c r="A898" s="9" t="s">
        <v>1825</v>
      </c>
      <c r="B898" s="9" t="s">
        <v>1826</v>
      </c>
    </row>
    <row r="899" spans="1:2" ht="15.75" customHeight="1">
      <c r="A899" s="9" t="s">
        <v>1827</v>
      </c>
      <c r="B899" s="9" t="s">
        <v>1828</v>
      </c>
    </row>
    <row r="900" spans="1:2" ht="15.75" customHeight="1">
      <c r="A900" s="9" t="s">
        <v>1829</v>
      </c>
      <c r="B900" s="9" t="s">
        <v>1830</v>
      </c>
    </row>
    <row r="901" spans="1:2" ht="15.75" customHeight="1">
      <c r="A901" s="9" t="s">
        <v>1831</v>
      </c>
      <c r="B901" s="9" t="s">
        <v>934</v>
      </c>
    </row>
    <row r="902" spans="1:2" ht="15.75" customHeight="1">
      <c r="A902" s="9" t="s">
        <v>1832</v>
      </c>
      <c r="B902" s="9" t="s">
        <v>1833</v>
      </c>
    </row>
    <row r="903" spans="1:2" ht="15.75" customHeight="1">
      <c r="A903" s="9" t="s">
        <v>1834</v>
      </c>
      <c r="B903" s="9" t="s">
        <v>1835</v>
      </c>
    </row>
    <row r="904" spans="1:2" ht="15.75" customHeight="1">
      <c r="A904" s="9" t="s">
        <v>1836</v>
      </c>
      <c r="B904" s="9" t="s">
        <v>1837</v>
      </c>
    </row>
    <row r="905" spans="1:2" ht="15.75" customHeight="1">
      <c r="A905" s="9" t="s">
        <v>1838</v>
      </c>
      <c r="B905" s="9" t="s">
        <v>1839</v>
      </c>
    </row>
    <row r="906" spans="1:2" ht="15.75" customHeight="1">
      <c r="A906" s="9" t="s">
        <v>1840</v>
      </c>
      <c r="B906" s="9" t="s">
        <v>262</v>
      </c>
    </row>
    <row r="907" spans="1:2" ht="15.75" customHeight="1">
      <c r="A907" s="9" t="s">
        <v>1841</v>
      </c>
      <c r="B907" s="9" t="s">
        <v>1842</v>
      </c>
    </row>
    <row r="908" spans="1:2" ht="15.75" customHeight="1">
      <c r="A908" s="9" t="s">
        <v>1843</v>
      </c>
      <c r="B908" s="9" t="s">
        <v>1844</v>
      </c>
    </row>
    <row r="909" spans="1:2" ht="15.75" customHeight="1">
      <c r="A909" s="9" t="s">
        <v>1845</v>
      </c>
      <c r="B909" s="9" t="s">
        <v>1846</v>
      </c>
    </row>
    <row r="910" spans="1:2" ht="15.75" customHeight="1">
      <c r="A910" s="9" t="s">
        <v>1847</v>
      </c>
      <c r="B910" s="9" t="s">
        <v>1848</v>
      </c>
    </row>
    <row r="911" spans="1:2" ht="15.75" customHeight="1">
      <c r="A911" s="9" t="s">
        <v>1849</v>
      </c>
      <c r="B911" s="9" t="s">
        <v>1850</v>
      </c>
    </row>
    <row r="912" spans="1:2" ht="15.75" customHeight="1">
      <c r="A912" s="9" t="s">
        <v>1851</v>
      </c>
      <c r="B912" s="9" t="s">
        <v>1852</v>
      </c>
    </row>
    <row r="913" spans="1:2" ht="15.75" customHeight="1">
      <c r="A913" s="9" t="s">
        <v>1853</v>
      </c>
      <c r="B913" s="9" t="s">
        <v>1854</v>
      </c>
    </row>
    <row r="914" spans="1:2" ht="15.75" customHeight="1">
      <c r="A914" s="9" t="s">
        <v>1855</v>
      </c>
      <c r="B914" s="9" t="s">
        <v>1856</v>
      </c>
    </row>
    <row r="915" spans="1:2" ht="15.75" customHeight="1">
      <c r="A915" s="9" t="s">
        <v>1857</v>
      </c>
      <c r="B915" s="9" t="s">
        <v>166</v>
      </c>
    </row>
    <row r="916" spans="1:2" ht="15.75" customHeight="1">
      <c r="A916" s="9" t="s">
        <v>1858</v>
      </c>
      <c r="B916" s="9" t="s">
        <v>1859</v>
      </c>
    </row>
    <row r="917" spans="1:2" ht="15.75" customHeight="1">
      <c r="A917" s="9" t="s">
        <v>1860</v>
      </c>
      <c r="B917" s="9" t="s">
        <v>1861</v>
      </c>
    </row>
    <row r="918" spans="1:2" ht="15.75" customHeight="1">
      <c r="A918" s="9" t="s">
        <v>1862</v>
      </c>
      <c r="B918" s="9" t="s">
        <v>1863</v>
      </c>
    </row>
    <row r="919" spans="1:2" ht="15.75" customHeight="1">
      <c r="A919" s="9" t="s">
        <v>1864</v>
      </c>
      <c r="B919" s="9" t="s">
        <v>1865</v>
      </c>
    </row>
    <row r="920" spans="1:2" ht="15.75" customHeight="1">
      <c r="A920" s="9" t="s">
        <v>1866</v>
      </c>
      <c r="B920" s="9" t="s">
        <v>1867</v>
      </c>
    </row>
    <row r="921" spans="1:2" ht="15.75" customHeight="1">
      <c r="A921" s="9" t="s">
        <v>1868</v>
      </c>
      <c r="B921" s="9" t="s">
        <v>1869</v>
      </c>
    </row>
    <row r="922" spans="1:2" ht="15.75" customHeight="1">
      <c r="A922" s="9" t="s">
        <v>1870</v>
      </c>
      <c r="B922" s="9" t="s">
        <v>1871</v>
      </c>
    </row>
    <row r="923" spans="1:2" ht="15.75" customHeight="1">
      <c r="A923" s="9" t="s">
        <v>1872</v>
      </c>
      <c r="B923" s="9" t="s">
        <v>1873</v>
      </c>
    </row>
    <row r="924" spans="1:2" ht="15.75" customHeight="1">
      <c r="A924" s="9" t="s">
        <v>1874</v>
      </c>
      <c r="B924" s="9" t="s">
        <v>1875</v>
      </c>
    </row>
    <row r="925" spans="1:2" ht="15.75" customHeight="1">
      <c r="A925" s="9" t="s">
        <v>1876</v>
      </c>
      <c r="B925" s="9" t="s">
        <v>1877</v>
      </c>
    </row>
    <row r="926" spans="1:2" ht="15.75" customHeight="1">
      <c r="A926" s="9" t="s">
        <v>1878</v>
      </c>
      <c r="B926" s="9" t="s">
        <v>1879</v>
      </c>
    </row>
    <row r="927" spans="1:2" ht="15.75" customHeight="1">
      <c r="A927" s="9" t="s">
        <v>1880</v>
      </c>
      <c r="B927" s="9" t="s">
        <v>1881</v>
      </c>
    </row>
    <row r="928" spans="1:2" ht="15.75" customHeight="1">
      <c r="A928" s="9" t="s">
        <v>1882</v>
      </c>
      <c r="B928" s="9" t="s">
        <v>1883</v>
      </c>
    </row>
    <row r="929" spans="1:2" ht="15.75" customHeight="1">
      <c r="A929" s="9" t="s">
        <v>1884</v>
      </c>
      <c r="B929" s="9" t="s">
        <v>230</v>
      </c>
    </row>
    <row r="930" spans="1:2" ht="15.75" customHeight="1">
      <c r="A930" s="9" t="s">
        <v>1885</v>
      </c>
      <c r="B930" s="9" t="s">
        <v>1886</v>
      </c>
    </row>
    <row r="931" spans="1:2" ht="15.75" customHeight="1">
      <c r="A931" s="9" t="s">
        <v>1887</v>
      </c>
      <c r="B931" s="9" t="s">
        <v>1888</v>
      </c>
    </row>
    <row r="932" spans="1:2" ht="15.75" customHeight="1">
      <c r="A932" s="9" t="s">
        <v>1889</v>
      </c>
      <c r="B932" s="9" t="s">
        <v>1890</v>
      </c>
    </row>
    <row r="933" spans="1:2" ht="15.75" customHeight="1">
      <c r="A933" s="9" t="s">
        <v>1891</v>
      </c>
      <c r="B933" s="9" t="s">
        <v>1892</v>
      </c>
    </row>
    <row r="934" spans="1:2" ht="15.75" customHeight="1">
      <c r="A934" s="9" t="s">
        <v>1893</v>
      </c>
      <c r="B934" s="9" t="s">
        <v>1894</v>
      </c>
    </row>
    <row r="935" spans="1:2" ht="15.75" customHeight="1">
      <c r="A935" s="9" t="s">
        <v>1895</v>
      </c>
      <c r="B935" s="9" t="s">
        <v>170</v>
      </c>
    </row>
    <row r="936" spans="1:2" ht="15.75" customHeight="1">
      <c r="A936" s="9" t="s">
        <v>1896</v>
      </c>
      <c r="B936" s="9" t="s">
        <v>1897</v>
      </c>
    </row>
    <row r="937" spans="1:2" ht="15.75" customHeight="1">
      <c r="A937" s="9" t="s">
        <v>1898</v>
      </c>
      <c r="B937" s="9" t="s">
        <v>1789</v>
      </c>
    </row>
    <row r="938" spans="1:2" ht="15.75" customHeight="1">
      <c r="A938" s="9" t="s">
        <v>1899</v>
      </c>
      <c r="B938" s="9" t="s">
        <v>1900</v>
      </c>
    </row>
    <row r="939" spans="1:2" ht="15.75" customHeight="1">
      <c r="A939" s="9" t="s">
        <v>1901</v>
      </c>
      <c r="B939" s="9" t="s">
        <v>1902</v>
      </c>
    </row>
    <row r="940" spans="1:2" ht="15.75" customHeight="1">
      <c r="A940" s="9" t="s">
        <v>1903</v>
      </c>
      <c r="B940" s="9" t="s">
        <v>1289</v>
      </c>
    </row>
    <row r="941" spans="1:2" ht="15.75" customHeight="1">
      <c r="A941" s="9" t="s">
        <v>1904</v>
      </c>
      <c r="B941" s="9" t="s">
        <v>1905</v>
      </c>
    </row>
    <row r="942" spans="1:2" ht="15.75" customHeight="1">
      <c r="A942" s="9" t="s">
        <v>1906</v>
      </c>
      <c r="B942" s="9" t="s">
        <v>1907</v>
      </c>
    </row>
    <row r="943" spans="1:2" ht="15.75" customHeight="1">
      <c r="A943" s="9" t="s">
        <v>1908</v>
      </c>
      <c r="B943" s="9" t="s">
        <v>1909</v>
      </c>
    </row>
    <row r="944" spans="1:2" ht="15.75" customHeight="1">
      <c r="A944" s="9" t="s">
        <v>1910</v>
      </c>
      <c r="B944" s="9" t="s">
        <v>1911</v>
      </c>
    </row>
    <row r="945" spans="1:2" ht="15.75" customHeight="1">
      <c r="A945" s="9" t="s">
        <v>1912</v>
      </c>
      <c r="B945" s="9" t="s">
        <v>1913</v>
      </c>
    </row>
    <row r="946" spans="1:2" ht="15.75" customHeight="1">
      <c r="A946" s="9" t="s">
        <v>1914</v>
      </c>
      <c r="B946" s="9" t="s">
        <v>1915</v>
      </c>
    </row>
    <row r="947" spans="1:2" ht="15.75" customHeight="1">
      <c r="A947" s="9" t="s">
        <v>1916</v>
      </c>
      <c r="B947" s="9" t="s">
        <v>1917</v>
      </c>
    </row>
    <row r="948" spans="1:2" ht="15.75" customHeight="1">
      <c r="A948" s="9" t="s">
        <v>1918</v>
      </c>
      <c r="B948" s="9" t="s">
        <v>1919</v>
      </c>
    </row>
    <row r="949" spans="1:2" ht="15.75" customHeight="1">
      <c r="A949" s="9" t="s">
        <v>1920</v>
      </c>
      <c r="B949" s="9" t="s">
        <v>1921</v>
      </c>
    </row>
    <row r="950" spans="1:2" ht="15.75" customHeight="1">
      <c r="A950" s="9" t="s">
        <v>1922</v>
      </c>
      <c r="B950" s="9" t="s">
        <v>1923</v>
      </c>
    </row>
    <row r="951" spans="1:2" ht="15.75" customHeight="1">
      <c r="A951" s="9" t="s">
        <v>1924</v>
      </c>
      <c r="B951" s="9" t="s">
        <v>1925</v>
      </c>
    </row>
    <row r="952" spans="1:2" ht="15.75" customHeight="1">
      <c r="A952" s="9" t="s">
        <v>1926</v>
      </c>
      <c r="B952" s="9" t="s">
        <v>1927</v>
      </c>
    </row>
    <row r="953" spans="1:2" ht="15.75" customHeight="1">
      <c r="A953" s="9" t="s">
        <v>1928</v>
      </c>
      <c r="B953" s="9" t="s">
        <v>1929</v>
      </c>
    </row>
    <row r="954" spans="1:2" ht="15.75" customHeight="1">
      <c r="A954" s="9" t="s">
        <v>1930</v>
      </c>
      <c r="B954" s="9" t="s">
        <v>459</v>
      </c>
    </row>
    <row r="955" spans="1:2" ht="15.75" customHeight="1">
      <c r="A955" s="9" t="s">
        <v>1931</v>
      </c>
      <c r="B955" s="9" t="s">
        <v>1932</v>
      </c>
    </row>
    <row r="956" spans="1:2" ht="15.75" customHeight="1">
      <c r="A956" s="9" t="s">
        <v>1933</v>
      </c>
      <c r="B956" s="9" t="s">
        <v>274</v>
      </c>
    </row>
    <row r="957" spans="1:2" ht="15.75" customHeight="1">
      <c r="A957" s="9" t="s">
        <v>1934</v>
      </c>
      <c r="B957" s="9" t="s">
        <v>1935</v>
      </c>
    </row>
    <row r="958" spans="1:2" ht="15.75" customHeight="1">
      <c r="A958" s="9" t="s">
        <v>1936</v>
      </c>
      <c r="B958" s="9" t="s">
        <v>1937</v>
      </c>
    </row>
    <row r="959" spans="1:2" ht="15.75" customHeight="1">
      <c r="A959" s="9" t="s">
        <v>1938</v>
      </c>
      <c r="B959" s="9" t="s">
        <v>1939</v>
      </c>
    </row>
    <row r="960" spans="1:2" ht="15.75" customHeight="1">
      <c r="A960" s="9" t="s">
        <v>1940</v>
      </c>
      <c r="B960" s="9" t="s">
        <v>1941</v>
      </c>
    </row>
    <row r="961" spans="1:2" ht="15.75" customHeight="1">
      <c r="A961" s="9" t="s">
        <v>1942</v>
      </c>
      <c r="B961" s="9" t="s">
        <v>1943</v>
      </c>
    </row>
    <row r="962" spans="1:2" ht="15.75" customHeight="1">
      <c r="A962" s="9" t="s">
        <v>1944</v>
      </c>
      <c r="B962" s="9" t="s">
        <v>1945</v>
      </c>
    </row>
    <row r="963" spans="1:2" ht="15.75" customHeight="1">
      <c r="A963" s="9" t="s">
        <v>1946</v>
      </c>
      <c r="B963" s="9" t="s">
        <v>1947</v>
      </c>
    </row>
    <row r="964" spans="1:2" ht="15.75" customHeight="1">
      <c r="A964" s="9" t="s">
        <v>1948</v>
      </c>
      <c r="B964" s="9" t="s">
        <v>1949</v>
      </c>
    </row>
    <row r="965" spans="1:2" ht="15.75" customHeight="1">
      <c r="A965" s="9" t="s">
        <v>1950</v>
      </c>
      <c r="B965" s="9" t="s">
        <v>1951</v>
      </c>
    </row>
    <row r="966" spans="1:2" ht="15.75" customHeight="1">
      <c r="A966" s="9" t="s">
        <v>1952</v>
      </c>
      <c r="B966" s="9" t="s">
        <v>1953</v>
      </c>
    </row>
    <row r="967" spans="1:2" ht="15.75" customHeight="1">
      <c r="A967" s="9" t="s">
        <v>1954</v>
      </c>
      <c r="B967" s="9" t="s">
        <v>1955</v>
      </c>
    </row>
    <row r="968" spans="1:2" ht="15.75" customHeight="1">
      <c r="A968" s="9" t="s">
        <v>1956</v>
      </c>
      <c r="B968" s="9" t="s">
        <v>1957</v>
      </c>
    </row>
    <row r="969" spans="1:2" ht="15.75" customHeight="1">
      <c r="A969" s="9" t="s">
        <v>1958</v>
      </c>
      <c r="B969" s="9" t="s">
        <v>1959</v>
      </c>
    </row>
    <row r="970" spans="1:2" ht="15.75" customHeight="1">
      <c r="A970" s="9" t="s">
        <v>1960</v>
      </c>
      <c r="B970" s="9" t="s">
        <v>1961</v>
      </c>
    </row>
    <row r="971" spans="1:2" ht="15.75" customHeight="1">
      <c r="A971" s="9" t="s">
        <v>1962</v>
      </c>
      <c r="B971" s="9" t="s">
        <v>1963</v>
      </c>
    </row>
    <row r="972" spans="1:2" ht="15.75" customHeight="1">
      <c r="A972" s="9" t="s">
        <v>1964</v>
      </c>
      <c r="B972" s="9" t="s">
        <v>250</v>
      </c>
    </row>
    <row r="973" spans="1:2" ht="15.75" customHeight="1">
      <c r="A973" s="9" t="s">
        <v>1965</v>
      </c>
      <c r="B973" s="9" t="s">
        <v>1966</v>
      </c>
    </row>
    <row r="974" spans="1:2" ht="15.75" customHeight="1">
      <c r="A974" s="9" t="s">
        <v>1967</v>
      </c>
      <c r="B974" s="9" t="s">
        <v>1968</v>
      </c>
    </row>
    <row r="975" spans="1:2" ht="15.75" customHeight="1">
      <c r="A975" s="9" t="s">
        <v>1969</v>
      </c>
      <c r="B975" s="9" t="s">
        <v>1970</v>
      </c>
    </row>
    <row r="976" spans="1:2" ht="15.75" customHeight="1">
      <c r="A976" s="9" t="s">
        <v>1971</v>
      </c>
      <c r="B976" s="9" t="s">
        <v>1972</v>
      </c>
    </row>
    <row r="977" spans="1:2" ht="15.75" customHeight="1">
      <c r="A977" s="9" t="s">
        <v>1973</v>
      </c>
      <c r="B977" s="9" t="s">
        <v>1974</v>
      </c>
    </row>
    <row r="978" spans="1:2" ht="15.75" customHeight="1">
      <c r="A978" s="9" t="s">
        <v>1975</v>
      </c>
      <c r="B978" s="9" t="s">
        <v>807</v>
      </c>
    </row>
    <row r="979" spans="1:2" ht="15.75" customHeight="1">
      <c r="A979" s="9" t="s">
        <v>1976</v>
      </c>
      <c r="B979" s="9" t="s">
        <v>336</v>
      </c>
    </row>
    <row r="980" spans="1:2" ht="15.75" customHeight="1">
      <c r="A980" s="9" t="s">
        <v>1977</v>
      </c>
      <c r="B980" s="9" t="s">
        <v>936</v>
      </c>
    </row>
    <row r="981" spans="1:2" ht="15.75" customHeight="1">
      <c r="A981" s="9" t="s">
        <v>1978</v>
      </c>
      <c r="B981" s="9" t="s">
        <v>1979</v>
      </c>
    </row>
    <row r="982" spans="1:2" ht="15.75" customHeight="1">
      <c r="A982" s="9" t="s">
        <v>1980</v>
      </c>
      <c r="B982" s="9" t="s">
        <v>1981</v>
      </c>
    </row>
    <row r="983" spans="1:2" ht="15.75" customHeight="1">
      <c r="A983" s="9" t="s">
        <v>1982</v>
      </c>
      <c r="B983" s="9" t="s">
        <v>1229</v>
      </c>
    </row>
    <row r="984" spans="1:2" ht="15.75" customHeight="1">
      <c r="A984" s="9" t="s">
        <v>1983</v>
      </c>
      <c r="B984" s="9" t="s">
        <v>1984</v>
      </c>
    </row>
    <row r="985" spans="1:2" ht="15.75" customHeight="1">
      <c r="A985" s="9" t="s">
        <v>1985</v>
      </c>
      <c r="B985" s="9" t="s">
        <v>1986</v>
      </c>
    </row>
    <row r="986" spans="1:2" ht="15.75" customHeight="1">
      <c r="A986" s="9" t="s">
        <v>1987</v>
      </c>
      <c r="B986" s="9" t="s">
        <v>1988</v>
      </c>
    </row>
    <row r="987" spans="1:2" ht="15.75" customHeight="1">
      <c r="A987" s="9" t="s">
        <v>1989</v>
      </c>
      <c r="B987" s="9" t="s">
        <v>1990</v>
      </c>
    </row>
    <row r="988" spans="1:2" ht="15.75" customHeight="1">
      <c r="A988" s="9" t="s">
        <v>1991</v>
      </c>
      <c r="B988" s="9" t="s">
        <v>1992</v>
      </c>
    </row>
    <row r="989" spans="1:2" ht="15.75" customHeight="1">
      <c r="A989" s="9" t="s">
        <v>1993</v>
      </c>
      <c r="B989" s="9" t="s">
        <v>977</v>
      </c>
    </row>
    <row r="990" spans="1:2" ht="15.75" customHeight="1">
      <c r="A990" s="9" t="s">
        <v>1994</v>
      </c>
      <c r="B990" s="9" t="s">
        <v>1995</v>
      </c>
    </row>
    <row r="991" spans="1:2" ht="15.75" customHeight="1">
      <c r="A991" s="9" t="s">
        <v>1996</v>
      </c>
      <c r="B991" s="9" t="s">
        <v>1997</v>
      </c>
    </row>
    <row r="992" spans="1:2" ht="15.75" customHeight="1">
      <c r="A992" s="9" t="s">
        <v>1998</v>
      </c>
      <c r="B992" s="9" t="s">
        <v>1999</v>
      </c>
    </row>
    <row r="993" spans="1:2" ht="15.75" customHeight="1">
      <c r="A993" s="9" t="s">
        <v>2000</v>
      </c>
      <c r="B993" s="9" t="s">
        <v>2001</v>
      </c>
    </row>
    <row r="994" spans="1:2" ht="15.75" customHeight="1">
      <c r="A994" s="9" t="s">
        <v>2002</v>
      </c>
      <c r="B994" s="9" t="s">
        <v>951</v>
      </c>
    </row>
    <row r="995" spans="1:2" ht="15.75" customHeight="1">
      <c r="A995" s="9" t="s">
        <v>2003</v>
      </c>
      <c r="B995" s="9" t="s">
        <v>2004</v>
      </c>
    </row>
    <row r="996" spans="1:2" ht="15.75" customHeight="1">
      <c r="A996" s="9" t="s">
        <v>2005</v>
      </c>
      <c r="B996" s="9" t="s">
        <v>2006</v>
      </c>
    </row>
    <row r="997" spans="1:2" ht="15.75" customHeight="1">
      <c r="A997" s="9" t="s">
        <v>2007</v>
      </c>
      <c r="B997" s="9" t="s">
        <v>2008</v>
      </c>
    </row>
    <row r="998" spans="1:2" ht="15.75" customHeight="1">
      <c r="A998" s="9" t="s">
        <v>2009</v>
      </c>
      <c r="B998" s="9" t="s">
        <v>951</v>
      </c>
    </row>
    <row r="999" spans="1:2" ht="15.75" customHeight="1">
      <c r="A999" s="9" t="s">
        <v>2010</v>
      </c>
      <c r="B999" s="9" t="s">
        <v>2011</v>
      </c>
    </row>
    <row r="1000" spans="1:2" ht="15.75" customHeight="1">
      <c r="A1000" s="9" t="s">
        <v>2012</v>
      </c>
      <c r="B1000" s="9" t="s">
        <v>2013</v>
      </c>
    </row>
    <row r="1001" spans="1:2" ht="15.75" customHeight="1">
      <c r="A1001" s="9" t="s">
        <v>2014</v>
      </c>
      <c r="B1001" s="9" t="s">
        <v>2015</v>
      </c>
    </row>
    <row r="1002" spans="1:2" ht="15.75" customHeight="1">
      <c r="A1002" s="9" t="s">
        <v>2016</v>
      </c>
      <c r="B1002" s="9" t="s">
        <v>2017</v>
      </c>
    </row>
    <row r="1003" spans="1:2" ht="15.75" customHeight="1">
      <c r="A1003" s="9" t="s">
        <v>2018</v>
      </c>
      <c r="B1003" s="9" t="s">
        <v>2019</v>
      </c>
    </row>
    <row r="1004" spans="1:2" ht="15.75" customHeight="1">
      <c r="A1004" s="9" t="s">
        <v>2020</v>
      </c>
      <c r="B1004" s="9" t="s">
        <v>2021</v>
      </c>
    </row>
    <row r="1005" spans="1:2" ht="15.75" customHeight="1">
      <c r="A1005" s="9" t="s">
        <v>2022</v>
      </c>
      <c r="B1005" s="9" t="s">
        <v>2023</v>
      </c>
    </row>
    <row r="1006" spans="1:2" ht="15.75" customHeight="1">
      <c r="A1006" s="9" t="s">
        <v>2024</v>
      </c>
      <c r="B1006" s="9" t="s">
        <v>2025</v>
      </c>
    </row>
    <row r="1007" spans="1:2" ht="15.75" customHeight="1">
      <c r="A1007" s="9" t="s">
        <v>2026</v>
      </c>
      <c r="B1007" s="9" t="s">
        <v>2027</v>
      </c>
    </row>
    <row r="1008" spans="1:2" ht="15.75" customHeight="1">
      <c r="A1008" s="9" t="s">
        <v>2028</v>
      </c>
      <c r="B1008" s="9" t="s">
        <v>2029</v>
      </c>
    </row>
    <row r="1009" spans="1:2" ht="15.75" customHeight="1">
      <c r="A1009" s="9" t="s">
        <v>2030</v>
      </c>
      <c r="B1009" s="9" t="s">
        <v>626</v>
      </c>
    </row>
    <row r="1010" spans="1:2" ht="15.75" customHeight="1">
      <c r="A1010" s="9" t="s">
        <v>2031</v>
      </c>
      <c r="B1010" s="9" t="s">
        <v>2032</v>
      </c>
    </row>
    <row r="1011" spans="1:2" ht="15.75" customHeight="1">
      <c r="A1011" s="9" t="s">
        <v>2033</v>
      </c>
      <c r="B1011" s="9" t="s">
        <v>2034</v>
      </c>
    </row>
    <row r="1012" spans="1:2" ht="15.75" customHeight="1">
      <c r="A1012" s="9" t="s">
        <v>2035</v>
      </c>
      <c r="B1012" s="9" t="s">
        <v>2036</v>
      </c>
    </row>
    <row r="1013" spans="1:2" ht="15.75" customHeight="1">
      <c r="A1013" s="9" t="s">
        <v>2037</v>
      </c>
      <c r="B1013" s="9" t="s">
        <v>2038</v>
      </c>
    </row>
    <row r="1014" spans="1:2" ht="15.75" customHeight="1">
      <c r="A1014" s="9" t="s">
        <v>2039</v>
      </c>
      <c r="B1014" s="9" t="s">
        <v>2040</v>
      </c>
    </row>
    <row r="1015" spans="1:2" ht="15.75" customHeight="1">
      <c r="A1015" s="9" t="s">
        <v>2041</v>
      </c>
      <c r="B1015" s="9" t="s">
        <v>2042</v>
      </c>
    </row>
    <row r="1016" spans="1:2" ht="15.75" customHeight="1">
      <c r="A1016" s="9" t="s">
        <v>2043</v>
      </c>
      <c r="B1016" s="9" t="s">
        <v>174</v>
      </c>
    </row>
    <row r="1017" spans="1:2" ht="15.75" customHeight="1">
      <c r="A1017" s="9" t="s">
        <v>2044</v>
      </c>
      <c r="B1017" s="9" t="s">
        <v>2045</v>
      </c>
    </row>
    <row r="1018" spans="1:2" ht="15.75" customHeight="1">
      <c r="A1018" s="9" t="s">
        <v>2046</v>
      </c>
      <c r="B1018" s="9" t="s">
        <v>2047</v>
      </c>
    </row>
    <row r="1019" spans="1:2" ht="15.75" customHeight="1">
      <c r="A1019" s="9" t="s">
        <v>2048</v>
      </c>
      <c r="B1019" s="9" t="s">
        <v>240</v>
      </c>
    </row>
    <row r="1020" spans="1:2" ht="15.75" customHeight="1">
      <c r="A1020" s="9" t="s">
        <v>2049</v>
      </c>
      <c r="B1020" s="9" t="s">
        <v>2050</v>
      </c>
    </row>
    <row r="1021" spans="1:2" ht="15.75" customHeight="1">
      <c r="A1021" s="9" t="s">
        <v>2051</v>
      </c>
      <c r="B1021" s="9" t="s">
        <v>2052</v>
      </c>
    </row>
    <row r="1022" spans="1:2" ht="15.75" customHeight="1">
      <c r="A1022" s="9" t="s">
        <v>2053</v>
      </c>
      <c r="B1022" s="9" t="s">
        <v>2054</v>
      </c>
    </row>
    <row r="1023" spans="1:2" ht="15.75" customHeight="1">
      <c r="A1023" s="9" t="s">
        <v>2055</v>
      </c>
      <c r="B1023" s="9" t="s">
        <v>2056</v>
      </c>
    </row>
    <row r="1024" spans="1:2" ht="15.75" customHeight="1">
      <c r="A1024" s="9" t="s">
        <v>2057</v>
      </c>
      <c r="B1024" s="9" t="s">
        <v>2058</v>
      </c>
    </row>
    <row r="1025" spans="1:2" ht="15.75" customHeight="1">
      <c r="A1025" s="9" t="s">
        <v>2059</v>
      </c>
      <c r="B1025" s="9" t="s">
        <v>2060</v>
      </c>
    </row>
    <row r="1026" spans="1:2" ht="15.75" customHeight="1">
      <c r="A1026" s="9" t="s">
        <v>2061</v>
      </c>
      <c r="B1026" s="9" t="s">
        <v>2062</v>
      </c>
    </row>
    <row r="1027" spans="1:2" ht="15.75" customHeight="1">
      <c r="A1027" s="9" t="s">
        <v>2063</v>
      </c>
      <c r="B1027" s="9" t="s">
        <v>2064</v>
      </c>
    </row>
    <row r="1028" spans="1:2" ht="15.75" customHeight="1">
      <c r="A1028" s="9" t="s">
        <v>2065</v>
      </c>
      <c r="B1028" s="9" t="s">
        <v>2066</v>
      </c>
    </row>
    <row r="1029" spans="1:2" ht="15.75" customHeight="1">
      <c r="A1029" s="9" t="s">
        <v>2067</v>
      </c>
      <c r="B1029" s="9" t="s">
        <v>2068</v>
      </c>
    </row>
    <row r="1030" spans="1:2" ht="15.75" customHeight="1">
      <c r="A1030" s="9" t="s">
        <v>2069</v>
      </c>
      <c r="B1030" s="9" t="s">
        <v>2070</v>
      </c>
    </row>
    <row r="1031" spans="1:2" ht="15.75" customHeight="1">
      <c r="A1031" s="9" t="s">
        <v>2071</v>
      </c>
      <c r="B1031" s="9" t="s">
        <v>2072</v>
      </c>
    </row>
    <row r="1032" spans="1:2" ht="15.75" customHeight="1">
      <c r="A1032" s="9" t="s">
        <v>2073</v>
      </c>
      <c r="B1032" s="9" t="s">
        <v>2074</v>
      </c>
    </row>
    <row r="1033" spans="1:2" ht="15.75" customHeight="1">
      <c r="A1033" s="9" t="s">
        <v>2075</v>
      </c>
      <c r="B1033" s="9" t="s">
        <v>2076</v>
      </c>
    </row>
    <row r="1034" spans="1:2" ht="15.75" customHeight="1">
      <c r="A1034" s="9" t="s">
        <v>2077</v>
      </c>
      <c r="B1034" s="9" t="s">
        <v>2078</v>
      </c>
    </row>
    <row r="1035" spans="1:2" ht="15.75" customHeight="1">
      <c r="A1035" s="9" t="s">
        <v>2079</v>
      </c>
      <c r="B1035" s="9" t="s">
        <v>2080</v>
      </c>
    </row>
    <row r="1036" spans="1:2" ht="15.75" customHeight="1">
      <c r="A1036" s="9" t="s">
        <v>2081</v>
      </c>
      <c r="B1036" s="9" t="s">
        <v>2082</v>
      </c>
    </row>
    <row r="1037" spans="1:2" ht="15.75" customHeight="1">
      <c r="A1037" s="9" t="s">
        <v>2083</v>
      </c>
      <c r="B1037" s="9" t="s">
        <v>2084</v>
      </c>
    </row>
    <row r="1038" spans="1:2" ht="15.75" customHeight="1">
      <c r="A1038" s="9" t="s">
        <v>2085</v>
      </c>
      <c r="B1038" s="9" t="s">
        <v>2086</v>
      </c>
    </row>
    <row r="1039" spans="1:2" ht="15.75" customHeight="1">
      <c r="A1039" s="9" t="s">
        <v>2087</v>
      </c>
      <c r="B1039" s="9" t="s">
        <v>2088</v>
      </c>
    </row>
    <row r="1040" spans="1:2" ht="15.75" customHeight="1">
      <c r="A1040" s="9" t="s">
        <v>2089</v>
      </c>
      <c r="B1040" s="9" t="s">
        <v>2090</v>
      </c>
    </row>
    <row r="1041" spans="1:2" ht="15.75" customHeight="1">
      <c r="A1041" s="9" t="s">
        <v>2091</v>
      </c>
      <c r="B1041" s="9" t="s">
        <v>2092</v>
      </c>
    </row>
    <row r="1042" spans="1:2" ht="15.75" customHeight="1">
      <c r="A1042" s="9" t="s">
        <v>2093</v>
      </c>
      <c r="B1042" s="9" t="s">
        <v>2094</v>
      </c>
    </row>
    <row r="1043" spans="1:2" ht="15.75" customHeight="1">
      <c r="A1043" s="9" t="s">
        <v>2095</v>
      </c>
      <c r="B1043" s="9" t="s">
        <v>2096</v>
      </c>
    </row>
    <row r="1044" spans="1:2" ht="15.75" customHeight="1">
      <c r="A1044" s="9" t="s">
        <v>2097</v>
      </c>
      <c r="B1044" s="9" t="s">
        <v>2098</v>
      </c>
    </row>
    <row r="1045" spans="1:2" ht="15.75" customHeight="1">
      <c r="A1045" s="9" t="s">
        <v>2099</v>
      </c>
      <c r="B1045" s="9" t="s">
        <v>2100</v>
      </c>
    </row>
    <row r="1046" spans="1:2" ht="15.75" customHeight="1">
      <c r="A1046" s="9" t="s">
        <v>2101</v>
      </c>
      <c r="B1046" s="9" t="s">
        <v>2102</v>
      </c>
    </row>
    <row r="1047" spans="1:2" ht="15.75" customHeight="1">
      <c r="A1047" s="9" t="s">
        <v>2103</v>
      </c>
      <c r="B1047" s="9" t="s">
        <v>2104</v>
      </c>
    </row>
    <row r="1048" spans="1:2" ht="15.75" customHeight="1">
      <c r="A1048" s="9" t="s">
        <v>2105</v>
      </c>
      <c r="B1048" s="9" t="s">
        <v>2106</v>
      </c>
    </row>
    <row r="1049" spans="1:2" ht="15.75" customHeight="1">
      <c r="A1049" s="9" t="s">
        <v>2107</v>
      </c>
      <c r="B1049" s="9" t="s">
        <v>2108</v>
      </c>
    </row>
    <row r="1050" spans="1:2" ht="15.75" customHeight="1">
      <c r="A1050" s="9" t="s">
        <v>2109</v>
      </c>
      <c r="B1050" s="9" t="s">
        <v>2110</v>
      </c>
    </row>
    <row r="1051" spans="1:2" ht="15.75" customHeight="1">
      <c r="A1051" s="9" t="s">
        <v>2111</v>
      </c>
      <c r="B1051" s="9" t="s">
        <v>2112</v>
      </c>
    </row>
    <row r="1052" spans="1:2" ht="15.75" customHeight="1">
      <c r="A1052" s="9" t="s">
        <v>2113</v>
      </c>
      <c r="B1052" s="9" t="s">
        <v>256</v>
      </c>
    </row>
    <row r="1053" spans="1:2" ht="15.75" customHeight="1">
      <c r="A1053" s="9" t="s">
        <v>2114</v>
      </c>
      <c r="B1053" s="9" t="s">
        <v>2115</v>
      </c>
    </row>
    <row r="1054" spans="1:2" ht="15.75" customHeight="1">
      <c r="A1054" s="9" t="s">
        <v>2116</v>
      </c>
      <c r="B1054" s="9" t="s">
        <v>2117</v>
      </c>
    </row>
    <row r="1055" spans="1:2" ht="15.75" customHeight="1">
      <c r="A1055" s="9" t="s">
        <v>2118</v>
      </c>
      <c r="B1055" s="9" t="s">
        <v>2119</v>
      </c>
    </row>
    <row r="1056" spans="1:2" ht="15.75" customHeight="1">
      <c r="A1056" s="9" t="s">
        <v>2120</v>
      </c>
      <c r="B1056" s="9" t="s">
        <v>2121</v>
      </c>
    </row>
    <row r="1057" spans="1:2" ht="15.75" customHeight="1">
      <c r="A1057" s="9" t="s">
        <v>2122</v>
      </c>
      <c r="B1057" s="9" t="s">
        <v>2123</v>
      </c>
    </row>
    <row r="1058" spans="1:2" ht="15.75" customHeight="1">
      <c r="A1058" s="9" t="s">
        <v>2124</v>
      </c>
      <c r="B1058" s="9" t="s">
        <v>2125</v>
      </c>
    </row>
    <row r="1059" spans="1:2" ht="15.75" customHeight="1">
      <c r="A1059" s="9" t="s">
        <v>2126</v>
      </c>
      <c r="B1059" s="9" t="s">
        <v>2127</v>
      </c>
    </row>
    <row r="1060" spans="1:2" ht="15.75" customHeight="1">
      <c r="A1060" s="9" t="s">
        <v>2128</v>
      </c>
      <c r="B1060" s="9" t="s">
        <v>2129</v>
      </c>
    </row>
    <row r="1061" spans="1:2" ht="15.75" customHeight="1">
      <c r="A1061" s="9" t="s">
        <v>2130</v>
      </c>
      <c r="B1061" s="9" t="s">
        <v>2131</v>
      </c>
    </row>
    <row r="1062" spans="1:2" ht="15.75" customHeight="1">
      <c r="A1062" s="9" t="s">
        <v>2132</v>
      </c>
      <c r="B1062" s="9" t="s">
        <v>2133</v>
      </c>
    </row>
    <row r="1063" spans="1:2" ht="15.75" customHeight="1">
      <c r="A1063" s="9" t="s">
        <v>2134</v>
      </c>
      <c r="B1063" s="9" t="s">
        <v>2135</v>
      </c>
    </row>
    <row r="1064" spans="1:2" ht="15.75" customHeight="1">
      <c r="A1064" s="9" t="s">
        <v>2136</v>
      </c>
      <c r="B1064" s="9" t="s">
        <v>2137</v>
      </c>
    </row>
    <row r="1065" spans="1:2" ht="15.75" customHeight="1">
      <c r="A1065" s="9" t="s">
        <v>2138</v>
      </c>
      <c r="B1065" s="9" t="s">
        <v>2139</v>
      </c>
    </row>
    <row r="1066" spans="1:2" ht="15.75" customHeight="1">
      <c r="A1066" s="9" t="s">
        <v>2140</v>
      </c>
      <c r="B1066" s="9" t="s">
        <v>2141</v>
      </c>
    </row>
    <row r="1067" spans="1:2" ht="15.75" customHeight="1">
      <c r="A1067" s="9" t="s">
        <v>2142</v>
      </c>
      <c r="B1067" s="9" t="s">
        <v>2143</v>
      </c>
    </row>
    <row r="1068" spans="1:2" ht="15.75" customHeight="1">
      <c r="A1068" s="9" t="s">
        <v>2144</v>
      </c>
      <c r="B1068" s="9" t="s">
        <v>2145</v>
      </c>
    </row>
    <row r="1069" spans="1:2" ht="15.75" customHeight="1">
      <c r="A1069" s="9" t="s">
        <v>2146</v>
      </c>
      <c r="B1069" s="9" t="s">
        <v>2147</v>
      </c>
    </row>
    <row r="1070" spans="1:2" ht="15.75" customHeight="1">
      <c r="A1070" s="9" t="s">
        <v>2148</v>
      </c>
      <c r="B1070" s="9" t="s">
        <v>2149</v>
      </c>
    </row>
    <row r="1071" spans="1:2" ht="15.75" customHeight="1">
      <c r="A1071" s="9" t="s">
        <v>2150</v>
      </c>
      <c r="B1071" s="9" t="s">
        <v>2151</v>
      </c>
    </row>
    <row r="1072" spans="1:2" ht="15.75" customHeight="1">
      <c r="A1072" s="9" t="s">
        <v>2152</v>
      </c>
      <c r="B1072" s="9" t="s">
        <v>2153</v>
      </c>
    </row>
    <row r="1073" spans="1:2" ht="15.75" customHeight="1">
      <c r="A1073" s="9" t="s">
        <v>2154</v>
      </c>
      <c r="B1073" s="9" t="s">
        <v>2155</v>
      </c>
    </row>
    <row r="1074" spans="1:2" ht="15.75" customHeight="1">
      <c r="A1074" s="9" t="s">
        <v>2156</v>
      </c>
      <c r="B1074" s="9" t="s">
        <v>2157</v>
      </c>
    </row>
    <row r="1075" spans="1:2" ht="15.75" customHeight="1">
      <c r="A1075" s="9" t="s">
        <v>2158</v>
      </c>
      <c r="B1075" s="9" t="s">
        <v>2159</v>
      </c>
    </row>
    <row r="1076" spans="1:2" ht="15.75" customHeight="1">
      <c r="A1076" s="9" t="s">
        <v>2160</v>
      </c>
      <c r="B1076" s="9" t="s">
        <v>1562</v>
      </c>
    </row>
    <row r="1077" spans="1:2" ht="15.75" customHeight="1">
      <c r="A1077" s="9" t="s">
        <v>2161</v>
      </c>
      <c r="B1077" s="9" t="s">
        <v>2162</v>
      </c>
    </row>
    <row r="1078" spans="1:2" ht="15.75" customHeight="1">
      <c r="A1078" s="9" t="s">
        <v>2163</v>
      </c>
      <c r="B1078" s="9" t="s">
        <v>174</v>
      </c>
    </row>
    <row r="1079" spans="1:2" ht="15.75" customHeight="1">
      <c r="A1079" s="9" t="s">
        <v>2164</v>
      </c>
      <c r="B1079" s="9" t="s">
        <v>2165</v>
      </c>
    </row>
    <row r="1080" spans="1:2" ht="15.75" customHeight="1">
      <c r="A1080" s="9" t="s">
        <v>2166</v>
      </c>
      <c r="B1080" s="9" t="s">
        <v>2167</v>
      </c>
    </row>
    <row r="1081" spans="1:2" ht="15.75" customHeight="1">
      <c r="A1081" s="9" t="s">
        <v>2168</v>
      </c>
      <c r="B1081" s="9" t="s">
        <v>2169</v>
      </c>
    </row>
    <row r="1082" spans="1:2" ht="15.75" customHeight="1">
      <c r="A1082" s="9" t="s">
        <v>2170</v>
      </c>
      <c r="B1082" s="9" t="s">
        <v>2171</v>
      </c>
    </row>
    <row r="1083" spans="1:2" ht="15.75" customHeight="1">
      <c r="A1083" s="9" t="s">
        <v>2172</v>
      </c>
      <c r="B1083" s="9" t="s">
        <v>2173</v>
      </c>
    </row>
    <row r="1084" spans="1:2" ht="15.75" customHeight="1">
      <c r="A1084" s="9" t="s">
        <v>2174</v>
      </c>
      <c r="B1084" s="9" t="s">
        <v>224</v>
      </c>
    </row>
    <row r="1085" spans="1:2" ht="15.75" customHeight="1">
      <c r="A1085" s="9" t="s">
        <v>2175</v>
      </c>
      <c r="B1085" s="9" t="s">
        <v>936</v>
      </c>
    </row>
    <row r="1086" spans="1:2" ht="15.75" customHeight="1">
      <c r="A1086" s="9" t="s">
        <v>2176</v>
      </c>
      <c r="B1086" s="9" t="s">
        <v>2177</v>
      </c>
    </row>
    <row r="1087" spans="1:2" ht="15.75" customHeight="1">
      <c r="A1087" s="9" t="s">
        <v>2178</v>
      </c>
      <c r="B1087" s="9" t="s">
        <v>2179</v>
      </c>
    </row>
    <row r="1088" spans="1:2" ht="15.75" customHeight="1">
      <c r="A1088" s="9" t="s">
        <v>2180</v>
      </c>
      <c r="B1088" s="9" t="s">
        <v>2181</v>
      </c>
    </row>
    <row r="1089" spans="1:2" ht="15.75" customHeight="1">
      <c r="A1089" s="9" t="s">
        <v>2182</v>
      </c>
      <c r="B1089" s="9" t="s">
        <v>2183</v>
      </c>
    </row>
    <row r="1090" spans="1:2" ht="15.75" customHeight="1">
      <c r="A1090" s="9" t="s">
        <v>2184</v>
      </c>
      <c r="B1090" s="9" t="s">
        <v>240</v>
      </c>
    </row>
    <row r="1091" spans="1:2" ht="15.75" customHeight="1">
      <c r="A1091" s="9" t="s">
        <v>2185</v>
      </c>
      <c r="B1091" s="9" t="s">
        <v>90</v>
      </c>
    </row>
    <row r="1092" spans="1:2" ht="15.75" customHeight="1">
      <c r="A1092" s="9" t="s">
        <v>2186</v>
      </c>
      <c r="B1092" s="9" t="s">
        <v>2187</v>
      </c>
    </row>
    <row r="1093" spans="1:2" ht="15.75" customHeight="1">
      <c r="A1093" s="9" t="s">
        <v>2188</v>
      </c>
      <c r="B1093" s="9" t="s">
        <v>2189</v>
      </c>
    </row>
    <row r="1094" spans="1:2" ht="15.75" customHeight="1">
      <c r="A1094" s="9" t="s">
        <v>2190</v>
      </c>
      <c r="B1094" s="9" t="s">
        <v>2191</v>
      </c>
    </row>
    <row r="1095" spans="1:2" ht="15.75" customHeight="1">
      <c r="A1095" s="9" t="s">
        <v>2192</v>
      </c>
      <c r="B1095" s="9" t="s">
        <v>2193</v>
      </c>
    </row>
    <row r="1096" spans="1:2" ht="15.75" customHeight="1">
      <c r="A1096" s="9" t="s">
        <v>2194</v>
      </c>
      <c r="B1096" s="9" t="s">
        <v>2195</v>
      </c>
    </row>
    <row r="1097" spans="1:2" ht="15.75" customHeight="1">
      <c r="A1097" s="9" t="s">
        <v>2196</v>
      </c>
      <c r="B1097" s="9" t="s">
        <v>2197</v>
      </c>
    </row>
    <row r="1098" spans="1:2" ht="15.75" customHeight="1">
      <c r="A1098" s="9" t="s">
        <v>2198</v>
      </c>
      <c r="B1098" s="9" t="s">
        <v>2199</v>
      </c>
    </row>
    <row r="1099" spans="1:2" ht="15.75" customHeight="1">
      <c r="A1099" s="9" t="s">
        <v>2200</v>
      </c>
      <c r="B1099" s="9" t="s">
        <v>2201</v>
      </c>
    </row>
    <row r="1100" spans="1:2" ht="15.75" customHeight="1">
      <c r="A1100" s="9" t="s">
        <v>2202</v>
      </c>
      <c r="B1100" s="9" t="s">
        <v>2203</v>
      </c>
    </row>
    <row r="1101" spans="1:2" ht="15.75" customHeight="1">
      <c r="A1101" s="9" t="s">
        <v>2204</v>
      </c>
      <c r="B1101" s="9" t="s">
        <v>2205</v>
      </c>
    </row>
    <row r="1102" spans="1:2" ht="15.75" customHeight="1">
      <c r="A1102" s="9" t="s">
        <v>2206</v>
      </c>
      <c r="B1102" s="9" t="s">
        <v>386</v>
      </c>
    </row>
    <row r="1103" spans="1:2" ht="15.75" customHeight="1">
      <c r="A1103" s="9" t="s">
        <v>2207</v>
      </c>
      <c r="B1103" s="9" t="s">
        <v>2208</v>
      </c>
    </row>
    <row r="1104" spans="1:2" ht="15.75" customHeight="1">
      <c r="A1104" s="9" t="s">
        <v>2209</v>
      </c>
      <c r="B1104" s="9" t="s">
        <v>2210</v>
      </c>
    </row>
    <row r="1105" spans="1:2" ht="15.75" customHeight="1">
      <c r="A1105" s="9" t="s">
        <v>2211</v>
      </c>
      <c r="B1105" s="9" t="s">
        <v>2212</v>
      </c>
    </row>
    <row r="1106" spans="1:2" ht="15.75" customHeight="1">
      <c r="A1106" s="9" t="s">
        <v>2213</v>
      </c>
      <c r="B1106" s="9" t="s">
        <v>2214</v>
      </c>
    </row>
    <row r="1107" spans="1:2" ht="15.75" customHeight="1">
      <c r="A1107" s="9" t="s">
        <v>2215</v>
      </c>
      <c r="B1107" s="9" t="s">
        <v>2216</v>
      </c>
    </row>
    <row r="1108" spans="1:2" ht="15.75" customHeight="1">
      <c r="A1108" s="9" t="s">
        <v>2217</v>
      </c>
      <c r="B1108" s="9" t="s">
        <v>2218</v>
      </c>
    </row>
    <row r="1109" spans="1:2" ht="15.75" customHeight="1">
      <c r="A1109" s="9" t="s">
        <v>2219</v>
      </c>
      <c r="B1109" s="9" t="s">
        <v>2220</v>
      </c>
    </row>
    <row r="1110" spans="1:2" ht="15.75" customHeight="1">
      <c r="A1110" s="9" t="s">
        <v>2221</v>
      </c>
      <c r="B1110" s="9" t="s">
        <v>2222</v>
      </c>
    </row>
    <row r="1111" spans="1:2" ht="15.75" customHeight="1">
      <c r="A1111" s="9" t="s">
        <v>2223</v>
      </c>
      <c r="B1111" s="9" t="s">
        <v>2224</v>
      </c>
    </row>
    <row r="1112" spans="1:2" ht="15.75" customHeight="1">
      <c r="A1112" s="9" t="s">
        <v>2225</v>
      </c>
      <c r="B1112" s="9" t="s">
        <v>2226</v>
      </c>
    </row>
    <row r="1113" spans="1:2" ht="15.75" customHeight="1">
      <c r="A1113" s="9" t="s">
        <v>2227</v>
      </c>
      <c r="B1113" s="9" t="s">
        <v>2228</v>
      </c>
    </row>
    <row r="1114" spans="1:2" ht="15.75" customHeight="1">
      <c r="A1114" s="9" t="s">
        <v>2229</v>
      </c>
      <c r="B1114" s="9" t="s">
        <v>2230</v>
      </c>
    </row>
    <row r="1115" spans="1:2" ht="15.75" customHeight="1">
      <c r="A1115" s="9" t="s">
        <v>2231</v>
      </c>
      <c r="B1115" s="9" t="s">
        <v>2232</v>
      </c>
    </row>
    <row r="1116" spans="1:2" ht="15.75" customHeight="1">
      <c r="A1116" s="9" t="s">
        <v>2233</v>
      </c>
      <c r="B1116" s="9" t="s">
        <v>2234</v>
      </c>
    </row>
    <row r="1117" spans="1:2" ht="15.75" customHeight="1">
      <c r="A1117" s="9" t="s">
        <v>2235</v>
      </c>
      <c r="B1117" s="9" t="s">
        <v>2236</v>
      </c>
    </row>
    <row r="1118" spans="1:2" ht="15.75" customHeight="1">
      <c r="A1118" s="9" t="s">
        <v>2237</v>
      </c>
      <c r="B1118" s="9" t="s">
        <v>2238</v>
      </c>
    </row>
    <row r="1119" spans="1:2" ht="15.75" customHeight="1">
      <c r="A1119" s="9" t="s">
        <v>2239</v>
      </c>
      <c r="B1119" s="9" t="s">
        <v>2240</v>
      </c>
    </row>
    <row r="1120" spans="1:2" ht="15.75" customHeight="1">
      <c r="A1120" s="9" t="s">
        <v>2241</v>
      </c>
      <c r="B1120" s="9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LUZ MARINA AVELLA AVELLA</cp:lastModifiedBy>
  <cp:lastPrinted>2026-03-30T17:32:14Z</cp:lastPrinted>
  <dcterms:created xsi:type="dcterms:W3CDTF">2015-06-05T18:19:34Z</dcterms:created>
  <dcterms:modified xsi:type="dcterms:W3CDTF">2026-07-01T02:30:40Z</dcterms:modified>
</cp:coreProperties>
</file>