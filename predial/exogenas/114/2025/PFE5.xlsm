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mc:AlternateContent xmlns:mc="http://schemas.openxmlformats.org/markup-compatibility/2006">
    <mc:Choice Requires="x15">
      <x15ac:absPath xmlns:x15ac="http://schemas.microsoft.com/office/spreadsheetml/2010/11/ac" url="C:\Users\carde\Downloads\"/>
    </mc:Choice>
  </mc:AlternateContent>
  <xr:revisionPtr revIDLastSave="0" documentId="13_ncr:1_{FA06F114-2273-467E-B74E-D793014A98DD}"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alcChain.xml><?xml version="1.0" encoding="utf-8"?>
<calcChain xmlns="http://schemas.openxmlformats.org/spreadsheetml/2006/main">
  <c r="H184" i="1" l="1"/>
  <c r="H183" i="1"/>
  <c r="H165" i="1"/>
  <c r="H107" i="1"/>
  <c r="H98" i="1"/>
  <c r="H43" i="1"/>
  <c r="H32" i="1"/>
  <c r="H24" i="1"/>
  <c r="H1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<sst xmlns="http://schemas.openxmlformats.org/spreadsheetml/2006/main" count="3088" uniqueCount="2799">
  <si>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</si>
  <si>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</si>
  <si>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</si>
  <si>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</si>
  <si>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</si>
  <si>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</si>
  <si>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</si>
  <si>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</si>
  <si>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</si>
  <si>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</si>
  <si>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</si>
  <si>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</si>
  <si>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</si>
  <si>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</si>
  <si>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</si>
  <si>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</si>
  <si>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</si>
  <si>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</si>
  <si>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</si>
  <si>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</si>
  <si>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</si>
  <si>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</si>
  <si>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</si>
  <si>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</si>
  <si>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</si>
  <si>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</si>
  <si>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</si>
  <si>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</si>
  <si>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</si>
  <si>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</si>
  <si>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</si>
  <si>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</si>
  <si>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</si>
  <si>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</si>
  <si>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</si>
  <si>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</si>
  <si>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</si>
  <si>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</si>
  <si>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</si>
  <si>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</si>
  <si>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</si>
  <si>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</si>
  <si>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</si>
  <si>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</si>
  <si>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</si>
  <si>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</si>
  <si>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</si>
  <si>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</si>
  <si>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</si>
  <si>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</si>
  <si>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</si>
  <si>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</si>
  <si>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</si>
  <si>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</si>
  <si>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</si>
  <si>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</si>
  <si>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</si>
  <si>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</si>
  <si>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</si>
  <si>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</si>
  <si>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</si>
  <si>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</si>
  <si>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</si>
  <si>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</si>
  <si>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</si>
  <si>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</si>
  <si>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</si>
  <si>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</si>
  <si>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</si>
  <si>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</si>
  <si>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</si>
  <si>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</si>
  <si>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</si>
  <si>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</si>
  <si>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</si>
  <si>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</si>
  <si>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</si>
  <si>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</si>
  <si>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</si>
  <si>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</si>
  <si>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</si>
  <si>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</si>
  <si>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</si>
  <si>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</si>
  <si>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</si>
  <si>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</si>
  <si>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</si>
  <si>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</si>
  <si>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</si>
  <si>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</si>
  <si>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</si>
  <si>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</si>
  <si>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</si>
  <si>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</si>
  <si>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</si>
  <si>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</si>
  <si>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</si>
  <si>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</si>
  <si>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</si>
  <si>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</si>
  <si>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</si>
  <si>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</si>
  <si>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</si>
  <si>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</si>
  <si>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</si>
  <si>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</si>
  <si>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</si>
  <si>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</si>
  <si>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</si>
  <si>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</si>
  <si>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</si>
  <si>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</si>
  <si>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</si>
  <si>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</si>
  <si>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</si>
  <si>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</si>
  <si>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</si>
  <si>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</si>
  <si>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</si>
  <si>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</si>
  <si>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</si>
  <si>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</si>
  <si>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</si>
  <si>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</si>
  <si>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</si>
  <si>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</si>
  <si>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</si>
  <si>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</si>
  <si>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</si>
  <si>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</si>
  <si>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</si>
  <si>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</si>
  <si>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</si>
  <si>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</si>
  <si>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</si>
  <si>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</si>
  <si>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</si>
  <si>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</si>
  <si>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</si>
  <si>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</si>
  <si>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</si>
  <si>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</si>
  <si>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</si>
  <si>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</si>
  <si>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</si>
  <si>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</si>
  <si>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</si>
  <si>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</si>
  <si>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</si>
  <si>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</si>
  <si>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</si>
  <si>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</si>
  <si>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</si>
  <si>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</si>
  <si>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</si>
  <si>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</si>
  <si>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</si>
  <si>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</si>
  <si>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</si>
  <si>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</si>
  <si>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</si>
  <si>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</si>
  <si>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</si>
  <si>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</si>
  <si>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</si>
  <si>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</si>
  <si>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</si>
  <si>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</si>
  <si>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</si>
  <si>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</si>
  <si>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</si>
  <si>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</si>
  <si>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</si>
  <si>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</si>
  <si>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</si>
  <si>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</si>
  <si>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</si>
  <si>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</si>
  <si>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</si>
  <si>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</si>
  <si>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</si>
  <si>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</si>
  <si>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</si>
  <si>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</si>
  <si>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</si>
  <si>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</si>
  <si>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</si>
  <si>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</si>
  <si>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</si>
  <si>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</si>
  <si>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</si>
  <si>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</si>
  <si>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</si>
  <si>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</si>
  <si>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</si>
  <si>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</si>
  <si>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</si>
  <si>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</si>
  <si>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</si>
  <si>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</si>
  <si>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</si>
  <si>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</si>
  <si>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</si>
  <si>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</si>
  <si>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</si>
  <si>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</si>
  <si>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</si>
  <si>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</si>
  <si>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</si>
  <si>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</si>
  <si>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</si>
  <si>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</si>
  <si>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</si>
  <si>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</si>
  <si>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</si>
  <si>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</si>
  <si>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</si>
  <si>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</si>
  <si>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</si>
  <si>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</si>
  <si>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</si>
  <si>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</si>
  <si>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</si>
  <si>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</si>
  <si>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</si>
  <si>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</si>
  <si>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</si>
  <si>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</si>
  <si>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</si>
  <si>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</si>
  <si>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</si>
  <si>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</si>
  <si>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</si>
  <si>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</si>
  <si>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</si>
  <si>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</si>
  <si>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</si>
  <si>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</si>
  <si>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</si>
  <si>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</si>
  <si>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</si>
  <si>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</si>
  <si>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</si>
  <si>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</si>
  <si>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</si>
  <si>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</si>
  <si>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</si>
  <si>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</si>
  <si>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</si>
  <si>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</si>
  <si>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</si>
  <si>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</si>
  <si>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</si>
  <si>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</si>
  <si>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</si>
  <si>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</si>
  <si>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</si>
  <si>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</si>
  <si>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</si>
  <si>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</si>
  <si>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</si>
  <si>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</si>
  <si>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</si>
  <si>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</si>
  <si>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</si>
  <si>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</si>
  <si>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</si>
  <si>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</si>
  <si>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</si>
  <si>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</si>
  <si>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</si>
  <si>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</si>
  <si>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</si>
  <si>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</si>
  <si>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</si>
  <si>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</si>
  <si>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</si>
  <si>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</si>
  <si>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</si>
  <si>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</si>
  <si>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</si>
  <si>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</si>
  <si>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</si>
  <si>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</si>
  <si>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</si>
  <si>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</si>
  <si>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</si>
  <si>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</si>
  <si>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</si>
  <si>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</si>
  <si>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</si>
  <si>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</si>
  <si>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</si>
  <si>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</si>
  <si>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</si>
  <si>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</si>
  <si>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</si>
  <si>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</si>
  <si>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</si>
  <si>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</si>
  <si>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</si>
  <si>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</si>
  <si>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</si>
  <si>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</si>
  <si>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</si>
  <si>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</si>
  <si>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</si>
  <si>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</si>
  <si>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</si>
  <si>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</si>
  <si>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</si>
  <si>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</si>
  <si>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</si>
  <si>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</si>
  <si>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</si>
  <si>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</si>
  <si>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</si>
  <si>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</si>
  <si>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</si>
  <si>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</si>
  <si>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</si>
  <si>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</si>
  <si>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</si>
  <si>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</si>
  <si>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</si>
  <si>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</si>
  <si>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</si>
  <si>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</si>
  <si>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</si>
  <si>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</si>
  <si>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</si>
  <si>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</si>
  <si>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</si>
  <si>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</si>
  <si>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</si>
  <si>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</si>
  <si>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</si>
  <si>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</si>
  <si>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</si>
  <si>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</si>
  <si>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</si>
  <si>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</si>
  <si>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</si>
  <si>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</si>
  <si>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</si>
  <si>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</si>
  <si>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</si>
  <si>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</si>
  <si>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</si>
  <si>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</si>
  <si>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</si>
  <si>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</si>
  <si>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</si>
  <si>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</si>
  <si>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</si>
  <si>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</si>
  <si>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</si>
  <si>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</si>
  <si>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</si>
  <si>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</si>
  <si>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</si>
  <si>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</si>
  <si>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</si>
  <si>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</si>
  <si>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</si>
  <si>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</si>
  <si>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</si>
  <si>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</si>
  <si>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</si>
  <si>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</si>
  <si>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</si>
  <si>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</si>
  <si>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</si>
  <si>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</si>
  <si>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</si>
  <si>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</si>
  <si>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</si>
  <si>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</si>
  <si>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</si>
  <si>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</si>
  <si>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</si>
  <si>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</si>
  <si>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</si>
  <si>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</si>
  <si>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</si>
  <si>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</si>
  <si>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</si>
  <si>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</si>
  <si>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</si>
  <si>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</si>
  <si>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</si>
  <si>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</si>
  <si>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</si>
  <si>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</si>
  <si>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</si>
  <si>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</si>
  <si>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</si>
  <si>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</si>
  <si>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</si>
  <si>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</si>
  <si>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</si>
  <si>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</si>
  <si>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</si>
  <si>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</si>
  <si>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</si>
  <si>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</si>
  <si>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</si>
  <si>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</si>
  <si>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</si>
  <si>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</si>
  <si>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</si>
  <si>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</si>
  <si>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</si>
  <si>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</si>
  <si>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</si>
  <si>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</si>
  <si>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</si>
  <si>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</si>
  <si>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</si>
  <si>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</si>
  <si>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</si>
  <si>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</si>
  <si>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</si>
  <si>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</si>
  <si>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</si>
  <si>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</si>
  <si>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</si>
  <si>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</si>
  <si>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</si>
  <si>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</si>
  <si>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</si>
  <si>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</si>
  <si>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</si>
  <si>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</si>
  <si>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</si>
  <si>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</si>
  <si>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</si>
  <si>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</si>
  <si>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</si>
  <si>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</si>
  <si>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</si>
  <si>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</si>
  <si>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</si>
  <si>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</si>
  <si>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</si>
  <si>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</si>
  <si>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</si>
  <si>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</si>
  <si>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</si>
  <si>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</si>
  <si>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</si>
  <si>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</si>
  <si>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</si>
  <si>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</si>
  <si>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</si>
  <si>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</si>
  <si>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</si>
  <si>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</si>
  <si>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</si>
  <si>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</si>
  <si>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</si>
  <si>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</si>
  <si>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</si>
  <si>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</si>
  <si>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</si>
  <si>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</si>
  <si>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</si>
  <si>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</si>
  <si>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</si>
  <si>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</si>
  <si>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</si>
  <si>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</si>
  <si>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</si>
  <si>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</si>
  <si>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</si>
  <si>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</si>
  <si>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</si>
  <si>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</si>
  <si>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</si>
  <si>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</si>
  <si>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</si>
  <si>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</si>
  <si>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</si>
  <si>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</si>
  <si>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</si>
  <si>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</si>
  <si>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</si>
  <si>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</si>
  <si>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</si>
  <si>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</si>
  <si>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</si>
  <si>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</si>
  <si>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</si>
  <si>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</si>
  <si>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</si>
  <si>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</si>
  <si>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</si>
  <si>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</si>
  <si>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</si>
  <si>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</si>
  <si>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</si>
  <si>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</si>
  <si>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</si>
  <si>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</si>
  <si>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</si>
  <si>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</si>
  <si>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</si>
  <si>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</si>
  <si>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</si>
  <si>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</si>
  <si>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</si>
  <si>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</si>
  <si>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</si>
  <si>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</si>
  <si>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</si>
  <si>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</si>
  <si>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</si>
  <si>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</si>
  <si>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</si>
  <si>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</si>
  <si>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</si>
  <si>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</si>
  <si>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</si>
  <si>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</si>
  <si>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</si>
  <si>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</si>
  <si>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</si>
  <si>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</si>
  <si>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</si>
  <si>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</si>
  <si>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</si>
  <si>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</si>
  <si>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</si>
  <si>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</si>
  <si>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</si>
  <si>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</si>
  <si>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</si>
  <si>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</si>
  <si>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</si>
  <si>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</si>
  <si>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</si>
  <si>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</si>
  <si>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</si>
  <si>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</si>
  <si>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</si>
  <si>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</si>
  <si>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</si>
  <si>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</si>
  <si>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</si>
  <si>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</si>
  <si>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</si>
  <si>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</si>
  <si>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</si>
  <si>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</si>
  <si>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</si>
  <si>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</si>
  <si>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</si>
  <si>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</si>
  <si>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</si>
  <si>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</si>
  <si>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</si>
  <si>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</si>
  <si>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</si>
  <si>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</si>
  <si>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</si>
  <si>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</si>
  <si>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</si>
  <si>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</si>
  <si>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</si>
  <si>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</si>
  <si>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</si>
  <si>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</si>
  <si>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</si>
  <si>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</si>
  <si>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</si>
  <si>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</si>
  <si>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</si>
  <si>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</si>
  <si>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</si>
  <si>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</si>
  <si>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</si>
  <si>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</si>
  <si>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</si>
  <si>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</si>
  <si>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</si>
  <si>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</si>
  <si>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</si>
  <si>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</si>
  <si>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</si>
  <si>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</si>
  <si>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</si>
  <si>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</si>
  <si>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</si>
  <si>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</si>
  <si>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</si>
  <si>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</si>
  <si>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</si>
  <si>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</si>
  <si>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</si>
  <si>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</si>
  <si>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</si>
  <si>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</si>
  <si>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</si>
  <si>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</si>
  <si>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</si>
  <si>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</si>
  <si>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</si>
  <si>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</si>
  <si>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</si>
  <si>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</si>
  <si>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</si>
  <si>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</si>
  <si>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</si>
  <si>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</si>
  <si>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</si>
  <si>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</si>
  <si>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</si>
  <si>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</si>
  <si>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</si>
  <si>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</si>
  <si>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</si>
  <si>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</si>
  <si>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</si>
  <si>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</si>
  <si>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</si>
  <si>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</si>
  <si>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</si>
  <si>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</si>
  <si>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</si>
  <si>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</si>
  <si>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</si>
  <si>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</si>
  <si>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</si>
  <si>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</si>
  <si>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</si>
  <si>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</si>
  <si>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</si>
  <si>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</si>
  <si>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</si>
  <si>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</si>
  <si>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</si>
  <si>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</si>
  <si>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</si>
  <si>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</si>
  <si>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</si>
  <si>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</si>
  <si>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</si>
  <si>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</si>
  <si>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</si>
  <si>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</si>
  <si>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</si>
  <si>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</si>
  <si>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</si>
  <si>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</si>
  <si>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</si>
  <si>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</si>
  <si>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</si>
  <si>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</si>
  <si>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</si>
  <si>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</si>
  <si>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</si>
  <si>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</si>
  <si>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</si>
  <si>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</si>
  <si>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</si>
  <si>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</si>
  <si>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</si>
  <si>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</si>
  <si>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</si>
  <si>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</si>
  <si>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</si>
  <si>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</si>
  <si>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</si>
  <si>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</si>
  <si>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</si>
  <si>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</si>
  <si>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</si>
  <si>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</si>
  <si>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</si>
  <si>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</si>
  <si>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</si>
  <si>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</si>
  <si>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</si>
  <si>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</si>
  <si>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</si>
  <si>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</si>
  <si>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</si>
  <si>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</si>
  <si>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</si>
  <si>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</si>
  <si>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</si>
  <si>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</si>
  <si>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</si>
  <si>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</si>
  <si>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</si>
  <si>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</si>
  <si>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</si>
  <si>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</si>
  <si>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</si>
  <si>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</si>
  <si>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</si>
  <si>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</si>
  <si>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</si>
  <si>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</si>
  <si>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</si>
  <si>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</si>
  <si>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</si>
  <si>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</si>
  <si>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</si>
  <si>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</si>
  <si>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</si>
  <si>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</si>
  <si>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</si>
  <si>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</si>
  <si>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</si>
  <si>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</si>
  <si>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</si>
  <si>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</si>
  <si>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</si>
  <si>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</si>
  <si>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</si>
  <si>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</si>
  <si>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</si>
  <si>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</si>
  <si>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</si>
  <si>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</si>
  <si>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</si>
  <si>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</si>
  <si>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</si>
  <si>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</si>
  <si>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</si>
  <si>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</si>
  <si>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</si>
  <si>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</si>
  <si>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</si>
  <si>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</si>
  <si>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</si>
  <si>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</si>
  <si>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</si>
  <si>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</si>
  <si>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</si>
  <si>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</si>
  <si>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</si>
  <si>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</si>
  <si>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</si>
  <si>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</si>
  <si>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</si>
  <si>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</si>
  <si>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</si>
  <si>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</si>
  <si>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</si>
  <si>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</si>
  <si>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</si>
  <si>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</si>
  <si>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</si>
  <si>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</si>
  <si>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</si>
  <si>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</si>
  <si>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</si>
  <si>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</si>
  <si>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</si>
  <si>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</si>
  <si>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</si>
  <si>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</si>
  <si>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</si>
  <si>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</si>
  <si>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</si>
  <si>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</si>
  <si>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</si>
  <si>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</si>
  <si>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</si>
  <si>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</si>
  <si>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</si>
  <si>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</si>
  <si>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</si>
  <si>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</si>
  <si>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</si>
  <si>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</si>
  <si>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</si>
  <si>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</si>
  <si>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</si>
  <si>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</si>
  <si>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</si>
  <si>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</si>
  <si>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</si>
  <si>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</si>
  <si>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</si>
  <si>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</si>
  <si>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</si>
  <si>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</si>
  <si>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</si>
  <si>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</si>
  <si>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</si>
  <si>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</si>
  <si>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</si>
  <si>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</si>
  <si>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</si>
  <si>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</si>
  <si>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</si>
  <si>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</si>
  <si>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</si>
  <si>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</si>
  <si>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</si>
  <si>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</si>
  <si>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</si>
  <si>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</si>
  <si>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</si>
  <si>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</si>
  <si>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</si>
  <si>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</si>
  <si>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</si>
  <si>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</si>
  <si>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</si>
  <si>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</si>
  <si>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</si>
  <si>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</si>
  <si>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</si>
  <si>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</si>
  <si>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</si>
  <si>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</si>
  <si>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</si>
  <si>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</si>
  <si>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</si>
  <si>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</si>
  <si>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</si>
  <si>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</si>
  <si>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</si>
  <si>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</si>
  <si>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</si>
  <si>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</si>
  <si>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</si>
  <si>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</si>
  <si>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</si>
  <si>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</si>
  <si>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</si>
  <si>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</si>
  <si>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</si>
  <si>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</si>
  <si>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</si>
  <si>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</si>
  <si>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</si>
  <si>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</si>
  <si>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</si>
  <si>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</si>
  <si>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</si>
  <si>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</si>
  <si>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</si>
  <si>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</si>
  <si>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</si>
  <si>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</si>
  <si>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</si>
  <si>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</si>
  <si>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</si>
  <si>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</si>
  <si>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</si>
  <si>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</si>
  <si>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</si>
  <si>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</si>
  <si>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</si>
  <si>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</si>
  <si>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</si>
  <si>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</si>
  <si>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</si>
  <si>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</si>
  <si>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</si>
  <si>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</si>
  <si>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</si>
  <si>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</si>
  <si>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</si>
  <si>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</si>
  <si>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</si>
  <si>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</si>
  <si>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</si>
  <si>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</si>
  <si>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</si>
  <si>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</si>
  <si>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</si>
  <si>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</si>
  <si>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</si>
  <si>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</si>
  <si>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</si>
  <si>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</si>
  <si>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</si>
  <si>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</si>
  <si>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</si>
  <si>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</si>
  <si>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</si>
  <si>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</si>
  <si>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</si>
  <si>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</si>
  <si>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</si>
  <si>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</si>
  <si>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</si>
  <si>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</si>
  <si>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</si>
  <si>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</si>
  <si>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</si>
  <si>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</si>
  <si>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</si>
  <si>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</si>
  <si>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</si>
  <si>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</si>
  <si>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</si>
  <si>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</si>
  <si>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</si>
  <si>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</si>
  <si>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</si>
  <si>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</si>
  <si>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</si>
  <si>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</si>
  <si>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</si>
  <si>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</si>
  <si>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</si>
  <si>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</si>
  <si>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</si>
  <si>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</si>
  <si>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</si>
  <si>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</si>
  <si>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</si>
  <si>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</si>
  <si>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</si>
  <si>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</si>
  <si>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</si>
  <si>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</si>
  <si>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</si>
  <si>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</si>
  <si>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</si>
  <si>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</si>
  <si>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</si>
  <si>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</si>
  <si>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</si>
  <si>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</si>
  <si>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</si>
  <si>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</si>
  <si>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</si>
  <si>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</si>
  <si>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</si>
  <si>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</si>
  <si>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</si>
  <si>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</si>
  <si>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</si>
  <si>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</si>
  <si>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</si>
  <si>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</si>
  <si>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</si>
  <si>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</si>
  <si>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</si>
  <si>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</si>
  <si>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</si>
  <si>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</si>
  <si>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</si>
  <si>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</si>
  <si>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</si>
  <si>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</si>
  <si>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</si>
  <si>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</si>
  <si>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</si>
  <si>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</si>
  <si>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</si>
  <si>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</si>
  <si>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</si>
  <si>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</si>
  <si>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</si>
  <si>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</si>
  <si>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</si>
  <si>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</si>
  <si>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</si>
  <si>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</si>
  <si>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</si>
  <si>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</si>
  <si>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</si>
  <si>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</si>
  <si>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</si>
  <si>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</si>
  <si>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</si>
  <si>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</si>
  <si>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</si>
  <si>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</si>
  <si>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</si>
  <si>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</si>
  <si>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</si>
  <si>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</si>
  <si>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</si>
  <si>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</si>
  <si>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</si>
  <si>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</si>
  <si>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</si>
  <si>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</si>
  <si>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</si>
  <si>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</si>
  <si>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</si>
  <si>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</si>
  <si>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</si>
  <si>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</si>
  <si>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</si>
  <si>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</si>
  <si>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</si>
  <si>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</si>
  <si>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</si>
  <si>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</si>
  <si>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</si>
  <si>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</si>
  <si>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</si>
  <si>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</si>
  <si>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</si>
  <si>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</si>
  <si>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</si>
  <si>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</si>
  <si>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</si>
  <si>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</si>
  <si>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</si>
  <si>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</si>
  <si>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</si>
  <si>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</si>
  <si>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</si>
  <si>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</si>
  <si>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</si>
  <si>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</si>
  <si>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</si>
  <si>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</si>
  <si>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</si>
  <si>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</si>
  <si>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</si>
  <si>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</si>
  <si>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</si>
  <si>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</si>
  <si>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</si>
  <si>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</si>
  <si>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</si>
  <si>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</si>
  <si>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</si>
  <si>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</si>
  <si>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</si>
  <si>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</si>
  <si>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</si>
  <si>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</si>
  <si>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</si>
  <si>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</si>
  <si>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</si>
  <si>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</si>
  <si>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</si>
  <si>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</si>
  <si>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</si>
  <si>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</si>
  <si>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</si>
  <si>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</si>
  <si>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</si>
  <si>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</si>
  <si>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</si>
  <si>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</si>
  <si>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</si>
  <si>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</si>
  <si>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</si>
  <si>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</si>
  <si>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</si>
  <si>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</si>
  <si>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</si>
  <si>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</si>
  <si>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</si>
  <si>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</si>
  <si>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</si>
  <si>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</si>
  <si>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</si>
  <si>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</si>
  <si>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</si>
  <si>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</si>
  <si>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</si>
  <si>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</si>
  <si>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</si>
  <si>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</si>
  <si>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</si>
  <si>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</si>
  <si>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</si>
  <si>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</si>
  <si>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</si>
  <si>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</si>
  <si>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</si>
  <si>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</si>
  <si>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</si>
  <si>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</si>
  <si>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</si>
  <si>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</si>
  <si>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</si>
  <si>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</si>
  <si>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</si>
  <si>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</si>
  <si>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</si>
  <si>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</si>
  <si>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</si>
  <si>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</si>
  <si>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</si>
  <si>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</si>
  <si>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</si>
  <si>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</si>
  <si>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</si>
  <si>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</si>
  <si>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</si>
  <si>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</si>
  <si>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</si>
  <si>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</si>
  <si>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</si>
  <si>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</si>
  <si>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</si>
  <si>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</si>
  <si>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</si>
  <si>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</si>
  <si>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</si>
  <si>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</si>
  <si>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</si>
  <si>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</si>
  <si>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</si>
  <si>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</si>
  <si>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</si>
  <si>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</si>
  <si>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</si>
  <si>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</si>
  <si>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</si>
  <si>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</si>
  <si>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</si>
  <si>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</si>
  <si>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</si>
  <si>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</si>
  <si>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</si>
  <si>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</si>
  <si>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</si>
  <si>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</si>
  <si>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</si>
  <si>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</si>
  <si>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</si>
  <si>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</si>
  <si>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</si>
  <si>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</si>
  <si>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</si>
  <si>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</si>
  <si>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</si>
  <si>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</si>
  <si>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</si>
  <si>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</si>
  <si>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</si>
  <si>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</si>
  <si>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</si>
  <si>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</si>
  <si>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</si>
  <si>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</si>
  <si>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</si>
  <si>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</si>
  <si>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</si>
  <si>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</si>
  <si>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</si>
  <si>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</si>
  <si>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</si>
  <si>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</si>
  <si>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</si>
  <si>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</si>
  <si>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</si>
  <si>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</si>
  <si>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</si>
  <si>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</si>
  <si>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</si>
  <si>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</si>
  <si>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</si>
  <si>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</si>
  <si>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</si>
  <si>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</si>
  <si>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</si>
  <si>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</si>
  <si>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</si>
  <si>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</si>
  <si>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</si>
  <si>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</si>
  <si>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</si>
  <si>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</si>
  <si>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</si>
  <si>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</si>
  <si>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</si>
  <si>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</si>
  <si>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</si>
  <si>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</si>
  <si>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</si>
  <si>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</si>
  <si>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</si>
  <si>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</si>
  <si>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</si>
  <si>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</si>
  <si>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</si>
  <si>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</si>
  <si>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</si>
  <si>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</si>
  <si>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</si>
  <si>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</si>
  <si>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</si>
  <si>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</si>
  <si>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</si>
  <si>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</si>
  <si>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</si>
  <si>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</si>
  <si>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</si>
  <si>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</si>
  <si>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</si>
  <si>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</si>
  <si>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</si>
  <si>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</si>
  <si>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</si>
  <si>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</si>
  <si>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</si>
  <si>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</si>
  <si>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</si>
  <si>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</si>
  <si>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</si>
  <si>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</si>
  <si>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</si>
  <si>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</si>
  <si>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</si>
  <si>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</si>
  <si>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</si>
  <si>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</si>
  <si>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</si>
  <si>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</si>
  <si>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</si>
  <si>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</si>
  <si>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</si>
  <si>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</si>
  <si>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</si>
  <si>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</si>
  <si>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</si>
  <si>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</si>
  <si>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</si>
  <si>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</si>
  <si>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</si>
  <si>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</si>
  <si>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</si>
  <si>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</si>
  <si>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</si>
  <si>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</si>
  <si>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</si>
  <si>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</si>
  <si>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</si>
  <si>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</si>
  <si>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</si>
  <si>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</si>
  <si>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</si>
  <si>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</si>
  <si>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</si>
  <si>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</si>
  <si>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</si>
  <si>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</si>
  <si>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</si>
  <si>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</si>
  <si>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</si>
  <si>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</si>
  <si>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</si>
  <si>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</si>
  <si>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</si>
  <si>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</si>
  <si>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</si>
  <si>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</si>
  <si>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</si>
  <si>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</si>
  <si>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</si>
  <si>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</si>
  <si>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</si>
  <si>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</si>
  <si>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</si>
  <si>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</si>
  <si>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</si>
  <si>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</si>
  <si>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</si>
  <si>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</si>
  <si>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</si>
  <si>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</si>
  <si>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</si>
  <si>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</si>
  <si>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</si>
  <si>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</si>
  <si>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</si>
  <si>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</si>
  <si>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</si>
  <si>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</si>
  <si>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</si>
  <si>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</si>
  <si>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</si>
  <si>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</si>
  <si>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</si>
  <si>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</si>
  <si>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</si>
  <si>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</si>
  <si>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</si>
  <si>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</si>
  <si>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</si>
  <si>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</si>
  <si>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</si>
  <si>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</si>
  <si>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</si>
  <si>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</si>
  <si>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</si>
  <si>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</si>
  <si>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</si>
  <si>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</si>
  <si>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</si>
  <si>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</si>
  <si>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</si>
  <si>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</si>
  <si>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</si>
  <si>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</si>
  <si>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</si>
  <si>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</si>
  <si>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</si>
  <si>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</si>
  <si>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</si>
  <si>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</si>
  <si>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</si>
  <si>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</si>
  <si>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</si>
  <si>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</si>
  <si>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</si>
  <si>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</si>
  <si>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</si>
  <si>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</si>
  <si>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</si>
  <si>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</si>
  <si>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</si>
  <si>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</si>
  <si>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</si>
  <si>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</si>
  <si>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</si>
  <si>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</si>
  <si>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</si>
  <si>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</si>
  <si>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</si>
  <si>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</si>
  <si>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</si>
  <si>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</si>
  <si>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</si>
  <si>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</si>
  <si>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</si>
  <si>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</si>
  <si>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</si>
  <si>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</si>
  <si>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</si>
  <si>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</si>
  <si>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</si>
  <si>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</si>
  <si>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</si>
  <si>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</si>
  <si>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</si>
  <si>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</si>
  <si>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</si>
  <si>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</si>
  <si>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</si>
  <si>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</si>
  <si>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</si>
  <si>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</si>
  <si>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</si>
  <si>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</si>
  <si>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</si>
  <si>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</si>
  <si>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</si>
  <si>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</si>
  <si>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</si>
  <si>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</si>
  <si>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</si>
  <si>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</si>
  <si>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</si>
  <si>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</si>
  <si>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</si>
  <si>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</si>
  <si>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</si>
  <si>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</si>
  <si>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</si>
  <si>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</si>
  <si>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</si>
  <si>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</si>
  <si>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</si>
  <si>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</si>
  <si>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</si>
  <si>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</si>
  <si>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</si>
  <si>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</si>
  <si>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</si>
  <si>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</si>
  <si>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</si>
  <si>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</si>
  <si>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</si>
  <si>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</si>
  <si>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</si>
  <si>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</si>
  <si>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</si>
  <si>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</si>
  <si>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</si>
  <si>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</si>
  <si>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</si>
  <si>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</si>
  <si>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</si>
  <si>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</si>
  <si>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</si>
  <si>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</si>
  <si>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</si>
  <si>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</si>
  <si>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</si>
  <si>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</si>
  <si>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</si>
  <si>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</si>
  <si>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</si>
  <si>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</si>
  <si>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</si>
  <si>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</si>
  <si>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</si>
  <si>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</si>
  <si>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</si>
  <si>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</si>
  <si>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</si>
  <si>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</si>
  <si>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</si>
  <si>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</si>
  <si>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</si>
  <si>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</si>
  <si>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</si>
  <si>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</si>
  <si>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</si>
  <si>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</si>
  <si>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</si>
  <si>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</si>
  <si>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</si>
  <si>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</si>
  <si>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</si>
  <si>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</si>
  <si>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</si>
  <si>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</si>
  <si>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</si>
  <si>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</si>
  <si>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</si>
  <si>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</si>
  <si>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</si>
  <si>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</si>
  <si>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</si>
  <si>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</si>
  <si>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</si>
  <si>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</si>
  <si>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</si>
  <si>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</si>
  <si>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</si>
  <si>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</si>
  <si>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</si>
  <si>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</si>
  <si>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</si>
  <si>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</si>
  <si>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</si>
  <si>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</si>
  <si>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</si>
  <si>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</si>
  <si>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</si>
  <si>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</si>
  <si>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</si>
  <si>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</si>
  <si>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</si>
  <si>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</si>
  <si>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</si>
  <si>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</si>
  <si>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</si>
  <si>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</si>
  <si>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</si>
  <si>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</si>
  <si>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</si>
  <si>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</si>
  <si>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</si>
  <si>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</si>
  <si>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</si>
  <si>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</si>
  <si>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</si>
  <si>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</si>
  <si>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</si>
  <si>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</si>
  <si>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</si>
  <si>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</si>
  <si>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</si>
  <si>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</si>
  <si>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</si>
  <si>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</si>
  <si>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</si>
  <si>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</si>
  <si>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</si>
  <si>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</si>
  <si>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</si>
  <si>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</si>
  <si>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</si>
  <si>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</si>
  <si>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</si>
  <si>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</si>
  <si>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</si>
  <si>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</si>
  <si>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</si>
  <si>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</si>
  <si>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</si>
  <si>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</si>
  <si>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</si>
  <si>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</si>
  <si>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</si>
  <si>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</si>
  <si>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</si>
  <si>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</si>
  <si>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</si>
  <si>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</si>
  <si>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</si>
  <si>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</si>
  <si>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</si>
  <si>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</si>
  <si>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</si>
  <si>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</si>
  <si>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</si>
  <si>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</si>
  <si>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</si>
  <si>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</si>
  <si>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</si>
  <si>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</si>
  <si>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</si>
  <si>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</si>
  <si>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</si>
  <si>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</si>
  <si>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</si>
  <si>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</si>
  <si>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</si>
  <si>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</si>
  <si>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</si>
  <si>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</si>
  <si>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</si>
  <si>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</si>
  <si>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</si>
  <si>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</si>
  <si>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</si>
  <si>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</si>
  <si>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</si>
  <si>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</si>
  <si>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</si>
  <si>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</si>
  <si>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</si>
  <si>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</si>
  <si>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</si>
  <si>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</si>
  <si>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</si>
  <si>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</si>
  <si>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</si>
  <si>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</si>
  <si>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</si>
  <si>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</si>
  <si>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</si>
  <si>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</si>
  <si>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</si>
  <si>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</si>
  <si>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</si>
  <si>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</si>
  <si>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</si>
  <si>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</si>
  <si>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</si>
  <si>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</si>
  <si>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</si>
  <si>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</si>
  <si>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</si>
  <si>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</si>
  <si>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</si>
  <si>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</si>
  <si>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</si>
  <si>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</si>
  <si>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</si>
  <si>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</si>
  <si>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</si>
  <si>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</si>
  <si>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</si>
  <si>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</si>
  <si>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</si>
  <si>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</si>
  <si>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</si>
  <si>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</si>
  <si>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</si>
  <si>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</si>
  <si>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</si>
  <si>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</si>
  <si>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</si>
  <si>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</si>
  <si>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</si>
  <si>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</si>
  <si>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</si>
  <si>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</si>
  <si>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</si>
  <si>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</si>
  <si>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</si>
  <si>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</si>
  <si>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</si>
  <si>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</si>
  <si>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</si>
  <si>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</si>
  <si>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</si>
  <si>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</si>
  <si>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</si>
  <si>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</si>
  <si>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</si>
  <si>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</si>
  <si>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</si>
  <si>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</si>
  <si>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</si>
  <si>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</si>
  <si>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</si>
  <si>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</si>
  <si>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</si>
  <si>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</si>
  <si>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</si>
  <si>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</si>
  <si>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</si>
  <si>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</si>
  <si>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</si>
  <si>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</si>
  <si>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</si>
  <si>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</si>
  <si>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</si>
  <si>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</si>
  <si>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</si>
  <si>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</si>
  <si>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</si>
  <si>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</si>
  <si>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</si>
  <si>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</si>
  <si>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</si>
  <si>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</si>
  <si>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</si>
  <si>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</si>
  <si>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</si>
  <si>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</si>
  <si>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</si>
  <si>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</si>
  <si>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</si>
  <si>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</si>
  <si>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</si>
  <si>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</si>
  <si>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</si>
  <si>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</si>
  <si>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</si>
  <si>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</si>
  <si>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</si>
  <si>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</si>
  <si>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</si>
  <si>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</si>
  <si>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</si>
  <si>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</si>
  <si>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</si>
  <si>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</si>
  <si>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</si>
  <si>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</si>
  <si>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</si>
  <si>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</si>
  <si>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</si>
  <si>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</si>
  <si>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</si>
  <si>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</si>
  <si>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</si>
  <si>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</si>
  <si>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</si>
  <si>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</si>
  <si>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</si>
  <si>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</si>
  <si>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</si>
  <si>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</si>
  <si>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</si>
  <si>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</si>
  <si>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</si>
  <si>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</si>
  <si>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</si>
  <si>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</si>
  <si>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</si>
  <si>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</si>
  <si>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</si>
  <si>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</si>
  <si>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</si>
  <si>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</si>
  <si>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</si>
  <si>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</si>
  <si>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</si>
  <si>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</si>
  <si>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</si>
  <si>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</si>
  <si>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</si>
  <si>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</si>
  <si>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</si>
  <si>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</si>
  <si>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</si>
  <si>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</si>
  <si>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</si>
  <si>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</si>
  <si>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</si>
  <si>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</si>
  <si>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</si>
  <si>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</si>
  <si>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</si>
  <si>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</si>
  <si>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</si>
  <si>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</si>
  <si>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</si>
  <si>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</si>
  <si>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</si>
  <si>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</si>
  <si>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</si>
  <si>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</si>
  <si>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</si>
  <si>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</si>
  <si>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</si>
  <si>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</si>
  <si>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</si>
  <si>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</si>
  <si>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</si>
  <si>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</si>
  <si>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</si>
  <si>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</si>
  <si>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</si>
  <si>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</si>
  <si>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</si>
  <si>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</si>
  <si>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</si>
  <si>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</si>
  <si>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</si>
  <si>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</si>
  <si>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</si>
  <si>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</si>
  <si>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</si>
  <si>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</si>
  <si>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</si>
  <si>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</si>
  <si>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</si>
  <si>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</si>
  <si>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</si>
  <si>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</si>
  <si>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</si>
  <si>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</si>
  <si>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</si>
  <si>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</si>
  <si>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</si>
  <si>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</si>
  <si>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</si>
  <si>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</si>
  <si>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</si>
  <si>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</si>
  <si>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</si>
  <si>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</si>
  <si>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</si>
  <si>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</si>
  <si>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</si>
  <si>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</si>
  <si>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</si>
  <si>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</si>
  <si>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</si>
  <si>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</si>
  <si>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</si>
  <si>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</si>
  <si>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</si>
  <si>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</si>
  <si>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</si>
  <si>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</si>
  <si>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</si>
  <si>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</si>
  <si>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</si>
  <si>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</si>
  <si>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</si>
  <si>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</si>
  <si>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</si>
  <si>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</si>
  <si>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</si>
  <si>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</si>
  <si>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</si>
  <si>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</si>
  <si>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</si>
  <si>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</si>
  <si>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</si>
  <si>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</si>
  <si>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</si>
  <si>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</si>
  <si>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</si>
  <si>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</si>
  <si>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</si>
  <si>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</si>
  <si>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</si>
  <si>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</si>
  <si>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</si>
  <si>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</si>
  <si>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</si>
  <si>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</si>
  <si>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</si>
  <si>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</si>
  <si>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</si>
  <si>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</si>
  <si>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</si>
  <si>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</si>
  <si>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</si>
  <si>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</si>
  <si>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</si>
  <si>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</si>
  <si>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</si>
  <si>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</si>
  <si>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</si>
  <si>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</si>
  <si>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</si>
  <si>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</si>
  <si>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</si>
  <si>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</si>
  <si>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</si>
  <si>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</si>
  <si>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</si>
  <si>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</si>
  <si>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</si>
  <si>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</si>
  <si>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</si>
  <si>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</si>
  <si>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</si>
  <si>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</si>
  <si>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</si>
  <si>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</si>
  <si>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</si>
  <si>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</si>
  <si>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</si>
  <si>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</si>
  <si>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</si>
  <si>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</si>
  <si>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</si>
  <si>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</si>
  <si>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</si>
  <si>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</si>
  <si>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</si>
  <si>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</si>
  <si>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</si>
  <si>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</si>
  <si>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</si>
  <si>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</si>
  <si>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</si>
  <si>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</si>
  <si>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</si>
  <si>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</si>
  <si>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</si>
  <si>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</si>
  <si>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</si>
  <si>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</si>
  <si>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</si>
  <si>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</si>
  <si>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</si>
  <si>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</si>
  <si>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</si>
  <si>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</si>
  <si>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</si>
  <si>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</si>
  <si>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</si>
  <si>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</si>
  <si>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</si>
  <si>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</si>
  <si>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</si>
  <si>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</si>
  <si>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</si>
  <si>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</si>
  <si>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</si>
  <si>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</si>
  <si>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</si>
  <si>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</si>
  <si>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</si>
  <si>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</si>
  <si>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</si>
  <si>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</si>
  <si>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</si>
  <si>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</si>
  <si>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</si>
  <si>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</si>
  <si>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</si>
  <si>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</si>
  <si>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</si>
  <si>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</si>
  <si>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</si>
  <si>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</si>
  <si>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</si>
  <si>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</si>
  <si>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</si>
  <si>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</si>
  <si>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</si>
  <si>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</si>
  <si>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</si>
  <si>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</si>
  <si>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</si>
  <si>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</si>
  <si>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</si>
  <si>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</si>
  <si>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</si>
  <si>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</si>
  <si>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</si>
  <si>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</si>
  <si>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</si>
  <si>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</si>
  <si>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</si>
  <si>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</si>
  <si>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</si>
  <si>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</si>
  <si>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</si>
  <si>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</si>
  <si>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</si>
  <si>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</si>
  <si>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</si>
  <si>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</si>
  <si>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</si>
  <si>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</si>
  <si>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</si>
  <si>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</si>
  <si>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</si>
  <si>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</si>
  <si>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</si>
  <si>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</si>
  <si>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</si>
  <si>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</si>
  <si>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</si>
  <si>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</si>
  <si>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</si>
  <si>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</si>
  <si>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</si>
  <si>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</si>
  <si>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</si>
  <si>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</si>
  <si>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</si>
  <si>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</si>
  <si>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</si>
  <si>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</si>
  <si>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</si>
  <si>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</si>
  <si>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</si>
  <si>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</si>
  <si>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</si>
  <si>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</si>
  <si>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</si>
  <si>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</si>
  <si>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</si>
  <si>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</si>
  <si>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</si>
  <si>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</si>
  <si>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</si>
  <si>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</si>
  <si>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</si>
  <si>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</si>
  <si>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</si>
  <si>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</si>
  <si>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</si>
  <si>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</si>
  <si>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</si>
  <si>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</si>
  <si>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</si>
  <si>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</si>
  <si>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</si>
  <si>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</si>
  <si>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</si>
  <si>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</si>
  <si>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</si>
  <si>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</si>
  <si>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</si>
  <si>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</si>
  <si>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</si>
  <si>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</si>
  <si>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</si>
  <si>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</si>
  <si>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</si>
  <si>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</si>
  <si>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</si>
  <si>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</si>
  <si>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</si>
  <si>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</si>
  <si>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</si>
  <si>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</si>
  <si>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</si>
  <si>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</si>
  <si>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</si>
  <si>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</si>
  <si>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</si>
  <si>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</si>
  <si>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</si>
  <si>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</si>
  <si>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</si>
  <si>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</si>
  <si>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</si>
  <si>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</si>
  <si>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</si>
  <si>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</si>
  <si>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</si>
  <si>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</si>
  <si>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</si>
  <si>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</si>
  <si>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</si>
  <si>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</si>
  <si>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</si>
  <si>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</si>
  <si>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</si>
  <si>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</si>
  <si>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</si>
  <si>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</si>
  <si>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</si>
  <si>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</si>
  <si>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</si>
  <si>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</si>
  <si>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</si>
  <si>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</si>
  <si>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</si>
  <si>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</si>
  <si>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</si>
  <si>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</si>
  <si>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</si>
  <si>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</si>
  <si>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</si>
  <si>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</si>
  <si>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</si>
  <si>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</si>
  <si>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</si>
  <si>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</si>
  <si>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</si>
  <si>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</si>
  <si>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</si>
  <si>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</si>
  <si>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</si>
  <si>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</si>
  <si>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</si>
  <si>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</si>
  <si>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</si>
  <si>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</si>
  <si>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</si>
  <si>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</si>
  <si>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</si>
  <si>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</si>
  <si>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</si>
  <si>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</si>
  <si>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</si>
  <si>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</si>
  <si>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</si>
  <si>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</si>
  <si>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</si>
  <si>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</si>
  <si>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</si>
  <si>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</si>
  <si>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</si>
  <si>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</si>
  <si>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</si>
  <si>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</si>
  <si>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</si>
  <si>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</si>
  <si>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</si>
  <si>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</si>
  <si>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</si>
  <si>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</si>
  <si>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</si>
  <si>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</si>
  <si>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</si>
  <si>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</si>
  <si>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</si>
  <si>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</si>
  <si>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</si>
  <si>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</si>
  <si>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</si>
  <si>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</si>
  <si>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</si>
  <si>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</si>
  <si>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</si>
  <si>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</si>
  <si>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</si>
  <si>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</si>
  <si>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</si>
  <si>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</si>
  <si>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</si>
  <si>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</si>
  <si>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</si>
  <si>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</si>
  <si>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</si>
  <si>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</si>
  <si>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</si>
  <si>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</si>
  <si>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</si>
  <si>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</si>
  <si>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</si>
  <si>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</si>
  <si>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</si>
  <si>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</si>
  <si>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</si>
  <si>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</si>
  <si>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</si>
  <si>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</si>
  <si>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</si>
  <si>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</si>
  <si>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</si>
  <si>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</si>
  <si>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</si>
  <si>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</si>
  <si>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</si>
  <si>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</si>
  <si>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</si>
  <si>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</si>
  <si>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</si>
  <si>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</si>
  <si>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</si>
  <si>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</si>
  <si>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</si>
  <si>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</si>
  <si>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</si>
  <si>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</si>
  <si>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</si>
  <si>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</si>
  <si>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</si>
  <si>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</si>
  <si>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</si>
  <si>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</si>
  <si>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</si>
  <si>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</si>
  <si>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</si>
  <si>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</si>
  <si>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</si>
  <si>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</si>
  <si>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</si>
  <si>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</si>
  <si>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</si>
  <si>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</si>
  <si>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</si>
  <si>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</si>
  <si>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</si>
  <si>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</si>
  <si>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</si>
  <si>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</si>
  <si>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</si>
  <si>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</si>
  <si>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</si>
  <si>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</si>
  <si>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</si>
  <si>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</si>
  <si>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</si>
  <si>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</si>
  <si>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</si>
  <si>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</si>
  <si>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</si>
  <si>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</si>
  <si>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</si>
  <si>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</si>
  <si>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</si>
  <si>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</si>
  <si>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</si>
  <si>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</si>
  <si>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</si>
  <si>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</si>
  <si>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</si>
  <si>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</si>
  <si>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</si>
  <si>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</si>
  <si>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</si>
  <si>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</si>
  <si>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</si>
  <si>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</si>
  <si>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</si>
  <si>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</si>
  <si>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</si>
  <si>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</si>
  <si>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</si>
  <si>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</si>
  <si>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</si>
  <si>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</si>
  <si>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</si>
  <si>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</si>
  <si>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</si>
  <si>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</si>
  <si>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</si>
  <si>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</si>
  <si>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</si>
  <si>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</si>
  <si>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</si>
  <si>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</si>
  <si>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</si>
  <si>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</si>
  <si>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</si>
  <si>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</si>
  <si>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</si>
  <si>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</si>
  <si>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</si>
  <si>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</si>
  <si>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</si>
  <si>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</si>
  <si>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</si>
  <si>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</si>
  <si>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</si>
  <si>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</si>
  <si>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</si>
  <si>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</si>
  <si>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</si>
  <si>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</si>
  <si>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</si>
  <si>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</si>
  <si>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</si>
  <si>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</si>
  <si>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</si>
  <si>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</si>
  <si>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</si>
  <si>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</si>
  <si>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</si>
  <si>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</si>
  <si>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</si>
  <si>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</si>
  <si>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</si>
  <si>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</si>
  <si>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</si>
  <si>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</si>
  <si>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</si>
  <si>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</si>
  <si>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</si>
  <si>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</si>
  <si>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</si>
  <si>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</si>
  <si>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</si>
  <si>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</si>
  <si>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</si>
  <si>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</si>
  <si>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</si>
  <si>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</si>
  <si>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</si>
  <si>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</si>
  <si>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</si>
  <si>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</si>
  <si>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</si>
  <si>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</si>
  <si>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</si>
  <si>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</si>
  <si>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</si>
  <si>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</si>
  <si>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</si>
  <si>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</si>
  <si>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</si>
  <si>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</si>
  <si>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</si>
  <si>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</si>
  <si>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</si>
  <si>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</si>
  <si>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</si>
  <si>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</si>
  <si>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</si>
  <si>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</si>
  <si>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</si>
  <si>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</si>
  <si>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</si>
  <si>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</si>
  <si>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</si>
  <si>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</si>
  <si>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</si>
  <si>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</si>
  <si>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</si>
  <si>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</si>
  <si>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</si>
  <si>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</si>
  <si>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</si>
  <si>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</si>
  <si>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</si>
  <si>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</si>
  <si>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</si>
  <si>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FANNY ESPERANZA CARDENAS PUERTO</t>
  </si>
  <si>
    <t>CARREÑO CAMACHO GIOVANNY</t>
  </si>
  <si>
    <t>giovanny.carreno@gmail.com</t>
  </si>
  <si>
    <t>TV 2 64 74 BL 6 AP 101</t>
  </si>
  <si>
    <t>EUREKA FABRICA DIGITAL DE IDEAS SAS</t>
  </si>
  <si>
    <t>info@eureka-publicidad.com</t>
  </si>
  <si>
    <t>CR 1 F 40 149</t>
  </si>
  <si>
    <t>MORALES PEÑA ERIKA PAOLA</t>
  </si>
  <si>
    <t>mario1963morales@hotmail.com</t>
  </si>
  <si>
    <t>AV LIBERTADORES CR 22</t>
  </si>
  <si>
    <t>MATEUS MATEUS OSCAR DAVID</t>
  </si>
  <si>
    <t>ranchosochagota@gmail.com</t>
  </si>
  <si>
    <t>VDA LA ESPERANZA SAN ANTONIO</t>
  </si>
  <si>
    <t>ARANGO PIEDRAHITA VALENTINA</t>
  </si>
  <si>
    <t>nutricionistavarangop@gmail.com</t>
  </si>
  <si>
    <t>CL 32F 75B 12</t>
  </si>
  <si>
    <t>PEREZ ALFONSO ANA ROSALBA</t>
  </si>
  <si>
    <t>VDA LA TRINIDAD</t>
  </si>
  <si>
    <t>GONZALEZ GONZALEZ LUZ DARY</t>
  </si>
  <si>
    <t>yradzul70@hotmail.com</t>
  </si>
  <si>
    <t>CRA 70 A 75 43 BRR BONANZA</t>
  </si>
  <si>
    <t>SILVA PESCA EDILBERTO</t>
  </si>
  <si>
    <t>doralucyprieto@hotmail.com</t>
  </si>
  <si>
    <t>CR 18 18 57</t>
  </si>
  <si>
    <t>VELANDIA GUARIN FREDY JAVIER</t>
  </si>
  <si>
    <t>grafivelandiafredy@hotmail.com</t>
  </si>
  <si>
    <t>CL 12 18 22</t>
  </si>
  <si>
    <t>CURREA VALDERRAMA TITO DUSTANO</t>
  </si>
  <si>
    <t>agropeandina@yahoo.es</t>
  </si>
  <si>
    <t>VDA LA ESPERANZA</t>
  </si>
  <si>
    <t>SILVA MONTAÑA ROGGER IVAN</t>
  </si>
  <si>
    <t>roggerivansilva@gmail.com</t>
  </si>
  <si>
    <t>DG 22 1 11</t>
  </si>
  <si>
    <t>SALAMANCA TORRES OSCAR JULIAN</t>
  </si>
  <si>
    <t>ojst2@hotmail.com</t>
  </si>
  <si>
    <t>CR 15 7A 11</t>
  </si>
  <si>
    <t>LOGYCA ASOCIACION</t>
  </si>
  <si>
    <t>AV EL DORADO 92  32 MODULO G5 PISO 5</t>
  </si>
  <si>
    <t>COMUNICACION CELULAR S A COMCEL S A</t>
  </si>
  <si>
    <t>notificacionesclaromovil@claro.com.co</t>
  </si>
  <si>
    <t>CR 68 A 24 B 10</t>
  </si>
  <si>
    <t>LA CORPORACION COLOMBIANA DE INVESTIGACION AGROPECUARIA AGROSAVIA</t>
  </si>
  <si>
    <t>atencionalcliente@agrosavia.co</t>
  </si>
  <si>
    <t>CR 13 A 28 38 OF 238</t>
  </si>
  <si>
    <t>SODIMAC COLOMBIA S A</t>
  </si>
  <si>
    <t>jsandoval@homecenter.com.co</t>
  </si>
  <si>
    <t>CR 68 D 80 70</t>
  </si>
  <si>
    <t>DESCONT SAS ESP</t>
  </si>
  <si>
    <t>facturacionelectronica@descont.com.co</t>
  </si>
  <si>
    <t>CL 30 A 23 10</t>
  </si>
  <si>
    <t>DIRECTV COLOMBIA LTDA</t>
  </si>
  <si>
    <t>andvil@directvla.com.co</t>
  </si>
  <si>
    <t>AV KR 45 103 60</t>
  </si>
  <si>
    <t>ANALIZAR LABORATORIO FISICOQUIMICO LTDA</t>
  </si>
  <si>
    <t>contabilidadanalizar@gmail.com</t>
  </si>
  <si>
    <t>CR 33 16 27</t>
  </si>
  <si>
    <t>GAS NATURAL CUNDIBOYACENSE SA ESP</t>
  </si>
  <si>
    <t>serviciosjuridicos@grupovanti.com</t>
  </si>
  <si>
    <t>CL 72 5 38</t>
  </si>
  <si>
    <t>COOPERATIVA DE TRANSPORTES MASIVOS T M</t>
  </si>
  <si>
    <t>transmasivostm@gmail.com</t>
  </si>
  <si>
    <t>CL 128 A 53 A 04</t>
  </si>
  <si>
    <t>INTERENZIMAS S A S</t>
  </si>
  <si>
    <t>info@interenzimas.com</t>
  </si>
  <si>
    <t>CL 44 16 63</t>
  </si>
  <si>
    <t>CARVAJAL TECNOLOGIA Y SERVICIOS SAS BIC</t>
  </si>
  <si>
    <t>impuesto.carvajal@carvajal.co</t>
  </si>
  <si>
    <t>CL 29 NTE 6 A 40</t>
  </si>
  <si>
    <t>ALMACENES EXITO SA</t>
  </si>
  <si>
    <t>afelectronica@grupo-exito.com</t>
  </si>
  <si>
    <t>CR 48 32B SUR 139</t>
  </si>
  <si>
    <t>EMPRESA DE ENERGIA DE BOYACA SA ESP</t>
  </si>
  <si>
    <t>servicioalcliente@ebsa.com.co</t>
  </si>
  <si>
    <t>CR 10 15 87</t>
  </si>
  <si>
    <t>SM ASOCIADOS SA</t>
  </si>
  <si>
    <t>ferreteriasym@hotmail.es</t>
  </si>
  <si>
    <t>AV LIBERTADORES 22 71</t>
  </si>
  <si>
    <t>BBG COLOMBIA SAS</t>
  </si>
  <si>
    <t>ventas@basculasbbg.com</t>
  </si>
  <si>
    <t>CR 23 12 B 58</t>
  </si>
  <si>
    <t>CENTRO COMERCIAL Y DE OFICINAS INNOVO PLAZA PROPIEDAD HORIZONTAL</t>
  </si>
  <si>
    <t>contacto@innovoplazaduitama.com</t>
  </si>
  <si>
    <t>CL 18 12 53</t>
  </si>
  <si>
    <t>CONFIA CONTROL SAS</t>
  </si>
  <si>
    <t>protecciondedatos@confia.com.co</t>
  </si>
  <si>
    <t>CR 63 5 A 40</t>
  </si>
  <si>
    <t>AMERICANA DE TECNOLOGIA Y COMUNICACIONES SAS</t>
  </si>
  <si>
    <t>facturacion.amtec@gmail.com</t>
  </si>
  <si>
    <t>CL 24 25 52</t>
  </si>
  <si>
    <t>CDA LOS LANCEROS SAS</t>
  </si>
  <si>
    <t>AV LIBERTADORES 10 C 45</t>
  </si>
  <si>
    <t>REINA MARIA IPS SAS</t>
  </si>
  <si>
    <t>reinamariaips2023@gmail.com</t>
  </si>
  <si>
    <t>CR 16 14 54</t>
  </si>
  <si>
    <t>MANTEINI INGENIERIA Y SERVICIOS SAS</t>
  </si>
  <si>
    <t>manteini.ingyservicios.sas@hotmail.com</t>
  </si>
  <si>
    <t>CR 42 14 73</t>
  </si>
  <si>
    <t>ALAMOSOFT SAS</t>
  </si>
  <si>
    <t>alamosoft@hotmail.com</t>
  </si>
  <si>
    <t>CL 1 SUR 5 BIS 17</t>
  </si>
  <si>
    <t>CDA CAPITAL TINTAL SAS</t>
  </si>
  <si>
    <t>cdacapitaltintalsas@gmail.com</t>
  </si>
  <si>
    <t>AK 86 6 37 LC 180</t>
  </si>
  <si>
    <t>AM INVERSIONES &amp; ASOCIADOS SAS</t>
  </si>
  <si>
    <t>facturacion@aminversiones.com.co</t>
  </si>
  <si>
    <t>CR 72 G 40 39 SUR</t>
  </si>
  <si>
    <t>PRODEGAS SERVICIOS TECNICOS SAS</t>
  </si>
  <si>
    <t>facturacionelectronicaprodegas@gmail.com</t>
  </si>
  <si>
    <t>CL 6 A 8 14</t>
  </si>
  <si>
    <t>ACERO MACHUCA DAVID ANDRES</t>
  </si>
  <si>
    <t>dampiass2288@hotmail.com</t>
  </si>
  <si>
    <t>CR 126 73 28</t>
  </si>
  <si>
    <t>HIGUERA TORRES OSCAR ALEXANDER</t>
  </si>
  <si>
    <t>becerra.carolina604@gmail.com</t>
  </si>
  <si>
    <t>CR 30 14 54</t>
  </si>
  <si>
    <t>MARTINEZ NIÑO MIRYAM STELLA</t>
  </si>
  <si>
    <t>marfle07@hotmail.com</t>
  </si>
  <si>
    <t>AV LIBERTADORES 22 21</t>
  </si>
  <si>
    <t>AGUIRRE ALVARADO MILENA</t>
  </si>
  <si>
    <t>ventas.gasboy@gmail.com</t>
  </si>
  <si>
    <t>CL 13 16 28</t>
  </si>
  <si>
    <t>AMAYA MARQUEZ JOSE MANUEL</t>
  </si>
  <si>
    <t>ja6894389@gmail.com</t>
  </si>
  <si>
    <t>CL 11 B 25 A 25</t>
  </si>
  <si>
    <t>AMEZQUITA ESTUPIÑAN FABIO</t>
  </si>
  <si>
    <t>fabioamez12@hotmail.com</t>
  </si>
  <si>
    <t>CL 12 18 A 57</t>
  </si>
  <si>
    <t>ELECTRO PARRA LTDA</t>
  </si>
  <si>
    <t>electroparra@yahoo.com</t>
  </si>
  <si>
    <t>CR 17 10 33</t>
  </si>
  <si>
    <t>AMBIENTES CERAMICOS LTDA</t>
  </si>
  <si>
    <t>facturaelectronica@ambientesceramicos.com</t>
  </si>
  <si>
    <t>CR 16 27 88</t>
  </si>
  <si>
    <t>ALFAGRES SA EN REORGANIZACION</t>
  </si>
  <si>
    <t>recepcion.electronica@alfa.com.co</t>
  </si>
  <si>
    <t>AV CARACAS 35 55</t>
  </si>
  <si>
    <t>COLOMBIANA DE COMERCIO SA</t>
  </si>
  <si>
    <t>legal@corbeta.com.co</t>
  </si>
  <si>
    <t>CL 11 31 A 42</t>
  </si>
  <si>
    <t>ALPERPLAST SAS</t>
  </si>
  <si>
    <t>alperplast@gmail.com</t>
  </si>
  <si>
    <t>CR 28B 74 81</t>
  </si>
  <si>
    <t>EL FARO ELECTRICO S A S</t>
  </si>
  <si>
    <t>CRA 16 11 77</t>
  </si>
  <si>
    <t>UP HOLDING S A S</t>
  </si>
  <si>
    <t>CR 9 72 81 OF 404</t>
  </si>
  <si>
    <t>SOLUCIONES INTEGRALES ENERGETICAS AMBIENTALES Y DE TELECOMUNICACIONES SAS</t>
  </si>
  <si>
    <t>facturacion.seacenergy@gmail.com</t>
  </si>
  <si>
    <t>DG 48 16 103</t>
  </si>
  <si>
    <t>INGENIERIA MASTER REFRIGERACION INDUSTRIAL SAS</t>
  </si>
  <si>
    <t>ingemastersas@gmail.com</t>
  </si>
  <si>
    <t>CL 31 4 B 33</t>
  </si>
  <si>
    <t>OUTLET ARANJUEZ SAS</t>
  </si>
  <si>
    <t>clapavagu@hotmail.com</t>
  </si>
  <si>
    <t>CR 54 37A 98SUR</t>
  </si>
  <si>
    <t>HOSMAN PORRAS WILLIAM SAID</t>
  </si>
  <si>
    <t>quimialac57@hotmail.com</t>
  </si>
  <si>
    <t>CL 6 44 13 LC 102</t>
  </si>
  <si>
    <t>ORJUELA HUERTAS CRISTIAN STEVEENN</t>
  </si>
  <si>
    <t>mundodigitalboyaca@gmail.com</t>
  </si>
  <si>
    <t>CL 12 17 63</t>
  </si>
  <si>
    <t>FONSECA OJEDA JUAN SEBASTIAN</t>
  </si>
  <si>
    <t>KM 3 VIA TUNJA PAIPA</t>
  </si>
  <si>
    <t>SANDOVAL SANDOVAL GERARDO</t>
  </si>
  <si>
    <t>sandovalgerardo55@gmail.com</t>
  </si>
  <si>
    <t>CR 17 9 47</t>
  </si>
  <si>
    <t>GUARIN ACEVEDO LEIDY DANIELA</t>
  </si>
  <si>
    <t>danielaguarinacevedo@gmail.com</t>
  </si>
  <si>
    <t>CL 15 16 25 LC 109</t>
  </si>
  <si>
    <t>ARRUBLA VARGAS INGRID VANESSA</t>
  </si>
  <si>
    <t>vanejh-27@hotmail.com</t>
  </si>
  <si>
    <t>CR 22 25 47</t>
  </si>
  <si>
    <t>ARISTIZABAL DIAZ LISETH JOHANA</t>
  </si>
  <si>
    <t>CL 25 19 134 LC2</t>
  </si>
  <si>
    <t>JIMENEZ GUERRERO ANDREA</t>
  </si>
  <si>
    <t>pauandre-19@hotmail.com</t>
  </si>
  <si>
    <t>VDA TOMA</t>
  </si>
  <si>
    <t>SILVA GOMEZ JORGE ARMANDO</t>
  </si>
  <si>
    <t>curaduriaurbana1duitama@gmail.com</t>
  </si>
  <si>
    <t>CL 16 14 68 OF 310</t>
  </si>
  <si>
    <t>CARVAJAL MONCADA RICARDO FRANCISCO</t>
  </si>
  <si>
    <t>rcarvaj@hotmail.com</t>
  </si>
  <si>
    <t>CR 18 27 98</t>
  </si>
  <si>
    <t>GUIO DE GUIO ANA DELIA</t>
  </si>
  <si>
    <t>negocioentunja@yahoo.com</t>
  </si>
  <si>
    <t>LOPEZ ESPINOSA GLORIA ELVIRA</t>
  </si>
  <si>
    <t>gespinosa1957@gmail.com</t>
  </si>
  <si>
    <t>TV 22 16 06</t>
  </si>
  <si>
    <t>HIGUERA REYES JULIA DEL TRANSITO</t>
  </si>
  <si>
    <t>juliahiguerareyes19@outlook.com</t>
  </si>
  <si>
    <t>PUERTO DE MEDINA ROSALBA</t>
  </si>
  <si>
    <t>medinawilson520@gmail.com</t>
  </si>
  <si>
    <t>BRICEÑO DE GUEVARA MARIA DOLORES</t>
  </si>
  <si>
    <t>dotamundial.lb@gmail.com</t>
  </si>
  <si>
    <t>CL 11 16 13</t>
  </si>
  <si>
    <t>BECERRA INFANTE MARIA OLIMPIA</t>
  </si>
  <si>
    <t>johannitat86@gmail.com</t>
  </si>
  <si>
    <t>VDA LA MESETA</t>
  </si>
  <si>
    <t>BECERRA DE BECERRA ANA PAULINA</t>
  </si>
  <si>
    <t>anapaulinabecerra@outlook.com</t>
  </si>
  <si>
    <t>DIAZ ESLAVA ELIZABETH DE LAS MERCEDES</t>
  </si>
  <si>
    <t>papeleria_javeriana@hotmail.com</t>
  </si>
  <si>
    <t>CL 13 17 06</t>
  </si>
  <si>
    <t>BRICEÑO ACOSTA MYRIAM MAGDALENA</t>
  </si>
  <si>
    <t>uniformesduitama@gmail.com</t>
  </si>
  <si>
    <t>CR 17 14 28</t>
  </si>
  <si>
    <t>JAIMES HERREÑO DORIS HELENA</t>
  </si>
  <si>
    <t>surtitelas@hotmail.com</t>
  </si>
  <si>
    <t>CR 16 16 63</t>
  </si>
  <si>
    <t>CORREA DE MALPICA ANTONIA ISABEL</t>
  </si>
  <si>
    <t>mariantonia1311@gmail.com</t>
  </si>
  <si>
    <t>CUERVO VARGAS ROSA ELENA</t>
  </si>
  <si>
    <t>CAMARGO DE SALAMANCA ALEJANDRINA</t>
  </si>
  <si>
    <t>aleja1242@hotmail.com</t>
  </si>
  <si>
    <t>CL 24 19 121</t>
  </si>
  <si>
    <t>CAMACHO BAUTISTA JULIA INES</t>
  </si>
  <si>
    <t>papeleria.lukis@gmail.com</t>
  </si>
  <si>
    <t>CR 19 25 65</t>
  </si>
  <si>
    <t>BONILLA PAZOS RUTH JIMENA</t>
  </si>
  <si>
    <t>CR 27 7 75</t>
  </si>
  <si>
    <t>YARURO CARRASCAL NURY</t>
  </si>
  <si>
    <t>nuyacar401@gmail.com</t>
  </si>
  <si>
    <t>CL 12 17 33</t>
  </si>
  <si>
    <t>RINCON GALLO ELIO</t>
  </si>
  <si>
    <t>lafavoritaduit@hotmail.com</t>
  </si>
  <si>
    <t>CL 18 19 29</t>
  </si>
  <si>
    <t>RIVERA TUTA JOSE OSVALDO</t>
  </si>
  <si>
    <t>AV LIBERTADORES 31A 70 72</t>
  </si>
  <si>
    <t>SOSA MUÑOZ PEDRO ANTONIO</t>
  </si>
  <si>
    <t>ps.sosa@hotmail.com</t>
  </si>
  <si>
    <t>CR 68 L 39 28 SUR</t>
  </si>
  <si>
    <t>RUIZ CUSBA MARIA CECILIA</t>
  </si>
  <si>
    <t>ceciliaruizcusba@outlook.com</t>
  </si>
  <si>
    <t>CEPEDA RINCON EDNA MARGARITA</t>
  </si>
  <si>
    <t>facturastarcolors@gmail.com</t>
  </si>
  <si>
    <t>CR 19 27 33</t>
  </si>
  <si>
    <t>VILLAMIZAR GELVEZ VILMA IBETH</t>
  </si>
  <si>
    <t>organizacionlaeternidad@gmail.com</t>
  </si>
  <si>
    <t>CR 14 12 51</t>
  </si>
  <si>
    <t>POVEDA MESA SANDRA DEL PILAR</t>
  </si>
  <si>
    <t>printerdistribuciones@hotmail.com</t>
  </si>
  <si>
    <t>CR 38 13 102</t>
  </si>
  <si>
    <t>TORRES DIAZ YUDY ALEXANDRA</t>
  </si>
  <si>
    <t>papeleriabolivariana@hotmail.com</t>
  </si>
  <si>
    <t>CR 18 15 36</t>
  </si>
  <si>
    <t>CAMARGO CUERVO EDY CRISTINA</t>
  </si>
  <si>
    <t>ferrecca@hotmail.com</t>
  </si>
  <si>
    <t>CL 23 25 00</t>
  </si>
  <si>
    <t>ROJAS FONSECA ALEXANDRA</t>
  </si>
  <si>
    <t>lacteosdomi@gmail.com</t>
  </si>
  <si>
    <t>VDA EL VOLCAN</t>
  </si>
  <si>
    <t>INFANTE BECERRA MARIA ALICIA</t>
  </si>
  <si>
    <t>constructorabenin@gmail.com</t>
  </si>
  <si>
    <t>CONTRERAS SANTOS GLADIS JOSEFA</t>
  </si>
  <si>
    <t>CRA 42 14 73</t>
  </si>
  <si>
    <t>GUIO GUIO JUAN OVIDIO</t>
  </si>
  <si>
    <t>CASTRO JIMENEZ RAUL ARMANDO</t>
  </si>
  <si>
    <t>revisarcorreoslibertad@gmail.com</t>
  </si>
  <si>
    <t>KM 20 VIA TUNJA PAIPA VDA BOSIGAS</t>
  </si>
  <si>
    <t>RAQUIRA PITA SEGUNDO ELISEO</t>
  </si>
  <si>
    <t>raquira1990@hotmail.com</t>
  </si>
  <si>
    <t>SANDOVAL BRICEÑO LUIS JAIME</t>
  </si>
  <si>
    <t>electroferresan54@hotmail.com</t>
  </si>
  <si>
    <t>CR 19 13 51</t>
  </si>
  <si>
    <t>CAMARGO BECERRA PEDRO ANTONIO</t>
  </si>
  <si>
    <t>yenymieryacamargobecerra@gmail.com</t>
  </si>
  <si>
    <t>SUELTA PULIDO PABLO</t>
  </si>
  <si>
    <t>servillantaslaestacion@gmail.com</t>
  </si>
  <si>
    <t>CR 18 23 30</t>
  </si>
  <si>
    <t>LACHE SANDOVAL ISIDRO ALEXANDER</t>
  </si>
  <si>
    <t>conlachepaipa@yahoo.es</t>
  </si>
  <si>
    <t>MZ F CA 3  BRR LA ESTACION</t>
  </si>
  <si>
    <t>CASTRO COY JOSE JAVIER</t>
  </si>
  <si>
    <t>javiercastrocoy@gmail.com</t>
  </si>
  <si>
    <t>VDA QUEBRADA HONDA</t>
  </si>
  <si>
    <t>MEDINA MARTINEZ JUAN MANUEL</t>
  </si>
  <si>
    <t>jumamem@hotmail.com</t>
  </si>
  <si>
    <t>CR 17 10 123</t>
  </si>
  <si>
    <t>CIPAGAUTA JUAN PABLO</t>
  </si>
  <si>
    <t>jcipagauta8@gmail.com</t>
  </si>
  <si>
    <t>SUAREZ ANGARITA HILDE</t>
  </si>
  <si>
    <t>hildesuarez1965@gmail.com</t>
  </si>
  <si>
    <t>VDA EL ROSAL</t>
  </si>
  <si>
    <t>AFANADOR GONZALEZ GERMAN</t>
  </si>
  <si>
    <t>afanadorgerman@gmail.com</t>
  </si>
  <si>
    <t>CR 81 D 2 B 20</t>
  </si>
  <si>
    <t>QUINTERO VALENZUELA LEOPOLDO</t>
  </si>
  <si>
    <t>lacasadelespejo1@hotmail.com</t>
  </si>
  <si>
    <t>CR 27B BIS 65 80 08</t>
  </si>
  <si>
    <t>BARAJAS VARGAS RAUL</t>
  </si>
  <si>
    <t>raul_7310@yahoo.es</t>
  </si>
  <si>
    <t>TECNAS SA BIC</t>
  </si>
  <si>
    <t>tecnas@tecnas.com.co</t>
  </si>
  <si>
    <t>CR 50 G 12 SUR 29</t>
  </si>
  <si>
    <t>TECNOALIMENTARIA SAS</t>
  </si>
  <si>
    <t>contabilidad@tecnoalimentaria.com.co</t>
  </si>
  <si>
    <t>CR 60 94 B 32</t>
  </si>
  <si>
    <t>TAX TURISTICO PAIPA SA</t>
  </si>
  <si>
    <t>facturacionelectronicatax@gmail.com</t>
  </si>
  <si>
    <t>CR 19 34 12</t>
  </si>
  <si>
    <t>TECNOLOGIA ALIMENTARIA SAS BIC</t>
  </si>
  <si>
    <t>info@citalsa.com</t>
  </si>
  <si>
    <t>CR 50 GG 12 SUR 83</t>
  </si>
  <si>
    <t>REPRESENTACIONES INDUSTRIALES RDV LTDA</t>
  </si>
  <si>
    <t>rdv@rdv.com.co</t>
  </si>
  <si>
    <t>CL 17 28A 00</t>
  </si>
  <si>
    <t>QUIMICOS INDUSTRIALES ASOCIADOS SAS</t>
  </si>
  <si>
    <t>info@quiminsa.com</t>
  </si>
  <si>
    <t>KM 2 VIA PAIPA DUITAMA</t>
  </si>
  <si>
    <t>R J SERVI INGENIERIA SAS</t>
  </si>
  <si>
    <t>edsjuanmartin@gmail.com</t>
  </si>
  <si>
    <t>CR 28A 67 83</t>
  </si>
  <si>
    <t>CENTRAL DE INSUMOS Y MATERIAS PRIMAS PARA LA INDUSTRIA ALIMENTARIA SAS</t>
  </si>
  <si>
    <t>cimpa@cimpa.com.co</t>
  </si>
  <si>
    <t>LC 97 98 TRONCAL DE OCCIDENTE KM 18</t>
  </si>
  <si>
    <t>CENTRAL DE DOTACIONES SAS</t>
  </si>
  <si>
    <t>atencionalcliente@centraldedotaciones.com</t>
  </si>
  <si>
    <t>CR 69 A 31 62 SUR</t>
  </si>
  <si>
    <t>PATRIMONIOS AUTONOMOS FIDUCIARIA CORFICOLOMBIANA S A</t>
  </si>
  <si>
    <t>aservicioalclientecorficolombiana@corfi.com</t>
  </si>
  <si>
    <t>CR 13 26 45</t>
  </si>
  <si>
    <t>GALVIS CORREA ALID ALEXANDER</t>
  </si>
  <si>
    <t>lujosyaccesorioskarso@gmail.com</t>
  </si>
  <si>
    <t>CR 72 40 88</t>
  </si>
  <si>
    <t>PIÑEROS CABALLERO JEAN PAUL</t>
  </si>
  <si>
    <t>sonipaul@gmail.com</t>
  </si>
  <si>
    <t>CR 24 12B 04</t>
  </si>
  <si>
    <t>LABORATORIOS FUNAT SAS</t>
  </si>
  <si>
    <t>sistemas@funat.com.co</t>
  </si>
  <si>
    <t>CR 47 F 79 SUR 77</t>
  </si>
  <si>
    <t>CEMENTERIO DIOCESANO DE DUITAMA</t>
  </si>
  <si>
    <t>cementeriodeduitama12@hotmail.com</t>
  </si>
  <si>
    <t>CL 9 16 30</t>
  </si>
  <si>
    <t>ITP INSTITUTO TERMAL DE PAIPA</t>
  </si>
  <si>
    <t>itp@paipa-boyaca.gov.co</t>
  </si>
  <si>
    <t>KM 4 VIA PAIPA PANTANO DE VARGAS</t>
  </si>
  <si>
    <t>ALMACENES PARAISO SA BIC</t>
  </si>
  <si>
    <t>contador@almacenesparaiso.com</t>
  </si>
  <si>
    <t>CR 18 20 A  32</t>
  </si>
  <si>
    <t>CENTRALCO SOCIEDAD POR ACCIONES SIMPLIFICADA</t>
  </si>
  <si>
    <t>mateusgladys@hotmail.com</t>
  </si>
  <si>
    <t>AV LIBERTADORES 11 31</t>
  </si>
  <si>
    <t>DEPOSITO DE MATERIALES LA SUPERIOR SAS</t>
  </si>
  <si>
    <t>lasuperior2@gmail.com</t>
  </si>
  <si>
    <t>CR 18 20 34</t>
  </si>
  <si>
    <t>PETROCOMERCIALIZADORA SA</t>
  </si>
  <si>
    <t>contabilidad@petrocom.co</t>
  </si>
  <si>
    <t>CL 72 9 55 OF 1003</t>
  </si>
  <si>
    <t>EXTRACTORES Y MOTORES INDUSTRIALES EMI LTDA</t>
  </si>
  <si>
    <t>administrativa@emiltda.co</t>
  </si>
  <si>
    <t>CL 7 21 08</t>
  </si>
  <si>
    <t>COMBUSTION Y CONTROL SAS</t>
  </si>
  <si>
    <t>contabilidad@combustionycontrol.com</t>
  </si>
  <si>
    <t>CR 69 B 24 26 SUR</t>
  </si>
  <si>
    <t>PATRIMONIOS AUTONOMOS FIDUCIARIA BANCOLOMBIA S A SOCIEDAD FIDUCIARIA</t>
  </si>
  <si>
    <t>CR 48 26 85 TORRE NORTE</t>
  </si>
  <si>
    <t>ORGANIZACION TERPEL SA</t>
  </si>
  <si>
    <t>infoterpel@terpel.com</t>
  </si>
  <si>
    <t>CR 7 75 51</t>
  </si>
  <si>
    <t>DISTRIBUIDORA CORDOBA SAS</t>
  </si>
  <si>
    <t>juridico@discordoba.com</t>
  </si>
  <si>
    <t>TV CR 22 14 31</t>
  </si>
  <si>
    <t>SEGUROS COMERCIALES BOLIVAR SA</t>
  </si>
  <si>
    <t>servicioalcliente@segurosbolivar.com</t>
  </si>
  <si>
    <t>AV EL DORADO 68 B 31</t>
  </si>
  <si>
    <t>LA PREVISORA S A COMPAÑIA DE SEGUROS</t>
  </si>
  <si>
    <t>grupofacturacionelectronica@previsora.gov.co</t>
  </si>
  <si>
    <t>CL 57 9 07</t>
  </si>
  <si>
    <t>CORPORACION DE FERIAS Y EXPOSICIONES SA</t>
  </si>
  <si>
    <t>facturacionelectronica@corferias.com</t>
  </si>
  <si>
    <t>CR 37 24 67</t>
  </si>
  <si>
    <t>SEGUROS DEL ESTADO SA</t>
  </si>
  <si>
    <t>contactenos@segurosdelestado.com</t>
  </si>
  <si>
    <t>AUTO NTE 103 60</t>
  </si>
  <si>
    <t>FUNDACION CARDIO INFANTIL INSTITUTO DE CARDIOLOGIA</t>
  </si>
  <si>
    <t>facturacionelectronica@transfiriendo.com</t>
  </si>
  <si>
    <t>CL 163 A 13 B 60</t>
  </si>
  <si>
    <t>HDI SEGUROS COLOMBIA SA</t>
  </si>
  <si>
    <t>atencion.cliente@hdiseguros.com.co</t>
  </si>
  <si>
    <t>CL 72 10 07</t>
  </si>
  <si>
    <t>EXPRESO GAVIOTA S A</t>
  </si>
  <si>
    <t>DG 23 69 60</t>
  </si>
  <si>
    <t>P A S H SAS</t>
  </si>
  <si>
    <t>bvelasco@patprimo.com.co</t>
  </si>
  <si>
    <t>CL 19 68 B 65</t>
  </si>
  <si>
    <t>GARPIPLASTICOS LIMITADA</t>
  </si>
  <si>
    <t>CL 35 SUR 69 A 13</t>
  </si>
  <si>
    <t>CENTRO AGROLECHERO GROUP SAS</t>
  </si>
  <si>
    <t>info@calgrour.com.co</t>
  </si>
  <si>
    <t>CR 14 A 71 35</t>
  </si>
  <si>
    <t>UNION DE DROGUISTAS SAS UNIDROGAS SAS</t>
  </si>
  <si>
    <t>atencionfe@unidrogas.co</t>
  </si>
  <si>
    <t>KM 3 981 ZONA FRANCA SANTANDER MZ F BOD 6</t>
  </si>
  <si>
    <t>MARROCAR S A S</t>
  </si>
  <si>
    <t>contamarrocar@feriadelbrasier.com.co</t>
  </si>
  <si>
    <t>CR 48 35 74</t>
  </si>
  <si>
    <t>FRISBY SA BIC</t>
  </si>
  <si>
    <t>acusederecibo@frisby.com.co</t>
  </si>
  <si>
    <t>CR 7 24 74</t>
  </si>
  <si>
    <t>COOPERATIVA DE TRANSPORTADORES FLOTA NORTE LTDA COFLONORTE</t>
  </si>
  <si>
    <t>servicioalcliente@coflonorte.com</t>
  </si>
  <si>
    <t>CALLE 9 20 08</t>
  </si>
  <si>
    <t>CAMARA DE COMERCIO DE DUITAMA</t>
  </si>
  <si>
    <t>ccdapresidencia@ccduitama.org.co</t>
  </si>
  <si>
    <t>TV 19 23 141</t>
  </si>
  <si>
    <t>SUPER SERVICIOS BOYACA SAS</t>
  </si>
  <si>
    <t>suserviboy@gmail.com</t>
  </si>
  <si>
    <t>CR 18 7 41</t>
  </si>
  <si>
    <t>COMBUSTIBLES LA PLAYA SAS</t>
  </si>
  <si>
    <t>VIA PAIPA KM 17</t>
  </si>
  <si>
    <t>COMPRESSED NATURAL GAS COLOMBIA SA</t>
  </si>
  <si>
    <t>CL 109 18 C 17 OF 304</t>
  </si>
  <si>
    <t>MAKRO SUPERMAYORISTA SAS</t>
  </si>
  <si>
    <t>makrovirtual@makro.com.co</t>
  </si>
  <si>
    <t>CL 192 19 12</t>
  </si>
  <si>
    <t>ELECTROFERIA DE LA CARRERA 13 SAS</t>
  </si>
  <si>
    <t>admon@electroferiadela13.com</t>
  </si>
  <si>
    <t>CR 13 15 86 88</t>
  </si>
  <si>
    <t xml:space="preserve">CAJAS SANTAFE SAS
</t>
  </si>
  <si>
    <t>comercial@cajassantafe.com</t>
  </si>
  <si>
    <t>CL 27 SUR 29B 14</t>
  </si>
  <si>
    <t>COMETALFA COMERCIALIZADORA DE METALES FIBRAS Y ACCESORIOS LIMITADA</t>
  </si>
  <si>
    <t>cometalfaltda@hotmail.com</t>
  </si>
  <si>
    <t>CL 15 A 25 71</t>
  </si>
  <si>
    <t>CENCOSUD COLOMBIA SA</t>
  </si>
  <si>
    <t>servicio.al.cliente@cencosud.com.co</t>
  </si>
  <si>
    <t>AV 9 125 30</t>
  </si>
  <si>
    <t>GASBIO SAS</t>
  </si>
  <si>
    <t>AUTO NTE KM 44</t>
  </si>
  <si>
    <t>CARICADA SAS</t>
  </si>
  <si>
    <t>caricada@hotmail.com</t>
  </si>
  <si>
    <t>AUTO NTE KM 17 5 VIA BOGOTA BRICEÑO</t>
  </si>
  <si>
    <t>COMERCIALIZADORA DISTRILLANTAS SAS</t>
  </si>
  <si>
    <t>los.caminones@hotmail.com</t>
  </si>
  <si>
    <t>CL 16 19 A 38</t>
  </si>
  <si>
    <t>SERVICIOS MEDICOS FAMEDIC SAS</t>
  </si>
  <si>
    <t>analistafacturacion@famedicips.com</t>
  </si>
  <si>
    <t>CR 45 108 27 TE 2 OF 1008</t>
  </si>
  <si>
    <t xml:space="preserve">DIMAP BOYACA S A S
</t>
  </si>
  <si>
    <t>dimapboyaca@hotmail.com</t>
  </si>
  <si>
    <t>CR 35 1 138</t>
  </si>
  <si>
    <t>CONALPLAST SAS</t>
  </si>
  <si>
    <t>CR 67 3 57</t>
  </si>
  <si>
    <t>COLVAC EMPAQUES DE BARRERA SAS</t>
  </si>
  <si>
    <t>contabilidad@empaquescolvac.com</t>
  </si>
  <si>
    <t>CL 97 B SUR N 50 71</t>
  </si>
  <si>
    <t>DOTACIONES MILENIUM S A S</t>
  </si>
  <si>
    <t>dotacionesmilenium@gmail.com</t>
  </si>
  <si>
    <t xml:space="preserve">CL 8 SUR 68 D 62	</t>
  </si>
  <si>
    <t>DOTACIONES VELANDIA SAS</t>
  </si>
  <si>
    <t>dotacionesvelandia@hotmail.com</t>
  </si>
  <si>
    <t>CL 4 SUR 68 52</t>
  </si>
  <si>
    <t>MASSER S A S</t>
  </si>
  <si>
    <t>infomasser@masser.com</t>
  </si>
  <si>
    <t>CL 94 51 B 43 OF 405</t>
  </si>
  <si>
    <t>CI TECA PETROLEUM COMPANY SAS</t>
  </si>
  <si>
    <t>DG 16 112 A 51</t>
  </si>
  <si>
    <t>CORFERIAS INVERSIONES S A S</t>
  </si>
  <si>
    <t>Info@corferias.com</t>
  </si>
  <si>
    <t>MAPLE RESPIRATORY IPS SAS</t>
  </si>
  <si>
    <t>CR 46 95 35</t>
  </si>
  <si>
    <t>TINTAS Y MAQUINAS SAS</t>
  </si>
  <si>
    <t>gerencia@tintasymaquinas.com.co</t>
  </si>
  <si>
    <t>CR 69 B SUR 37 A 47</t>
  </si>
  <si>
    <t>INVERSIONES PALUAN SAS</t>
  </si>
  <si>
    <t>CR 22 25 05</t>
  </si>
  <si>
    <t>CUELLAR ARCINIEGAS REPRESENTACIONES Y SERVICIOS SAS</t>
  </si>
  <si>
    <t>eds.pontevedra@terpel.com</t>
  </si>
  <si>
    <t>AV CR 72 93 72</t>
  </si>
  <si>
    <t>DISTRIBUIDORA DE CORREAS Y MANGUERAS COLOMBIA SAS</t>
  </si>
  <si>
    <t>puntodeventa@dcmcolombiasas.com</t>
  </si>
  <si>
    <t>CL 15 25 71</t>
  </si>
  <si>
    <t>SERVICIOS INTEGRADOS PROFESIONALES SIPRO S A S</t>
  </si>
  <si>
    <t>eds.trinidad@terpel.com</t>
  </si>
  <si>
    <t>CL 150 50 67 OF 502</t>
  </si>
  <si>
    <t>DICSON BOGOTA S A S</t>
  </si>
  <si>
    <t>gerencia@dicbogota.com</t>
  </si>
  <si>
    <t>CR 27 15 70</t>
  </si>
  <si>
    <t>BIOFRESH COLOMBIA SAS</t>
  </si>
  <si>
    <t>biofreshcolombia@gmail.com</t>
  </si>
  <si>
    <t>CR 5 19 05 LC 1</t>
  </si>
  <si>
    <t>TERCOCHES SAS</t>
  </si>
  <si>
    <t>AV CR 72 152 30</t>
  </si>
  <si>
    <t>JEMA GASOIL SAS</t>
  </si>
  <si>
    <t>eds.la49@terpel.com</t>
  </si>
  <si>
    <t>CR 72 49 48</t>
  </si>
  <si>
    <t>MONTAÑA &amp; MORENO SAS</t>
  </si>
  <si>
    <t>eds.eltriangulobog@terpel.com</t>
  </si>
  <si>
    <t>CR 72 44 B 39 SUR</t>
  </si>
  <si>
    <t xml:space="preserve">ACCESOS NORTE DE BOGOTA SAS
</t>
  </si>
  <si>
    <t>accesosnortebogota2@gmail.com</t>
  </si>
  <si>
    <t>KM 19 CARRETERA CENTRAL DEL NTE</t>
  </si>
  <si>
    <t>SAIMPLAST SAS</t>
  </si>
  <si>
    <t>saimplast348@gmail.com</t>
  </si>
  <si>
    <t>CR 18 11 A 28</t>
  </si>
  <si>
    <t>ASOCIACION DE LECHEROS DE PALERMO</t>
  </si>
  <si>
    <t>lfranciscodb1557@hotmail.com</t>
  </si>
  <si>
    <t>VDA PEÑA AMARILLA</t>
  </si>
  <si>
    <t>ESTACION PRADERA AV 68 SAS</t>
  </si>
  <si>
    <t>e.pradera.68@gmail.com</t>
  </si>
  <si>
    <t>CR 68 11 46</t>
  </si>
  <si>
    <t>LUBRICENTRO A &amp; G SAS</t>
  </si>
  <si>
    <t>lubricentroayg@gmail.com</t>
  </si>
  <si>
    <t>CR 68 L 39 42 SUR</t>
  </si>
  <si>
    <t>DEVISAB SAS</t>
  </si>
  <si>
    <t>radicacion@devisab.com</t>
  </si>
  <si>
    <t>CL 100 8 A 49 TO 8 OF 919</t>
  </si>
  <si>
    <t>INTERCONTINENTAL DE LUJOS LA ESTANZUELA SAS</t>
  </si>
  <si>
    <t>interestanzuelasas@gmail.com</t>
  </si>
  <si>
    <t>CR 18 8 18</t>
  </si>
  <si>
    <t>COMPAÑIA DE ALIMENTOS BIFF SAS</t>
  </si>
  <si>
    <t>contabilidad@biif.com.co</t>
  </si>
  <si>
    <t>CR 20 5 91</t>
  </si>
  <si>
    <t>IKSO SAS</t>
  </si>
  <si>
    <t>datapersonal@ikea.com.co</t>
  </si>
  <si>
    <t>CL 99 11 A 32</t>
  </si>
  <si>
    <t>COMERCIALIZADORA LA VIÑA BOYACA SOCIEDAD POR ACCIONES SIMPLIFICADA</t>
  </si>
  <si>
    <t>cmolavina@gmail.com</t>
  </si>
  <si>
    <t>CL 12 37 A 43</t>
  </si>
  <si>
    <t>BTS DERECHOS ECONOMICOS SAS</t>
  </si>
  <si>
    <t>btscontactenos@autoviabts.com</t>
  </si>
  <si>
    <t>VDA FUSCA SECTOR ESTACION LA CARO AUTO NTE EDIFICIO SIBELIUS EMPRESARIAL</t>
  </si>
  <si>
    <t>DISTRIBUIDORA EL CARMEN BADIZ SAS</t>
  </si>
  <si>
    <t>CL 25 19 75</t>
  </si>
  <si>
    <t>INVERSIONES RUCA SAS</t>
  </si>
  <si>
    <t>eds.paseodela15@terpel.com</t>
  </si>
  <si>
    <t>CL 173 A 65 90 KS 2</t>
  </si>
  <si>
    <t>ALIANZA HFM7 SAS</t>
  </si>
  <si>
    <t>revisarcorreosvirginia@gmail.com</t>
  </si>
  <si>
    <t>CR 11 3 47</t>
  </si>
  <si>
    <t>CENTRAL DE BATERIAS K SAS</t>
  </si>
  <si>
    <t>centralbateriask@gmail.com</t>
  </si>
  <si>
    <t>CL 55 SUR 87 B 65</t>
  </si>
  <si>
    <t xml:space="preserve">GUTIERREZ &amp; LOMBANA SAS
</t>
  </si>
  <si>
    <t>villaclaudia@terpel.com</t>
  </si>
  <si>
    <t>CL 95 71 11 IN 4 AP 504</t>
  </si>
  <si>
    <t>LUEM SOLUCIONES INTEGRALES SAS</t>
  </si>
  <si>
    <t>eds.mayo@terpel.com</t>
  </si>
  <si>
    <t>CL 26 SUR 51B 65</t>
  </si>
  <si>
    <t>COMERCIALIZADORA Y DISTRIBUIDORA N &amp; M SAS</t>
  </si>
  <si>
    <t>DG 67 0 A 24</t>
  </si>
  <si>
    <t>PUNTO LIMPIO COLOMBIA SAS</t>
  </si>
  <si>
    <t>puntolimpiocolombia@gmail.com</t>
  </si>
  <si>
    <t>CL 6 18 79</t>
  </si>
  <si>
    <t>MEDYCARE CLINICA DE OBESIDAD Y PREVENCION CARDIOVASCULAR SAS</t>
  </si>
  <si>
    <t>contabilidad.medycare@outlook.com</t>
  </si>
  <si>
    <t>AV EL DORADO 69A 51 TB OF 701</t>
  </si>
  <si>
    <t>AREVALO PIÑEROS WILLIAM ISAURO</t>
  </si>
  <si>
    <t>unicapaipa@supernotariado.gov.co</t>
  </si>
  <si>
    <t>CL 26 22 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</si>
</sst>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alcChain" Target="calcChain.xml"/><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202"/>
  <sheetViews>
    <sheetView tabSelected="1" zoomScaleNormal="100" zoomScalePageLayoutView="80" workbookViewId="0">
      <selection activeCell="M11" sqref="M11"/>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23555666</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46203</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80065005</v>
      </c>
      <c r="B7" s="4" t="s">
        <v>2250</v>
      </c>
      <c r="C7" s="12" t="s">
        <v>2251</v>
      </c>
      <c r="D7" s="4">
        <v>3208574238</v>
      </c>
      <c r="E7" s="4" t="s">
        <v>2252</v>
      </c>
      <c r="F7" s="4" t="s">
        <v>534</v>
      </c>
      <c r="G7" s="4">
        <v>313</v>
      </c>
      <c r="H7" s="4">
        <v>1238566</v>
      </c>
      <c r="I7" s="4"/>
      <c r="J7" s="4"/>
    </row>
    <row r="8" spans="1:10" x14ac:dyDescent="0.25">
      <c r="A8" s="4">
        <v>901708761</v>
      </c>
      <c r="B8" s="4" t="s">
        <v>2253</v>
      </c>
      <c r="C8" s="4" t="s">
        <v>2254</v>
      </c>
      <c r="D8" s="4">
        <v>3208574238</v>
      </c>
      <c r="E8" s="4" t="s">
        <v>2255</v>
      </c>
      <c r="F8" s="4" t="s">
        <v>534</v>
      </c>
      <c r="G8" s="4">
        <v>313</v>
      </c>
      <c r="H8" s="4">
        <v>3176474</v>
      </c>
      <c r="I8" s="4"/>
      <c r="J8" s="4"/>
    </row>
    <row r="9" spans="1:10" x14ac:dyDescent="0.25">
      <c r="A9" s="4">
        <v>1053610209</v>
      </c>
      <c r="B9" s="4" t="s">
        <v>2256</v>
      </c>
      <c r="C9" s="4" t="s">
        <v>2257</v>
      </c>
      <c r="D9" s="4">
        <v>6087850660</v>
      </c>
      <c r="E9" s="4" t="s">
        <v>2258</v>
      </c>
      <c r="F9" s="4" t="s">
        <v>733</v>
      </c>
      <c r="G9" s="4">
        <v>310</v>
      </c>
      <c r="H9" s="4">
        <v>340000</v>
      </c>
      <c r="I9" s="4">
        <v>2720</v>
      </c>
      <c r="J9" s="4"/>
    </row>
    <row r="10" spans="1:10" x14ac:dyDescent="0.25">
      <c r="A10" s="4">
        <v>1053614555</v>
      </c>
      <c r="B10" s="4" t="s">
        <v>2259</v>
      </c>
      <c r="C10" s="4" t="s">
        <v>2260</v>
      </c>
      <c r="D10" s="4">
        <v>3177052701</v>
      </c>
      <c r="E10" s="4" t="s">
        <v>2261</v>
      </c>
      <c r="F10" s="4" t="s">
        <v>733</v>
      </c>
      <c r="G10" s="4">
        <v>302</v>
      </c>
      <c r="H10" s="4">
        <v>3302000</v>
      </c>
      <c r="I10" s="4">
        <v>23114</v>
      </c>
      <c r="J10" s="4"/>
    </row>
    <row r="11" spans="1:10" x14ac:dyDescent="0.25">
      <c r="A11" s="4">
        <v>1152689765</v>
      </c>
      <c r="B11" s="4" t="s">
        <v>2262</v>
      </c>
      <c r="C11" s="4" t="s">
        <v>2263</v>
      </c>
      <c r="D11" s="4">
        <v>3207915526</v>
      </c>
      <c r="E11" s="4" t="s">
        <v>2264</v>
      </c>
      <c r="F11" s="4" t="s">
        <v>351</v>
      </c>
      <c r="G11" s="4">
        <v>326</v>
      </c>
      <c r="H11" s="4">
        <v>1000000</v>
      </c>
      <c r="I11" s="4"/>
      <c r="J11" s="4"/>
    </row>
    <row r="12" spans="1:10" x14ac:dyDescent="0.25">
      <c r="A12" s="4">
        <v>23596743</v>
      </c>
      <c r="B12" s="4" t="s">
        <v>2265</v>
      </c>
      <c r="C12" s="4"/>
      <c r="D12" s="4">
        <v>3197103029</v>
      </c>
      <c r="E12" s="4" t="s">
        <v>2266</v>
      </c>
      <c r="F12" s="4" t="s">
        <v>729</v>
      </c>
      <c r="G12" s="4">
        <v>301</v>
      </c>
      <c r="H12" s="4">
        <v>55315190</v>
      </c>
      <c r="I12" s="4">
        <v>387206</v>
      </c>
      <c r="J12" s="4"/>
    </row>
    <row r="13" spans="1:10" x14ac:dyDescent="0.25">
      <c r="A13" s="4">
        <v>52278371</v>
      </c>
      <c r="B13" s="4" t="s">
        <v>2267</v>
      </c>
      <c r="C13" s="4" t="s">
        <v>2268</v>
      </c>
      <c r="D13" s="4">
        <v>3004735031</v>
      </c>
      <c r="E13" s="4" t="s">
        <v>2269</v>
      </c>
      <c r="F13" s="4" t="s">
        <v>418</v>
      </c>
      <c r="G13" s="4">
        <v>326</v>
      </c>
      <c r="H13" s="4">
        <v>2820000</v>
      </c>
      <c r="I13" s="4">
        <v>28200</v>
      </c>
      <c r="J13" s="4"/>
    </row>
    <row r="14" spans="1:10" x14ac:dyDescent="0.25">
      <c r="A14" s="4">
        <v>7217431</v>
      </c>
      <c r="B14" s="4" t="s">
        <v>2270</v>
      </c>
      <c r="C14" s="4" t="s">
        <v>2271</v>
      </c>
      <c r="D14" s="4">
        <v>3123346724</v>
      </c>
      <c r="E14" s="4" t="s">
        <v>2272</v>
      </c>
      <c r="F14" s="4" t="s">
        <v>729</v>
      </c>
      <c r="G14" s="4">
        <v>313</v>
      </c>
      <c r="H14" s="4">
        <v>1400000</v>
      </c>
      <c r="I14" s="4"/>
      <c r="J14" s="4"/>
    </row>
    <row r="15" spans="1:10" x14ac:dyDescent="0.25">
      <c r="A15" s="4">
        <v>7225749</v>
      </c>
      <c r="B15" s="4" t="s">
        <v>2273</v>
      </c>
      <c r="C15" s="4" t="s">
        <v>2274</v>
      </c>
      <c r="D15" s="4">
        <v>3118680208</v>
      </c>
      <c r="E15" s="4" t="s">
        <v>2275</v>
      </c>
      <c r="F15" s="4" t="s">
        <v>729</v>
      </c>
      <c r="G15" s="4">
        <v>313</v>
      </c>
      <c r="H15" s="4">
        <v>26917000</v>
      </c>
      <c r="I15" s="4"/>
      <c r="J15" s="4"/>
    </row>
    <row r="16" spans="1:10" x14ac:dyDescent="0.25">
      <c r="A16" s="4">
        <v>74322792</v>
      </c>
      <c r="B16" s="4" t="s">
        <v>2276</v>
      </c>
      <c r="C16" s="4" t="s">
        <v>2277</v>
      </c>
      <c r="D16" s="4">
        <v>3164714778</v>
      </c>
      <c r="E16" s="4" t="s">
        <v>2278</v>
      </c>
      <c r="F16" s="4" t="s">
        <v>733</v>
      </c>
      <c r="G16" s="4">
        <v>334</v>
      </c>
      <c r="H16" s="4">
        <v>120000</v>
      </c>
      <c r="I16" s="4"/>
      <c r="J16" s="4"/>
    </row>
    <row r="17" spans="1:10" x14ac:dyDescent="0.25">
      <c r="A17" s="4">
        <v>74379250</v>
      </c>
      <c r="B17" s="4" t="s">
        <v>2279</v>
      </c>
      <c r="C17" s="4" t="s">
        <v>2280</v>
      </c>
      <c r="D17" s="4">
        <v>3112959989</v>
      </c>
      <c r="E17" s="4" t="s">
        <v>2281</v>
      </c>
      <c r="F17" s="4" t="s">
        <v>729</v>
      </c>
      <c r="G17" s="4">
        <v>326</v>
      </c>
      <c r="H17" s="4">
        <v>6000000</v>
      </c>
      <c r="I17" s="4">
        <v>60000</v>
      </c>
      <c r="J17" s="4"/>
    </row>
    <row r="18" spans="1:10" x14ac:dyDescent="0.25">
      <c r="A18" s="4">
        <v>74379903</v>
      </c>
      <c r="B18" s="4" t="s">
        <v>2282</v>
      </c>
      <c r="C18" s="4" t="s">
        <v>2283</v>
      </c>
      <c r="D18" s="4">
        <v>3134556211</v>
      </c>
      <c r="E18" s="4" t="s">
        <v>2284</v>
      </c>
      <c r="F18" s="4" t="s">
        <v>729</v>
      </c>
      <c r="G18" s="4">
        <v>334</v>
      </c>
      <c r="H18" s="4">
        <v>3000000</v>
      </c>
      <c r="I18" s="4">
        <v>30000</v>
      </c>
      <c r="J18" s="4"/>
    </row>
    <row r="19" spans="1:10" x14ac:dyDescent="0.25">
      <c r="A19" s="4">
        <v>800047326</v>
      </c>
      <c r="B19" s="4" t="s">
        <v>2285</v>
      </c>
      <c r="C19" s="4"/>
      <c r="D19" s="4">
        <v>6014254704</v>
      </c>
      <c r="E19" s="4" t="s">
        <v>2286</v>
      </c>
      <c r="F19" s="4" t="s">
        <v>418</v>
      </c>
      <c r="G19" s="4">
        <v>334</v>
      </c>
      <c r="H19" s="4">
        <f>783908+39092</f>
        <v>823000</v>
      </c>
      <c r="I19" s="4"/>
      <c r="J19" s="4">
        <v>39092</v>
      </c>
    </row>
    <row r="20" spans="1:10" x14ac:dyDescent="0.25">
      <c r="A20" s="4">
        <v>800153993</v>
      </c>
      <c r="B20" s="4" t="s">
        <v>2287</v>
      </c>
      <c r="C20" s="4" t="s">
        <v>2288</v>
      </c>
      <c r="D20" s="4">
        <v>6017429797</v>
      </c>
      <c r="E20" s="4" t="s">
        <v>2289</v>
      </c>
      <c r="F20" s="4" t="s">
        <v>418</v>
      </c>
      <c r="G20" s="4">
        <v>325</v>
      </c>
      <c r="H20" s="4">
        <v>1711302</v>
      </c>
      <c r="I20" s="4"/>
      <c r="J20" s="4"/>
    </row>
    <row r="21" spans="1:10" ht="15.75" customHeight="1" x14ac:dyDescent="0.25">
      <c r="A21" s="4">
        <v>800194600</v>
      </c>
      <c r="B21" s="4" t="s">
        <v>2290</v>
      </c>
      <c r="C21" s="4" t="s">
        <v>2291</v>
      </c>
      <c r="D21" s="4">
        <v>6014227300</v>
      </c>
      <c r="E21" s="4" t="s">
        <v>2292</v>
      </c>
      <c r="F21" s="4" t="s">
        <v>418</v>
      </c>
      <c r="G21" s="4">
        <v>334</v>
      </c>
      <c r="H21" s="4">
        <v>1040063</v>
      </c>
      <c r="I21" s="4"/>
      <c r="J21" s="4"/>
    </row>
    <row r="22" spans="1:10" ht="15.75" customHeight="1" x14ac:dyDescent="0.25">
      <c r="A22" s="4">
        <v>800242106</v>
      </c>
      <c r="B22" s="4" t="s">
        <v>2293</v>
      </c>
      <c r="C22" s="4" t="s">
        <v>2294</v>
      </c>
      <c r="D22" s="4">
        <v>6013904100</v>
      </c>
      <c r="E22" s="4" t="s">
        <v>2295</v>
      </c>
      <c r="F22" s="4" t="s">
        <v>418</v>
      </c>
      <c r="G22" s="4">
        <v>218</v>
      </c>
      <c r="H22" s="4">
        <v>8238687</v>
      </c>
      <c r="I22" s="4"/>
      <c r="J22" s="4"/>
    </row>
    <row r="23" spans="1:10" ht="15.75" customHeight="1" x14ac:dyDescent="0.25">
      <c r="A23" s="4">
        <v>804002433</v>
      </c>
      <c r="B23" s="4" t="s">
        <v>2296</v>
      </c>
      <c r="C23" s="4" t="s">
        <v>2297</v>
      </c>
      <c r="D23" s="4">
        <v>6012444000</v>
      </c>
      <c r="E23" s="4" t="s">
        <v>2298</v>
      </c>
      <c r="F23" s="4" t="s">
        <v>1952</v>
      </c>
      <c r="G23" s="4">
        <v>334</v>
      </c>
      <c r="H23" s="4">
        <v>105850</v>
      </c>
      <c r="I23" s="4">
        <v>1059</v>
      </c>
      <c r="J23" s="4"/>
    </row>
    <row r="24" spans="1:10" ht="15.75" customHeight="1" x14ac:dyDescent="0.25">
      <c r="A24" s="4">
        <v>805006014</v>
      </c>
      <c r="B24" s="4" t="s">
        <v>2299</v>
      </c>
      <c r="C24" s="4" t="s">
        <v>2300</v>
      </c>
      <c r="D24" s="4">
        <v>6015185936</v>
      </c>
      <c r="E24" s="4" t="s">
        <v>2301</v>
      </c>
      <c r="F24" s="4" t="s">
        <v>418</v>
      </c>
      <c r="G24" s="4">
        <v>325</v>
      </c>
      <c r="H24" s="4">
        <f>352948+292487</f>
        <v>645435</v>
      </c>
      <c r="I24" s="4"/>
      <c r="J24" s="4">
        <v>292487</v>
      </c>
    </row>
    <row r="25" spans="1:10" ht="15.75" customHeight="1" x14ac:dyDescent="0.25">
      <c r="A25" s="4">
        <v>826000346</v>
      </c>
      <c r="B25" s="4" t="s">
        <v>2302</v>
      </c>
      <c r="C25" s="4" t="s">
        <v>2303</v>
      </c>
      <c r="D25" s="4">
        <v>3138150403</v>
      </c>
      <c r="E25" s="4" t="s">
        <v>2304</v>
      </c>
      <c r="F25" s="4" t="s">
        <v>729</v>
      </c>
      <c r="G25" s="4">
        <v>334</v>
      </c>
      <c r="H25" s="4">
        <v>4314900</v>
      </c>
      <c r="I25" s="4"/>
      <c r="J25" s="4"/>
    </row>
    <row r="26" spans="1:10" ht="15.75" customHeight="1" x14ac:dyDescent="0.25">
      <c r="A26" s="4">
        <v>830045472</v>
      </c>
      <c r="B26" s="4" t="s">
        <v>2305</v>
      </c>
      <c r="C26" s="4" t="s">
        <v>2306</v>
      </c>
      <c r="D26" s="4">
        <v>6013485500</v>
      </c>
      <c r="E26" s="4" t="s">
        <v>2307</v>
      </c>
      <c r="F26" s="4" t="s">
        <v>418</v>
      </c>
      <c r="G26" s="4">
        <v>214</v>
      </c>
      <c r="H26" s="4">
        <v>28927210</v>
      </c>
      <c r="I26" s="4"/>
      <c r="J26" s="4"/>
    </row>
    <row r="27" spans="1:10" ht="15.75" customHeight="1" x14ac:dyDescent="0.25">
      <c r="A27" s="4">
        <v>830098566</v>
      </c>
      <c r="B27" s="4" t="s">
        <v>2308</v>
      </c>
      <c r="C27" s="4" t="s">
        <v>2309</v>
      </c>
      <c r="D27" s="4">
        <v>6012383908</v>
      </c>
      <c r="E27" s="4" t="s">
        <v>2310</v>
      </c>
      <c r="F27" s="4" t="s">
        <v>418</v>
      </c>
      <c r="G27" s="4">
        <v>301</v>
      </c>
      <c r="H27" s="4">
        <v>250000</v>
      </c>
      <c r="I27" s="4"/>
      <c r="J27" s="4"/>
    </row>
    <row r="28" spans="1:10" ht="15.75" customHeight="1" x14ac:dyDescent="0.25">
      <c r="A28" s="4">
        <v>860535493</v>
      </c>
      <c r="B28" s="4" t="s">
        <v>2311</v>
      </c>
      <c r="C28" s="4" t="s">
        <v>2312</v>
      </c>
      <c r="D28" s="4">
        <v>3133630003</v>
      </c>
      <c r="E28" s="4" t="s">
        <v>2313</v>
      </c>
      <c r="F28" s="4" t="s">
        <v>418</v>
      </c>
      <c r="G28" s="4">
        <v>202</v>
      </c>
      <c r="H28" s="4">
        <v>196447</v>
      </c>
      <c r="I28" s="4"/>
      <c r="J28" s="4"/>
    </row>
    <row r="29" spans="1:10" ht="15.75" customHeight="1" x14ac:dyDescent="0.25">
      <c r="A29" s="4">
        <v>890321151</v>
      </c>
      <c r="B29" s="4" t="s">
        <v>2314</v>
      </c>
      <c r="C29" s="4" t="s">
        <v>2315</v>
      </c>
      <c r="D29" s="4">
        <v>6014106766</v>
      </c>
      <c r="E29" s="4" t="s">
        <v>2316</v>
      </c>
      <c r="F29" s="4" t="s">
        <v>2204</v>
      </c>
      <c r="G29" s="4">
        <v>334</v>
      </c>
      <c r="H29" s="4">
        <v>2274713</v>
      </c>
      <c r="I29" s="4"/>
      <c r="J29" s="4"/>
    </row>
    <row r="30" spans="1:10" ht="15.75" customHeight="1" x14ac:dyDescent="0.25">
      <c r="A30" s="4">
        <v>890900608</v>
      </c>
      <c r="B30" s="4" t="s">
        <v>2317</v>
      </c>
      <c r="C30" s="4" t="s">
        <v>2318</v>
      </c>
      <c r="D30" s="4">
        <v>6016049636</v>
      </c>
      <c r="E30" s="4" t="s">
        <v>2319</v>
      </c>
      <c r="F30" s="4" t="s">
        <v>343</v>
      </c>
      <c r="G30" s="4">
        <v>218</v>
      </c>
      <c r="H30" s="4">
        <v>37766865</v>
      </c>
      <c r="I30" s="4"/>
      <c r="J30" s="4"/>
    </row>
    <row r="31" spans="1:10" ht="15.75" customHeight="1" x14ac:dyDescent="0.25">
      <c r="A31" s="4">
        <v>891800219</v>
      </c>
      <c r="B31" s="4" t="s">
        <v>2320</v>
      </c>
      <c r="C31" s="4" t="s">
        <v>2321</v>
      </c>
      <c r="D31" s="4">
        <v>6017405000</v>
      </c>
      <c r="E31" s="4" t="s">
        <v>2322</v>
      </c>
      <c r="F31" s="4" t="s">
        <v>534</v>
      </c>
      <c r="G31" s="4">
        <v>217</v>
      </c>
      <c r="H31" s="4">
        <v>6424770</v>
      </c>
      <c r="I31" s="4"/>
      <c r="J31" s="4"/>
    </row>
    <row r="32" spans="1:10" ht="15.75" customHeight="1" x14ac:dyDescent="0.25">
      <c r="A32" s="4">
        <v>900031780</v>
      </c>
      <c r="B32" s="4" t="s">
        <v>2323</v>
      </c>
      <c r="C32" s="4" t="s">
        <v>2324</v>
      </c>
      <c r="D32" s="4">
        <v>3105518809</v>
      </c>
      <c r="E32" s="4" t="s">
        <v>2325</v>
      </c>
      <c r="F32" s="4" t="s">
        <v>733</v>
      </c>
      <c r="G32" s="4">
        <v>211</v>
      </c>
      <c r="H32" s="4">
        <f>4680083+23782</f>
        <v>4703865</v>
      </c>
      <c r="I32" s="4">
        <v>33911</v>
      </c>
      <c r="J32" s="4">
        <v>23782</v>
      </c>
    </row>
    <row r="33" spans="1:10" ht="15.75" customHeight="1" x14ac:dyDescent="0.25">
      <c r="A33" s="4">
        <v>900269840</v>
      </c>
      <c r="B33" s="4" t="s">
        <v>2326</v>
      </c>
      <c r="C33" s="4" t="s">
        <v>2327</v>
      </c>
      <c r="D33" s="4">
        <v>3204585948</v>
      </c>
      <c r="E33" s="4" t="s">
        <v>2328</v>
      </c>
      <c r="F33" s="4" t="s">
        <v>418</v>
      </c>
      <c r="G33" s="4">
        <v>218</v>
      </c>
      <c r="H33" s="4">
        <v>1917647</v>
      </c>
      <c r="I33" s="4"/>
      <c r="J33" s="4"/>
    </row>
    <row r="34" spans="1:10" ht="15.75" customHeight="1" x14ac:dyDescent="0.25">
      <c r="A34" s="4">
        <v>900367832</v>
      </c>
      <c r="B34" s="4" t="s">
        <v>2329</v>
      </c>
      <c r="C34" s="4" t="s">
        <v>2330</v>
      </c>
      <c r="D34" s="4">
        <v>6087650466</v>
      </c>
      <c r="E34" s="4" t="s">
        <v>2331</v>
      </c>
      <c r="F34" s="4" t="s">
        <v>729</v>
      </c>
      <c r="G34" s="4">
        <v>313</v>
      </c>
      <c r="H34" s="4">
        <v>12100</v>
      </c>
      <c r="I34" s="4"/>
      <c r="J34" s="4"/>
    </row>
    <row r="35" spans="1:10" ht="15.75" customHeight="1" x14ac:dyDescent="0.25">
      <c r="A35" s="4">
        <v>900713050</v>
      </c>
      <c r="B35" s="4" t="s">
        <v>2332</v>
      </c>
      <c r="C35" s="4" t="s">
        <v>2333</v>
      </c>
      <c r="D35" s="4">
        <v>6014477286</v>
      </c>
      <c r="E35" s="4" t="s">
        <v>2334</v>
      </c>
      <c r="F35" s="4" t="s">
        <v>418</v>
      </c>
      <c r="G35" s="4">
        <v>334</v>
      </c>
      <c r="H35" s="4">
        <v>2298465</v>
      </c>
      <c r="I35" s="4"/>
      <c r="J35" s="4"/>
    </row>
    <row r="36" spans="1:10" ht="15.75" customHeight="1" x14ac:dyDescent="0.25">
      <c r="A36" s="4">
        <v>900813668</v>
      </c>
      <c r="B36" s="4" t="s">
        <v>2335</v>
      </c>
      <c r="C36" s="4" t="s">
        <v>2336</v>
      </c>
      <c r="D36" s="4">
        <v>3175166012</v>
      </c>
      <c r="E36" s="4" t="s">
        <v>2337</v>
      </c>
      <c r="F36" s="4" t="s">
        <v>733</v>
      </c>
      <c r="G36" s="4">
        <v>325</v>
      </c>
      <c r="H36" s="4">
        <v>948605</v>
      </c>
      <c r="I36" s="4"/>
      <c r="J36" s="4"/>
    </row>
    <row r="37" spans="1:10" ht="15.75" customHeight="1" x14ac:dyDescent="0.25">
      <c r="A37" s="4">
        <v>901145641</v>
      </c>
      <c r="B37" s="4" t="s">
        <v>2338</v>
      </c>
      <c r="C37" s="4"/>
      <c r="D37" s="4">
        <v>3107912864</v>
      </c>
      <c r="E37" s="4" t="s">
        <v>2339</v>
      </c>
      <c r="F37" s="4" t="s">
        <v>733</v>
      </c>
      <c r="G37" s="4">
        <v>304</v>
      </c>
      <c r="H37" s="4">
        <v>1172340</v>
      </c>
      <c r="I37" s="4">
        <v>8206</v>
      </c>
      <c r="J37" s="4"/>
    </row>
    <row r="38" spans="1:10" ht="15.75" customHeight="1" x14ac:dyDescent="0.25">
      <c r="A38" s="4">
        <v>901162983</v>
      </c>
      <c r="B38" s="4" t="s">
        <v>2340</v>
      </c>
      <c r="C38" s="4" t="s">
        <v>2341</v>
      </c>
      <c r="D38" s="4">
        <v>3115331899</v>
      </c>
      <c r="E38" s="4" t="s">
        <v>2342</v>
      </c>
      <c r="F38" s="4" t="s">
        <v>729</v>
      </c>
      <c r="G38" s="4">
        <v>312</v>
      </c>
      <c r="H38" s="4">
        <v>485000</v>
      </c>
      <c r="I38" s="4"/>
      <c r="J38" s="4"/>
    </row>
    <row r="39" spans="1:10" ht="15.75" customHeight="1" x14ac:dyDescent="0.25">
      <c r="A39" s="4">
        <v>901196194</v>
      </c>
      <c r="B39" s="4" t="s">
        <v>2343</v>
      </c>
      <c r="C39" s="4" t="s">
        <v>2344</v>
      </c>
      <c r="D39" s="4">
        <v>3114481848</v>
      </c>
      <c r="E39" s="4" t="s">
        <v>2345</v>
      </c>
      <c r="F39" s="4" t="s">
        <v>729</v>
      </c>
      <c r="G39" s="4">
        <v>218</v>
      </c>
      <c r="H39" s="4">
        <v>15465000</v>
      </c>
      <c r="I39" s="4"/>
      <c r="J39" s="4"/>
    </row>
    <row r="40" spans="1:10" ht="15.75" customHeight="1" x14ac:dyDescent="0.25">
      <c r="A40" s="4">
        <v>901198240</v>
      </c>
      <c r="B40" s="4" t="s">
        <v>2346</v>
      </c>
      <c r="C40" s="4" t="s">
        <v>2347</v>
      </c>
      <c r="D40" s="4">
        <v>3132256070</v>
      </c>
      <c r="E40" s="4" t="s">
        <v>2348</v>
      </c>
      <c r="F40" s="4" t="s">
        <v>534</v>
      </c>
      <c r="G40" s="4">
        <v>303</v>
      </c>
      <c r="H40" s="4">
        <v>1557954</v>
      </c>
      <c r="I40" s="4"/>
      <c r="J40" s="4"/>
    </row>
    <row r="41" spans="1:10" ht="15.75" customHeight="1" x14ac:dyDescent="0.25">
      <c r="A41" s="4">
        <v>901208363</v>
      </c>
      <c r="B41" s="4" t="s">
        <v>2349</v>
      </c>
      <c r="C41" s="4" t="s">
        <v>2350</v>
      </c>
      <c r="D41" s="4">
        <v>3187354346</v>
      </c>
      <c r="E41" s="4" t="s">
        <v>2351</v>
      </c>
      <c r="F41" s="4" t="s">
        <v>418</v>
      </c>
      <c r="G41" s="4">
        <v>334</v>
      </c>
      <c r="H41" s="4">
        <v>261786</v>
      </c>
      <c r="I41" s="4"/>
      <c r="J41" s="4"/>
    </row>
    <row r="42" spans="1:10" ht="15.75" customHeight="1" x14ac:dyDescent="0.25">
      <c r="A42" s="4">
        <v>901428396</v>
      </c>
      <c r="B42" s="4" t="s">
        <v>2352</v>
      </c>
      <c r="C42" s="4" t="s">
        <v>2353</v>
      </c>
      <c r="D42" s="4">
        <v>6013109936</v>
      </c>
      <c r="E42" s="4" t="s">
        <v>2354</v>
      </c>
      <c r="F42" s="4" t="s">
        <v>418</v>
      </c>
      <c r="G42" s="4">
        <v>209</v>
      </c>
      <c r="H42" s="4">
        <v>2385500</v>
      </c>
      <c r="I42" s="4"/>
      <c r="J42" s="4"/>
    </row>
    <row r="43" spans="1:10" ht="15.75" customHeight="1" x14ac:dyDescent="0.25">
      <c r="A43" s="4">
        <v>901514667</v>
      </c>
      <c r="B43" s="4" t="s">
        <v>2355</v>
      </c>
      <c r="C43" s="4" t="s">
        <v>2356</v>
      </c>
      <c r="D43" s="4">
        <v>3102045235</v>
      </c>
      <c r="E43" s="4" t="s">
        <v>2357</v>
      </c>
      <c r="F43" s="4" t="s">
        <v>729</v>
      </c>
      <c r="G43" s="4">
        <v>334</v>
      </c>
      <c r="H43" s="4">
        <f>3403000+1097000</f>
        <v>4500000</v>
      </c>
      <c r="I43" s="4"/>
      <c r="J43" s="4">
        <v>1097000</v>
      </c>
    </row>
    <row r="44" spans="1:10" ht="15" customHeight="1" x14ac:dyDescent="0.25">
      <c r="A44">
        <v>1052312807</v>
      </c>
      <c r="B44" t="s">
        <v>2358</v>
      </c>
      <c r="C44" t="s">
        <v>2359</v>
      </c>
      <c r="D44">
        <v>3202613714</v>
      </c>
      <c r="E44" t="s">
        <v>2360</v>
      </c>
      <c r="F44" t="s">
        <v>418</v>
      </c>
      <c r="G44">
        <v>218</v>
      </c>
      <c r="H44">
        <v>20000000</v>
      </c>
    </row>
    <row r="45" spans="1:10" ht="15" customHeight="1" x14ac:dyDescent="0.25">
      <c r="A45">
        <v>1052384306</v>
      </c>
      <c r="B45" t="s">
        <v>2361</v>
      </c>
      <c r="C45" t="s">
        <v>2362</v>
      </c>
      <c r="D45">
        <v>3115503294</v>
      </c>
      <c r="E45" t="s">
        <v>2363</v>
      </c>
      <c r="F45" t="s">
        <v>729</v>
      </c>
      <c r="G45">
        <v>218</v>
      </c>
      <c r="H45">
        <v>10000000</v>
      </c>
    </row>
    <row r="46" spans="1:10" ht="15" customHeight="1" x14ac:dyDescent="0.25">
      <c r="A46">
        <v>23855363</v>
      </c>
      <c r="B46" t="s">
        <v>2364</v>
      </c>
      <c r="C46" t="s">
        <v>2365</v>
      </c>
      <c r="D46">
        <v>3158031907</v>
      </c>
      <c r="E46" t="s">
        <v>2366</v>
      </c>
      <c r="F46" t="s">
        <v>733</v>
      </c>
      <c r="G46">
        <v>219</v>
      </c>
      <c r="H46">
        <v>83109</v>
      </c>
    </row>
    <row r="47" spans="1:10" ht="15" customHeight="1" x14ac:dyDescent="0.25">
      <c r="A47">
        <v>46375058</v>
      </c>
      <c r="B47" t="s">
        <v>2367</v>
      </c>
      <c r="C47" t="s">
        <v>2368</v>
      </c>
      <c r="D47">
        <v>3102191633</v>
      </c>
      <c r="E47" t="s">
        <v>2369</v>
      </c>
      <c r="F47" t="s">
        <v>729</v>
      </c>
      <c r="G47">
        <v>219</v>
      </c>
      <c r="H47">
        <v>1050420</v>
      </c>
    </row>
    <row r="48" spans="1:10" ht="15" customHeight="1" x14ac:dyDescent="0.25">
      <c r="A48">
        <v>74270562</v>
      </c>
      <c r="B48" t="s">
        <v>2370</v>
      </c>
      <c r="C48" t="s">
        <v>2371</v>
      </c>
      <c r="D48">
        <v>3124913969</v>
      </c>
      <c r="E48" t="s">
        <v>2372</v>
      </c>
      <c r="F48" t="s">
        <v>713</v>
      </c>
      <c r="G48">
        <v>334</v>
      </c>
      <c r="H48">
        <v>1800000</v>
      </c>
      <c r="I48">
        <v>18000</v>
      </c>
    </row>
    <row r="49" spans="1:8" ht="15" customHeight="1" x14ac:dyDescent="0.25">
      <c r="A49">
        <v>74372467</v>
      </c>
      <c r="B49" t="s">
        <v>2373</v>
      </c>
      <c r="C49" t="s">
        <v>2374</v>
      </c>
      <c r="D49">
        <v>3112028348</v>
      </c>
      <c r="E49" t="s">
        <v>2375</v>
      </c>
      <c r="F49" t="s">
        <v>729</v>
      </c>
      <c r="G49">
        <v>211</v>
      </c>
      <c r="H49">
        <v>288200</v>
      </c>
    </row>
    <row r="50" spans="1:8" ht="15" customHeight="1" x14ac:dyDescent="0.25">
      <c r="A50">
        <v>800046913</v>
      </c>
      <c r="B50" t="s">
        <v>2376</v>
      </c>
      <c r="C50" t="s">
        <v>2377</v>
      </c>
      <c r="D50">
        <v>3105602329</v>
      </c>
      <c r="E50" t="s">
        <v>2378</v>
      </c>
      <c r="F50" t="s">
        <v>729</v>
      </c>
      <c r="G50">
        <v>211</v>
      </c>
      <c r="H50">
        <v>247647</v>
      </c>
    </row>
    <row r="51" spans="1:8" ht="15" customHeight="1" x14ac:dyDescent="0.25">
      <c r="A51">
        <v>830514610</v>
      </c>
      <c r="B51" t="s">
        <v>2379</v>
      </c>
      <c r="C51" t="s">
        <v>2380</v>
      </c>
      <c r="D51">
        <v>6013552155</v>
      </c>
      <c r="E51" t="s">
        <v>2381</v>
      </c>
      <c r="F51" t="s">
        <v>418</v>
      </c>
      <c r="G51">
        <v>211</v>
      </c>
      <c r="H51">
        <v>16197078</v>
      </c>
    </row>
    <row r="52" spans="1:8" ht="15" customHeight="1" x14ac:dyDescent="0.25">
      <c r="A52">
        <v>860032550</v>
      </c>
      <c r="B52" t="s">
        <v>2382</v>
      </c>
      <c r="C52" t="s">
        <v>2383</v>
      </c>
      <c r="D52">
        <v>6012884737</v>
      </c>
      <c r="E52" t="s">
        <v>2384</v>
      </c>
      <c r="F52" t="s">
        <v>418</v>
      </c>
      <c r="G52">
        <v>114</v>
      </c>
      <c r="H52">
        <v>3904424</v>
      </c>
    </row>
    <row r="53" spans="1:8" ht="15" customHeight="1" x14ac:dyDescent="0.25">
      <c r="A53">
        <v>890900943</v>
      </c>
      <c r="B53" t="s">
        <v>2385</v>
      </c>
      <c r="C53" t="s">
        <v>2386</v>
      </c>
      <c r="D53">
        <v>6014376868</v>
      </c>
      <c r="E53" t="s">
        <v>2387</v>
      </c>
      <c r="F53" t="s">
        <v>418</v>
      </c>
      <c r="G53">
        <v>219</v>
      </c>
      <c r="H53">
        <v>617463</v>
      </c>
    </row>
    <row r="54" spans="1:8" ht="15" customHeight="1" x14ac:dyDescent="0.25">
      <c r="A54">
        <v>900147172</v>
      </c>
      <c r="B54" t="s">
        <v>2388</v>
      </c>
      <c r="C54" t="s">
        <v>2389</v>
      </c>
      <c r="D54">
        <v>3185923355</v>
      </c>
      <c r="E54" t="s">
        <v>2390</v>
      </c>
      <c r="F54" t="s">
        <v>418</v>
      </c>
      <c r="G54">
        <v>114</v>
      </c>
      <c r="H54">
        <v>260850</v>
      </c>
    </row>
    <row r="55" spans="1:8" ht="15" customHeight="1" x14ac:dyDescent="0.25">
      <c r="A55">
        <v>900581542</v>
      </c>
      <c r="B55" t="s">
        <v>2391</v>
      </c>
      <c r="D55">
        <v>3107955879</v>
      </c>
      <c r="E55" t="s">
        <v>2392</v>
      </c>
      <c r="F55" t="s">
        <v>729</v>
      </c>
      <c r="G55">
        <v>211</v>
      </c>
      <c r="H55">
        <v>1821832</v>
      </c>
    </row>
    <row r="56" spans="1:8" ht="15" customHeight="1" x14ac:dyDescent="0.25">
      <c r="A56">
        <v>900828603</v>
      </c>
      <c r="B56" t="s">
        <v>2393</v>
      </c>
      <c r="D56">
        <v>6013002107</v>
      </c>
      <c r="E56" t="s">
        <v>2394</v>
      </c>
      <c r="F56" t="s">
        <v>418</v>
      </c>
      <c r="G56">
        <v>334</v>
      </c>
      <c r="H56">
        <v>73588836</v>
      </c>
    </row>
    <row r="57" spans="1:8" ht="15" customHeight="1" x14ac:dyDescent="0.25">
      <c r="A57">
        <v>901382723</v>
      </c>
      <c r="B57" t="s">
        <v>2395</v>
      </c>
      <c r="C57" t="s">
        <v>2396</v>
      </c>
      <c r="D57">
        <v>3115090775</v>
      </c>
      <c r="E57" t="s">
        <v>2397</v>
      </c>
      <c r="F57" t="s">
        <v>534</v>
      </c>
      <c r="G57">
        <v>334</v>
      </c>
      <c r="H57">
        <v>13587360</v>
      </c>
    </row>
    <row r="58" spans="1:8" ht="15" customHeight="1" x14ac:dyDescent="0.25">
      <c r="A58">
        <v>901519330</v>
      </c>
      <c r="B58" t="s">
        <v>2398</v>
      </c>
      <c r="C58" t="s">
        <v>2399</v>
      </c>
      <c r="D58">
        <v>3104083068</v>
      </c>
      <c r="E58" t="s">
        <v>2400</v>
      </c>
      <c r="F58" t="s">
        <v>2204</v>
      </c>
      <c r="G58">
        <v>114</v>
      </c>
      <c r="H58">
        <v>3586166</v>
      </c>
    </row>
    <row r="59" spans="1:8" ht="15" customHeight="1" x14ac:dyDescent="0.25">
      <c r="A59">
        <v>901670360</v>
      </c>
      <c r="B59" t="s">
        <v>2401</v>
      </c>
      <c r="C59" t="s">
        <v>2402</v>
      </c>
      <c r="D59">
        <v>3132117229</v>
      </c>
      <c r="E59" t="s">
        <v>2403</v>
      </c>
      <c r="F59" t="s">
        <v>418</v>
      </c>
      <c r="G59">
        <v>211</v>
      </c>
      <c r="H59">
        <v>2117647</v>
      </c>
    </row>
    <row r="60" spans="1:8" ht="15" customHeight="1" x14ac:dyDescent="0.25">
      <c r="A60">
        <v>9531080</v>
      </c>
      <c r="B60" t="s">
        <v>2404</v>
      </c>
      <c r="C60" t="s">
        <v>2405</v>
      </c>
      <c r="D60">
        <v>3108657086</v>
      </c>
      <c r="E60" t="s">
        <v>2406</v>
      </c>
      <c r="F60" t="s">
        <v>418</v>
      </c>
      <c r="G60">
        <v>219</v>
      </c>
      <c r="H60">
        <v>9000000</v>
      </c>
    </row>
    <row r="61" spans="1:8" ht="15" customHeight="1" x14ac:dyDescent="0.25">
      <c r="A61">
        <v>1024552089</v>
      </c>
      <c r="B61" t="s">
        <v>2407</v>
      </c>
      <c r="C61" t="s">
        <v>2408</v>
      </c>
      <c r="D61">
        <v>3105630051</v>
      </c>
      <c r="E61" t="s">
        <v>2409</v>
      </c>
      <c r="F61" t="s">
        <v>729</v>
      </c>
      <c r="G61">
        <v>219</v>
      </c>
      <c r="H61">
        <v>225000</v>
      </c>
    </row>
    <row r="62" spans="1:8" ht="15" customHeight="1" x14ac:dyDescent="0.25">
      <c r="A62">
        <v>1049615545</v>
      </c>
      <c r="B62" t="s">
        <v>2410</v>
      </c>
      <c r="D62">
        <v>3112871254</v>
      </c>
      <c r="E62" t="s">
        <v>2411</v>
      </c>
      <c r="F62" t="s">
        <v>534</v>
      </c>
      <c r="G62">
        <v>212</v>
      </c>
      <c r="H62">
        <v>200000</v>
      </c>
    </row>
    <row r="63" spans="1:8" ht="15" customHeight="1" x14ac:dyDescent="0.25">
      <c r="A63">
        <v>1052388544</v>
      </c>
      <c r="B63" t="s">
        <v>2412</v>
      </c>
      <c r="C63" t="s">
        <v>2413</v>
      </c>
      <c r="D63">
        <v>3219064111</v>
      </c>
      <c r="E63" t="s">
        <v>2414</v>
      </c>
      <c r="F63" t="s">
        <v>729</v>
      </c>
      <c r="G63">
        <v>219</v>
      </c>
      <c r="H63">
        <v>2123000</v>
      </c>
    </row>
    <row r="64" spans="1:8" ht="15" customHeight="1" x14ac:dyDescent="0.25">
      <c r="A64">
        <v>1052408409</v>
      </c>
      <c r="B64" t="s">
        <v>2415</v>
      </c>
      <c r="C64" t="s">
        <v>2416</v>
      </c>
      <c r="D64">
        <v>3007979096</v>
      </c>
      <c r="E64" t="s">
        <v>2417</v>
      </c>
      <c r="F64" t="s">
        <v>729</v>
      </c>
      <c r="G64">
        <v>219</v>
      </c>
      <c r="H64">
        <v>206000</v>
      </c>
    </row>
    <row r="65" spans="1:9" ht="15" customHeight="1" x14ac:dyDescent="0.25">
      <c r="A65">
        <v>1053609221</v>
      </c>
      <c r="B65" t="s">
        <v>2418</v>
      </c>
      <c r="C65" t="s">
        <v>2419</v>
      </c>
      <c r="D65">
        <v>3203817103</v>
      </c>
      <c r="E65" t="s">
        <v>2420</v>
      </c>
      <c r="F65" t="s">
        <v>733</v>
      </c>
      <c r="G65">
        <v>313</v>
      </c>
      <c r="H65">
        <v>110000</v>
      </c>
    </row>
    <row r="66" spans="1:9" ht="15" customHeight="1" x14ac:dyDescent="0.25">
      <c r="A66">
        <v>1053610031</v>
      </c>
      <c r="B66" t="s">
        <v>2421</v>
      </c>
      <c r="D66">
        <v>6087850891</v>
      </c>
      <c r="E66" t="s">
        <v>2422</v>
      </c>
      <c r="F66" t="s">
        <v>733</v>
      </c>
      <c r="G66">
        <v>204</v>
      </c>
      <c r="H66">
        <v>183100</v>
      </c>
    </row>
    <row r="67" spans="1:9" ht="15" customHeight="1" x14ac:dyDescent="0.25">
      <c r="A67">
        <v>1072648478</v>
      </c>
      <c r="B67" t="s">
        <v>2423</v>
      </c>
      <c r="C67" t="s">
        <v>2424</v>
      </c>
      <c r="D67">
        <v>3136004857</v>
      </c>
      <c r="E67" t="s">
        <v>2425</v>
      </c>
      <c r="F67" t="s">
        <v>733</v>
      </c>
      <c r="G67">
        <v>114</v>
      </c>
      <c r="H67">
        <v>58810550</v>
      </c>
    </row>
    <row r="68" spans="1:9" ht="15" customHeight="1" x14ac:dyDescent="0.25">
      <c r="A68">
        <v>11344990</v>
      </c>
      <c r="B68" t="s">
        <v>2426</v>
      </c>
      <c r="C68" t="s">
        <v>2427</v>
      </c>
      <c r="D68">
        <v>3232885391</v>
      </c>
      <c r="E68" t="s">
        <v>2428</v>
      </c>
      <c r="F68" t="s">
        <v>729</v>
      </c>
      <c r="G68">
        <v>334</v>
      </c>
      <c r="H68">
        <v>412605</v>
      </c>
    </row>
    <row r="69" spans="1:9" ht="15" customHeight="1" x14ac:dyDescent="0.25">
      <c r="A69">
        <v>19190617</v>
      </c>
      <c r="B69" t="s">
        <v>2429</v>
      </c>
      <c r="C69" t="s">
        <v>2430</v>
      </c>
      <c r="D69">
        <v>3112196891</v>
      </c>
      <c r="E69" t="s">
        <v>2431</v>
      </c>
      <c r="F69" t="s">
        <v>729</v>
      </c>
      <c r="G69">
        <v>114</v>
      </c>
      <c r="H69">
        <v>7440400</v>
      </c>
    </row>
    <row r="70" spans="1:9" ht="15" customHeight="1" x14ac:dyDescent="0.25">
      <c r="A70">
        <v>23265817</v>
      </c>
      <c r="B70" t="s">
        <v>2432</v>
      </c>
      <c r="C70" t="s">
        <v>2433</v>
      </c>
      <c r="E70" t="s">
        <v>2266</v>
      </c>
      <c r="F70" t="s">
        <v>729</v>
      </c>
      <c r="G70">
        <v>114</v>
      </c>
      <c r="H70">
        <v>57612960</v>
      </c>
    </row>
    <row r="71" spans="1:9" ht="15" customHeight="1" x14ac:dyDescent="0.25">
      <c r="A71">
        <v>23489326</v>
      </c>
      <c r="B71" t="s">
        <v>2434</v>
      </c>
      <c r="C71" t="s">
        <v>2435</v>
      </c>
      <c r="D71">
        <v>3215745325</v>
      </c>
      <c r="E71" t="s">
        <v>2436</v>
      </c>
      <c r="F71" t="s">
        <v>733</v>
      </c>
      <c r="G71">
        <v>219</v>
      </c>
      <c r="H71">
        <v>420000</v>
      </c>
      <c r="I71">
        <v>4200</v>
      </c>
    </row>
    <row r="72" spans="1:9" ht="15" customHeight="1" x14ac:dyDescent="0.25">
      <c r="A72">
        <v>23543807</v>
      </c>
      <c r="B72" t="s">
        <v>2437</v>
      </c>
      <c r="C72" t="s">
        <v>2438</v>
      </c>
      <c r="D72">
        <v>3123974514</v>
      </c>
      <c r="E72" t="s">
        <v>2266</v>
      </c>
      <c r="F72" t="s">
        <v>729</v>
      </c>
      <c r="G72">
        <v>114</v>
      </c>
      <c r="H72">
        <v>12778425</v>
      </c>
    </row>
    <row r="73" spans="1:9" ht="15" customHeight="1" x14ac:dyDescent="0.25">
      <c r="A73">
        <v>23547721</v>
      </c>
      <c r="B73" t="s">
        <v>2439</v>
      </c>
      <c r="C73" t="s">
        <v>2440</v>
      </c>
      <c r="D73">
        <v>3123059381</v>
      </c>
      <c r="E73" t="s">
        <v>2266</v>
      </c>
      <c r="F73" t="s">
        <v>729</v>
      </c>
      <c r="G73">
        <v>114</v>
      </c>
      <c r="H73">
        <v>10371876</v>
      </c>
    </row>
    <row r="74" spans="1:9" ht="15" customHeight="1" x14ac:dyDescent="0.25">
      <c r="A74">
        <v>23549039</v>
      </c>
      <c r="B74" t="s">
        <v>2441</v>
      </c>
      <c r="C74" t="s">
        <v>2442</v>
      </c>
      <c r="D74">
        <v>3208018663</v>
      </c>
      <c r="E74" t="s">
        <v>2443</v>
      </c>
      <c r="F74" t="s">
        <v>729</v>
      </c>
      <c r="G74">
        <v>114</v>
      </c>
      <c r="H74">
        <v>1879832</v>
      </c>
    </row>
    <row r="75" spans="1:9" ht="15" customHeight="1" x14ac:dyDescent="0.25">
      <c r="A75">
        <v>23549542</v>
      </c>
      <c r="B75" t="s">
        <v>2444</v>
      </c>
      <c r="C75" t="s">
        <v>2445</v>
      </c>
      <c r="E75" t="s">
        <v>2446</v>
      </c>
      <c r="F75" t="s">
        <v>729</v>
      </c>
      <c r="G75">
        <v>114</v>
      </c>
      <c r="H75">
        <v>11561097</v>
      </c>
    </row>
    <row r="76" spans="1:9" ht="15" customHeight="1" x14ac:dyDescent="0.25">
      <c r="A76">
        <v>23553237</v>
      </c>
      <c r="B76" t="s">
        <v>2447</v>
      </c>
      <c r="C76" t="s">
        <v>2448</v>
      </c>
      <c r="D76">
        <v>3144640827</v>
      </c>
      <c r="E76" t="s">
        <v>2266</v>
      </c>
      <c r="F76" t="s">
        <v>729</v>
      </c>
      <c r="G76">
        <v>114</v>
      </c>
      <c r="H76">
        <v>19996355</v>
      </c>
    </row>
    <row r="77" spans="1:9" ht="15" customHeight="1" x14ac:dyDescent="0.25">
      <c r="A77">
        <v>23553519</v>
      </c>
      <c r="B77" t="s">
        <v>2449</v>
      </c>
      <c r="C77" t="s">
        <v>2450</v>
      </c>
      <c r="D77">
        <v>3204954624</v>
      </c>
      <c r="E77" t="s">
        <v>2451</v>
      </c>
      <c r="F77" t="s">
        <v>729</v>
      </c>
      <c r="G77">
        <v>204</v>
      </c>
      <c r="H77">
        <v>67220</v>
      </c>
    </row>
    <row r="78" spans="1:9" ht="15" customHeight="1" x14ac:dyDescent="0.25">
      <c r="A78">
        <v>23553736</v>
      </c>
      <c r="B78" t="s">
        <v>2452</v>
      </c>
      <c r="C78" t="s">
        <v>2453</v>
      </c>
      <c r="D78">
        <v>3112540448</v>
      </c>
      <c r="E78" t="s">
        <v>2454</v>
      </c>
      <c r="F78" t="s">
        <v>729</v>
      </c>
      <c r="G78">
        <v>219</v>
      </c>
      <c r="H78">
        <v>2750000</v>
      </c>
    </row>
    <row r="79" spans="1:9" ht="15" customHeight="1" x14ac:dyDescent="0.25">
      <c r="A79">
        <v>23554705</v>
      </c>
      <c r="B79" t="s">
        <v>2455</v>
      </c>
      <c r="C79" t="s">
        <v>2456</v>
      </c>
      <c r="D79">
        <v>3204982984</v>
      </c>
      <c r="E79" t="s">
        <v>2457</v>
      </c>
      <c r="F79" t="s">
        <v>729</v>
      </c>
      <c r="G79">
        <v>219</v>
      </c>
      <c r="H79">
        <v>67227</v>
      </c>
    </row>
    <row r="80" spans="1:9" ht="15" customHeight="1" x14ac:dyDescent="0.25">
      <c r="A80">
        <v>23556420</v>
      </c>
      <c r="B80" t="s">
        <v>2458</v>
      </c>
      <c r="C80" t="s">
        <v>2459</v>
      </c>
      <c r="D80">
        <v>3112100113</v>
      </c>
      <c r="E80" t="s">
        <v>2266</v>
      </c>
      <c r="F80" t="s">
        <v>729</v>
      </c>
      <c r="G80">
        <v>114</v>
      </c>
      <c r="H80">
        <v>23853073</v>
      </c>
    </row>
    <row r="81" spans="1:9" ht="15" customHeight="1" x14ac:dyDescent="0.25">
      <c r="A81">
        <v>23764932</v>
      </c>
      <c r="B81" t="s">
        <v>2460</v>
      </c>
      <c r="C81" t="s">
        <v>2459</v>
      </c>
      <c r="E81" t="s">
        <v>2266</v>
      </c>
      <c r="F81" t="s">
        <v>729</v>
      </c>
      <c r="G81">
        <v>114</v>
      </c>
      <c r="H81">
        <v>10331376</v>
      </c>
    </row>
    <row r="82" spans="1:9" ht="15" customHeight="1" x14ac:dyDescent="0.25">
      <c r="A82">
        <v>23853741</v>
      </c>
      <c r="B82" t="s">
        <v>2461</v>
      </c>
      <c r="C82" t="s">
        <v>2462</v>
      </c>
      <c r="D82">
        <v>3209426633</v>
      </c>
      <c r="E82" t="s">
        <v>2463</v>
      </c>
      <c r="F82" t="s">
        <v>733</v>
      </c>
      <c r="G82">
        <v>219</v>
      </c>
      <c r="H82">
        <v>638151</v>
      </c>
    </row>
    <row r="83" spans="1:9" ht="15" customHeight="1" x14ac:dyDescent="0.25">
      <c r="A83">
        <v>23857672</v>
      </c>
      <c r="B83" t="s">
        <v>2464</v>
      </c>
      <c r="C83" t="s">
        <v>2465</v>
      </c>
      <c r="D83">
        <v>3224853901</v>
      </c>
      <c r="E83" t="s">
        <v>2466</v>
      </c>
      <c r="F83" t="s">
        <v>733</v>
      </c>
      <c r="G83">
        <v>204</v>
      </c>
      <c r="H83">
        <v>36000</v>
      </c>
    </row>
    <row r="84" spans="1:9" ht="15" customHeight="1" x14ac:dyDescent="0.25">
      <c r="A84">
        <v>36757424</v>
      </c>
      <c r="B84" t="s">
        <v>2467</v>
      </c>
      <c r="D84">
        <v>3178869385</v>
      </c>
      <c r="E84" t="s">
        <v>2468</v>
      </c>
      <c r="F84" t="s">
        <v>713</v>
      </c>
      <c r="G84">
        <v>219</v>
      </c>
      <c r="H84">
        <v>313643</v>
      </c>
    </row>
    <row r="85" spans="1:9" ht="15" customHeight="1" x14ac:dyDescent="0.25">
      <c r="A85">
        <v>40028401</v>
      </c>
      <c r="B85" t="s">
        <v>2469</v>
      </c>
      <c r="C85" t="s">
        <v>2470</v>
      </c>
      <c r="D85">
        <v>6087613287</v>
      </c>
      <c r="E85" t="s">
        <v>2471</v>
      </c>
      <c r="F85" t="s">
        <v>729</v>
      </c>
      <c r="G85">
        <v>204</v>
      </c>
      <c r="H85">
        <v>728613</v>
      </c>
    </row>
    <row r="86" spans="1:9" ht="15" customHeight="1" x14ac:dyDescent="0.25">
      <c r="A86">
        <v>4053407</v>
      </c>
      <c r="B86" t="s">
        <v>2472</v>
      </c>
      <c r="C86" t="s">
        <v>2473</v>
      </c>
      <c r="D86">
        <v>6087612216</v>
      </c>
      <c r="E86" t="s">
        <v>2474</v>
      </c>
      <c r="F86" t="s">
        <v>729</v>
      </c>
      <c r="G86">
        <v>207</v>
      </c>
      <c r="H86">
        <v>5649748</v>
      </c>
    </row>
    <row r="87" spans="1:9" ht="15" customHeight="1" x14ac:dyDescent="0.25">
      <c r="A87">
        <v>4191297</v>
      </c>
      <c r="B87" t="s">
        <v>2475</v>
      </c>
      <c r="D87">
        <v>3124752259</v>
      </c>
      <c r="E87" t="s">
        <v>2476</v>
      </c>
      <c r="F87" t="s">
        <v>733</v>
      </c>
      <c r="G87">
        <v>204</v>
      </c>
      <c r="H87">
        <v>473950</v>
      </c>
      <c r="I87">
        <v>3792</v>
      </c>
    </row>
    <row r="88" spans="1:9" ht="15" customHeight="1" x14ac:dyDescent="0.25">
      <c r="A88">
        <v>4286582</v>
      </c>
      <c r="B88" t="s">
        <v>2477</v>
      </c>
      <c r="C88" t="s">
        <v>2478</v>
      </c>
      <c r="D88">
        <v>6087280770</v>
      </c>
      <c r="E88" t="s">
        <v>2479</v>
      </c>
      <c r="F88" t="s">
        <v>418</v>
      </c>
      <c r="G88">
        <v>304</v>
      </c>
      <c r="H88">
        <v>840000</v>
      </c>
    </row>
    <row r="89" spans="1:9" ht="15" customHeight="1" x14ac:dyDescent="0.25">
      <c r="A89">
        <v>46450258</v>
      </c>
      <c r="B89" t="s">
        <v>2480</v>
      </c>
      <c r="C89" t="s">
        <v>2481</v>
      </c>
      <c r="E89" t="s">
        <v>2266</v>
      </c>
      <c r="F89" t="s">
        <v>729</v>
      </c>
      <c r="G89">
        <v>114</v>
      </c>
      <c r="H89">
        <v>6736921</v>
      </c>
    </row>
    <row r="90" spans="1:9" ht="15" customHeight="1" x14ac:dyDescent="0.25">
      <c r="A90">
        <v>46450687</v>
      </c>
      <c r="B90" t="s">
        <v>2482</v>
      </c>
      <c r="C90" t="s">
        <v>2483</v>
      </c>
      <c r="D90">
        <v>3162723320</v>
      </c>
      <c r="E90" t="s">
        <v>2484</v>
      </c>
      <c r="F90" t="s">
        <v>733</v>
      </c>
      <c r="G90">
        <v>211</v>
      </c>
      <c r="H90">
        <v>2329414</v>
      </c>
      <c r="I90">
        <v>18172</v>
      </c>
    </row>
    <row r="91" spans="1:9" ht="15" customHeight="1" x14ac:dyDescent="0.25">
      <c r="A91">
        <v>46451590</v>
      </c>
      <c r="B91" t="s">
        <v>2485</v>
      </c>
      <c r="C91" t="s">
        <v>2486</v>
      </c>
      <c r="D91">
        <v>3202345667</v>
      </c>
      <c r="E91" t="s">
        <v>2487</v>
      </c>
      <c r="F91" t="s">
        <v>729</v>
      </c>
      <c r="G91">
        <v>218</v>
      </c>
      <c r="H91">
        <v>284000</v>
      </c>
    </row>
    <row r="92" spans="1:9" ht="15" customHeight="1" x14ac:dyDescent="0.25">
      <c r="A92">
        <v>46668365</v>
      </c>
      <c r="B92" t="s">
        <v>2488</v>
      </c>
      <c r="C92" t="s">
        <v>2489</v>
      </c>
      <c r="D92">
        <v>3123294238</v>
      </c>
      <c r="E92" t="s">
        <v>2490</v>
      </c>
      <c r="F92" t="s">
        <v>729</v>
      </c>
      <c r="G92">
        <v>114</v>
      </c>
      <c r="H92">
        <v>75630</v>
      </c>
    </row>
    <row r="93" spans="1:9" ht="15" customHeight="1" x14ac:dyDescent="0.25">
      <c r="A93">
        <v>46674706</v>
      </c>
      <c r="B93" t="s">
        <v>2491</v>
      </c>
      <c r="C93" t="s">
        <v>2492</v>
      </c>
      <c r="D93">
        <v>3102587063</v>
      </c>
      <c r="E93" t="s">
        <v>2493</v>
      </c>
      <c r="F93" t="s">
        <v>729</v>
      </c>
      <c r="G93">
        <v>204</v>
      </c>
      <c r="H93">
        <v>29412</v>
      </c>
    </row>
    <row r="94" spans="1:9" ht="15" customHeight="1" x14ac:dyDescent="0.25">
      <c r="A94">
        <v>46680612</v>
      </c>
      <c r="B94" t="s">
        <v>2494</v>
      </c>
      <c r="C94" t="s">
        <v>2495</v>
      </c>
      <c r="D94">
        <v>3143239509</v>
      </c>
      <c r="E94" t="s">
        <v>2496</v>
      </c>
      <c r="F94" t="s">
        <v>733</v>
      </c>
      <c r="G94">
        <v>211</v>
      </c>
      <c r="H94">
        <v>6723</v>
      </c>
    </row>
    <row r="95" spans="1:9" ht="15" customHeight="1" x14ac:dyDescent="0.25">
      <c r="A95">
        <v>46682117</v>
      </c>
      <c r="B95" t="s">
        <v>2497</v>
      </c>
      <c r="C95" t="s">
        <v>2498</v>
      </c>
      <c r="D95">
        <v>3213231817</v>
      </c>
      <c r="E95" t="s">
        <v>2499</v>
      </c>
      <c r="F95" t="s">
        <v>733</v>
      </c>
      <c r="G95">
        <v>201</v>
      </c>
      <c r="H95">
        <v>74983500</v>
      </c>
      <c r="I95">
        <v>131328</v>
      </c>
    </row>
    <row r="96" spans="1:9" ht="15" customHeight="1" x14ac:dyDescent="0.25">
      <c r="A96">
        <v>52115846</v>
      </c>
      <c r="B96" t="s">
        <v>2500</v>
      </c>
      <c r="C96" t="s">
        <v>2501</v>
      </c>
      <c r="E96" t="s">
        <v>2266</v>
      </c>
      <c r="F96" t="s">
        <v>729</v>
      </c>
      <c r="G96">
        <v>114</v>
      </c>
      <c r="H96">
        <v>31023347</v>
      </c>
    </row>
    <row r="97" spans="1:10" ht="15" customHeight="1" x14ac:dyDescent="0.25">
      <c r="A97">
        <v>60328811</v>
      </c>
      <c r="B97" t="s">
        <v>2502</v>
      </c>
      <c r="D97">
        <v>3114481817</v>
      </c>
      <c r="E97" t="s">
        <v>2503</v>
      </c>
      <c r="F97" t="s">
        <v>729</v>
      </c>
      <c r="G97">
        <v>211</v>
      </c>
      <c r="H97">
        <v>180000</v>
      </c>
    </row>
    <row r="98" spans="1:10" ht="15" customHeight="1" x14ac:dyDescent="0.25">
      <c r="A98">
        <v>6764120</v>
      </c>
      <c r="B98" t="s">
        <v>2504</v>
      </c>
      <c r="E98" t="s">
        <v>2266</v>
      </c>
      <c r="F98" t="s">
        <v>729</v>
      </c>
      <c r="G98">
        <v>114</v>
      </c>
      <c r="H98">
        <f>25637812+1904788</f>
        <v>27542600</v>
      </c>
      <c r="J98">
        <v>1904788</v>
      </c>
    </row>
    <row r="99" spans="1:10" ht="15" customHeight="1" x14ac:dyDescent="0.25">
      <c r="A99">
        <v>6766703</v>
      </c>
      <c r="B99" t="s">
        <v>2505</v>
      </c>
      <c r="C99" t="s">
        <v>2506</v>
      </c>
      <c r="E99" t="s">
        <v>2507</v>
      </c>
      <c r="F99" t="s">
        <v>530</v>
      </c>
      <c r="G99">
        <v>212</v>
      </c>
      <c r="H99">
        <v>260024</v>
      </c>
    </row>
    <row r="100" spans="1:10" ht="15" customHeight="1" x14ac:dyDescent="0.25">
      <c r="A100">
        <v>6768821</v>
      </c>
      <c r="B100" t="s">
        <v>2508</v>
      </c>
      <c r="C100" t="s">
        <v>2509</v>
      </c>
      <c r="D100">
        <v>3112529946</v>
      </c>
      <c r="E100" t="s">
        <v>2266</v>
      </c>
      <c r="F100" t="s">
        <v>729</v>
      </c>
      <c r="G100">
        <v>114</v>
      </c>
      <c r="H100">
        <v>17058660</v>
      </c>
    </row>
    <row r="101" spans="1:10" ht="15" customHeight="1" x14ac:dyDescent="0.25">
      <c r="A101">
        <v>7213266</v>
      </c>
      <c r="B101" t="s">
        <v>2510</v>
      </c>
      <c r="C101" t="s">
        <v>2511</v>
      </c>
      <c r="D101">
        <v>3112267302</v>
      </c>
      <c r="E101" t="s">
        <v>2512</v>
      </c>
      <c r="F101" t="s">
        <v>729</v>
      </c>
      <c r="G101">
        <v>211</v>
      </c>
      <c r="H101">
        <v>218488</v>
      </c>
    </row>
    <row r="102" spans="1:10" ht="15" customHeight="1" x14ac:dyDescent="0.25">
      <c r="A102">
        <v>7217474</v>
      </c>
      <c r="B102" t="s">
        <v>2513</v>
      </c>
      <c r="C102" t="s">
        <v>2514</v>
      </c>
      <c r="E102" t="s">
        <v>2266</v>
      </c>
      <c r="F102" t="s">
        <v>729</v>
      </c>
      <c r="G102">
        <v>114</v>
      </c>
      <c r="H102">
        <v>13433840</v>
      </c>
    </row>
    <row r="103" spans="1:10" ht="15" customHeight="1" x14ac:dyDescent="0.25">
      <c r="A103">
        <v>7226118</v>
      </c>
      <c r="B103" t="s">
        <v>2515</v>
      </c>
      <c r="C103" t="s">
        <v>2516</v>
      </c>
      <c r="D103">
        <v>3214464026</v>
      </c>
      <c r="E103" t="s">
        <v>2517</v>
      </c>
      <c r="F103" t="s">
        <v>729</v>
      </c>
      <c r="G103">
        <v>218</v>
      </c>
      <c r="H103">
        <v>890756</v>
      </c>
    </row>
    <row r="104" spans="1:10" ht="15" customHeight="1" x14ac:dyDescent="0.25">
      <c r="A104">
        <v>74359914</v>
      </c>
      <c r="B104" t="s">
        <v>2518</v>
      </c>
      <c r="C104" t="s">
        <v>2519</v>
      </c>
      <c r="D104">
        <v>3112575226</v>
      </c>
      <c r="E104" t="s">
        <v>2520</v>
      </c>
      <c r="F104" t="s">
        <v>733</v>
      </c>
      <c r="G104">
        <v>114</v>
      </c>
      <c r="H104">
        <v>341224800</v>
      </c>
    </row>
    <row r="105" spans="1:10" ht="15" customHeight="1" x14ac:dyDescent="0.25">
      <c r="A105">
        <v>74360583</v>
      </c>
      <c r="B105" t="s">
        <v>2521</v>
      </c>
      <c r="C105" t="s">
        <v>2522</v>
      </c>
      <c r="D105">
        <v>3165221345</v>
      </c>
      <c r="E105" t="s">
        <v>2523</v>
      </c>
      <c r="F105" t="s">
        <v>733</v>
      </c>
      <c r="G105">
        <v>114</v>
      </c>
      <c r="H105">
        <v>27168339</v>
      </c>
    </row>
    <row r="106" spans="1:10" ht="15" customHeight="1" x14ac:dyDescent="0.25">
      <c r="A106">
        <v>74373316</v>
      </c>
      <c r="B106" t="s">
        <v>2524</v>
      </c>
      <c r="C106" t="s">
        <v>2525</v>
      </c>
      <c r="D106">
        <v>3112789647</v>
      </c>
      <c r="E106" t="s">
        <v>2526</v>
      </c>
      <c r="F106" t="s">
        <v>729</v>
      </c>
      <c r="G106">
        <v>219</v>
      </c>
      <c r="H106">
        <v>80000</v>
      </c>
    </row>
    <row r="107" spans="1:10" ht="15" customHeight="1" x14ac:dyDescent="0.25">
      <c r="A107">
        <v>74376506</v>
      </c>
      <c r="B107" t="s">
        <v>2527</v>
      </c>
      <c r="C107" t="s">
        <v>2528</v>
      </c>
      <c r="E107" t="s">
        <v>2266</v>
      </c>
      <c r="F107" t="s">
        <v>729</v>
      </c>
      <c r="G107">
        <v>114</v>
      </c>
      <c r="H107">
        <f>57932156+1368767</f>
        <v>59300923</v>
      </c>
      <c r="J107">
        <v>1368767</v>
      </c>
    </row>
    <row r="108" spans="1:10" ht="15" customHeight="1" x14ac:dyDescent="0.25">
      <c r="A108">
        <v>79188044</v>
      </c>
      <c r="B108" t="s">
        <v>2529</v>
      </c>
      <c r="C108" t="s">
        <v>2530</v>
      </c>
      <c r="D108">
        <v>3112265110</v>
      </c>
      <c r="E108" t="s">
        <v>2531</v>
      </c>
      <c r="F108" t="s">
        <v>733</v>
      </c>
      <c r="G108">
        <v>114</v>
      </c>
      <c r="H108">
        <v>92306500</v>
      </c>
    </row>
    <row r="109" spans="1:10" ht="15" customHeight="1" x14ac:dyDescent="0.25">
      <c r="A109">
        <v>79333390</v>
      </c>
      <c r="B109" t="s">
        <v>2532</v>
      </c>
      <c r="C109" t="s">
        <v>2533</v>
      </c>
      <c r="D109">
        <v>3003879813</v>
      </c>
      <c r="E109" t="s">
        <v>2534</v>
      </c>
      <c r="F109" t="s">
        <v>418</v>
      </c>
      <c r="G109">
        <v>218</v>
      </c>
      <c r="H109">
        <v>3256200</v>
      </c>
    </row>
    <row r="110" spans="1:10" ht="15" customHeight="1" x14ac:dyDescent="0.25">
      <c r="A110">
        <v>79349557</v>
      </c>
      <c r="B110" t="s">
        <v>2535</v>
      </c>
      <c r="C110" t="s">
        <v>2536</v>
      </c>
      <c r="D110">
        <v>6016302228</v>
      </c>
      <c r="E110" t="s">
        <v>2537</v>
      </c>
      <c r="F110" t="s">
        <v>418</v>
      </c>
      <c r="G110">
        <v>219</v>
      </c>
      <c r="H110">
        <v>70000</v>
      </c>
    </row>
    <row r="111" spans="1:10" ht="15" customHeight="1" x14ac:dyDescent="0.25">
      <c r="A111">
        <v>79661563</v>
      </c>
      <c r="B111" t="s">
        <v>2538</v>
      </c>
      <c r="C111" t="s">
        <v>2539</v>
      </c>
      <c r="D111">
        <v>3212590926</v>
      </c>
      <c r="E111" t="s">
        <v>2266</v>
      </c>
      <c r="F111" t="s">
        <v>729</v>
      </c>
      <c r="G111">
        <v>114</v>
      </c>
      <c r="H111">
        <v>7627100</v>
      </c>
    </row>
    <row r="112" spans="1:10" ht="15" customHeight="1" x14ac:dyDescent="0.25">
      <c r="A112">
        <v>800011002</v>
      </c>
      <c r="B112" t="s">
        <v>2540</v>
      </c>
      <c r="C112" t="s">
        <v>2541</v>
      </c>
      <c r="D112">
        <v>6047435853</v>
      </c>
      <c r="E112" t="s">
        <v>2542</v>
      </c>
      <c r="F112" t="s">
        <v>347</v>
      </c>
      <c r="G112">
        <v>218</v>
      </c>
      <c r="H112">
        <v>3757363</v>
      </c>
    </row>
    <row r="113" spans="1:9" ht="15" customHeight="1" x14ac:dyDescent="0.25">
      <c r="A113">
        <v>800021057</v>
      </c>
      <c r="B113" t="s">
        <v>2543</v>
      </c>
      <c r="C113" t="s">
        <v>2544</v>
      </c>
      <c r="D113">
        <v>6016707274</v>
      </c>
      <c r="E113" t="s">
        <v>2545</v>
      </c>
      <c r="F113" t="s">
        <v>418</v>
      </c>
      <c r="G113">
        <v>114</v>
      </c>
      <c r="H113">
        <v>3952544</v>
      </c>
    </row>
    <row r="114" spans="1:9" ht="15" customHeight="1" x14ac:dyDescent="0.25">
      <c r="A114">
        <v>800025690</v>
      </c>
      <c r="B114" t="s">
        <v>2546</v>
      </c>
      <c r="C114" t="s">
        <v>2547</v>
      </c>
      <c r="D114">
        <v>6087853578</v>
      </c>
      <c r="E114" t="s">
        <v>2548</v>
      </c>
      <c r="F114" t="s">
        <v>733</v>
      </c>
      <c r="G114">
        <v>212</v>
      </c>
      <c r="H114">
        <v>3967959</v>
      </c>
      <c r="I114">
        <v>19355</v>
      </c>
    </row>
    <row r="115" spans="1:9" ht="15" customHeight="1" x14ac:dyDescent="0.25">
      <c r="A115">
        <v>800027374</v>
      </c>
      <c r="B115" t="s">
        <v>2549</v>
      </c>
      <c r="C115" t="s">
        <v>2550</v>
      </c>
      <c r="D115">
        <v>3168766110</v>
      </c>
      <c r="E115" t="s">
        <v>2551</v>
      </c>
      <c r="F115" t="s">
        <v>347</v>
      </c>
      <c r="G115">
        <v>219</v>
      </c>
      <c r="H115">
        <v>18580098</v>
      </c>
    </row>
    <row r="116" spans="1:9" ht="15" customHeight="1" x14ac:dyDescent="0.25">
      <c r="A116">
        <v>800055803</v>
      </c>
      <c r="B116" t="s">
        <v>2552</v>
      </c>
      <c r="C116" t="s">
        <v>2553</v>
      </c>
      <c r="D116">
        <v>6013607188</v>
      </c>
      <c r="E116" t="s">
        <v>2554</v>
      </c>
      <c r="F116" t="s">
        <v>418</v>
      </c>
      <c r="G116">
        <v>211</v>
      </c>
      <c r="H116">
        <v>1140000</v>
      </c>
    </row>
    <row r="117" spans="1:9" ht="15" customHeight="1" x14ac:dyDescent="0.25">
      <c r="A117">
        <v>800141903</v>
      </c>
      <c r="B117" t="s">
        <v>2555</v>
      </c>
      <c r="C117" t="s">
        <v>2556</v>
      </c>
      <c r="D117">
        <v>3125221488</v>
      </c>
      <c r="E117" t="s">
        <v>2557</v>
      </c>
      <c r="F117" t="s">
        <v>733</v>
      </c>
      <c r="G117">
        <v>219</v>
      </c>
      <c r="H117">
        <v>490500</v>
      </c>
      <c r="I117">
        <v>2548</v>
      </c>
    </row>
    <row r="118" spans="1:9" ht="15" customHeight="1" x14ac:dyDescent="0.25">
      <c r="A118">
        <v>800162078</v>
      </c>
      <c r="B118" t="s">
        <v>2558</v>
      </c>
      <c r="C118" t="s">
        <v>2559</v>
      </c>
      <c r="D118">
        <v>6016600447</v>
      </c>
      <c r="E118" t="s">
        <v>2560</v>
      </c>
      <c r="F118" t="s">
        <v>418</v>
      </c>
      <c r="G118">
        <v>212</v>
      </c>
      <c r="H118">
        <v>161037</v>
      </c>
    </row>
    <row r="119" spans="1:9" ht="15" customHeight="1" x14ac:dyDescent="0.25">
      <c r="A119">
        <v>800237608</v>
      </c>
      <c r="B119" t="s">
        <v>2561</v>
      </c>
      <c r="C119" t="s">
        <v>2562</v>
      </c>
      <c r="D119">
        <v>3153107288</v>
      </c>
      <c r="E119" t="s">
        <v>2563</v>
      </c>
      <c r="F119" t="s">
        <v>1274</v>
      </c>
      <c r="G119">
        <v>219</v>
      </c>
      <c r="H119">
        <v>5778849</v>
      </c>
    </row>
    <row r="120" spans="1:9" ht="15" customHeight="1" x14ac:dyDescent="0.25">
      <c r="A120">
        <v>800242586</v>
      </c>
      <c r="B120" t="s">
        <v>2564</v>
      </c>
      <c r="C120" t="s">
        <v>2565</v>
      </c>
      <c r="D120">
        <v>3013955358</v>
      </c>
      <c r="E120" t="s">
        <v>2566</v>
      </c>
      <c r="F120" t="s">
        <v>418</v>
      </c>
      <c r="G120">
        <v>103</v>
      </c>
      <c r="H120">
        <v>540337</v>
      </c>
    </row>
    <row r="121" spans="1:9" ht="15" customHeight="1" x14ac:dyDescent="0.25">
      <c r="A121">
        <v>800256769</v>
      </c>
      <c r="B121" t="s">
        <v>2567</v>
      </c>
      <c r="C121" t="s">
        <v>2568</v>
      </c>
      <c r="D121">
        <v>6013538840</v>
      </c>
      <c r="E121" t="s">
        <v>2569</v>
      </c>
      <c r="F121" t="s">
        <v>418</v>
      </c>
      <c r="G121">
        <v>334</v>
      </c>
      <c r="H121">
        <v>123200</v>
      </c>
    </row>
    <row r="122" spans="1:9" ht="15" customHeight="1" x14ac:dyDescent="0.25">
      <c r="A122">
        <v>80795091</v>
      </c>
      <c r="B122" t="s">
        <v>2570</v>
      </c>
      <c r="C122" t="s">
        <v>2571</v>
      </c>
      <c r="D122">
        <v>3202844606</v>
      </c>
      <c r="E122" t="s">
        <v>2572</v>
      </c>
      <c r="F122" t="s">
        <v>418</v>
      </c>
      <c r="G122">
        <v>304</v>
      </c>
      <c r="H122">
        <v>328000</v>
      </c>
    </row>
    <row r="123" spans="1:9" ht="15" customHeight="1" x14ac:dyDescent="0.25">
      <c r="A123">
        <v>80828138</v>
      </c>
      <c r="B123" t="s">
        <v>2573</v>
      </c>
      <c r="C123" t="s">
        <v>2574</v>
      </c>
      <c r="E123" t="s">
        <v>2575</v>
      </c>
      <c r="F123" t="s">
        <v>418</v>
      </c>
      <c r="G123">
        <v>219</v>
      </c>
      <c r="H123">
        <v>151260</v>
      </c>
    </row>
    <row r="124" spans="1:9" ht="15" customHeight="1" x14ac:dyDescent="0.25">
      <c r="A124">
        <v>811000340</v>
      </c>
      <c r="B124" t="s">
        <v>2576</v>
      </c>
      <c r="C124" t="s">
        <v>2577</v>
      </c>
      <c r="D124">
        <v>6045207670</v>
      </c>
      <c r="E124" t="s">
        <v>2578</v>
      </c>
      <c r="F124" t="s">
        <v>353</v>
      </c>
      <c r="G124">
        <v>114</v>
      </c>
      <c r="H124">
        <v>328185</v>
      </c>
    </row>
    <row r="125" spans="1:9" ht="15" customHeight="1" x14ac:dyDescent="0.25">
      <c r="A125">
        <v>826000080</v>
      </c>
      <c r="B125" t="s">
        <v>2579</v>
      </c>
      <c r="C125" t="s">
        <v>2580</v>
      </c>
      <c r="D125">
        <v>3202409341</v>
      </c>
      <c r="E125" t="s">
        <v>2581</v>
      </c>
      <c r="F125" t="s">
        <v>729</v>
      </c>
      <c r="G125">
        <v>334</v>
      </c>
      <c r="H125">
        <v>1585000</v>
      </c>
    </row>
    <row r="126" spans="1:9" ht="15" customHeight="1" x14ac:dyDescent="0.25">
      <c r="A126">
        <v>826000214</v>
      </c>
      <c r="B126" t="s">
        <v>2582</v>
      </c>
      <c r="C126" t="s">
        <v>2583</v>
      </c>
      <c r="D126">
        <v>3102478164</v>
      </c>
      <c r="E126" t="s">
        <v>2584</v>
      </c>
      <c r="F126" t="s">
        <v>733</v>
      </c>
      <c r="G126">
        <v>334</v>
      </c>
      <c r="H126">
        <v>32000</v>
      </c>
    </row>
    <row r="127" spans="1:9" ht="15" customHeight="1" x14ac:dyDescent="0.25">
      <c r="A127">
        <v>826000361</v>
      </c>
      <c r="B127" t="s">
        <v>2585</v>
      </c>
      <c r="C127" t="s">
        <v>2586</v>
      </c>
      <c r="D127">
        <v>3102502016</v>
      </c>
      <c r="E127" t="s">
        <v>2587</v>
      </c>
      <c r="F127" t="s">
        <v>729</v>
      </c>
      <c r="G127">
        <v>219</v>
      </c>
      <c r="H127">
        <v>7258091</v>
      </c>
    </row>
    <row r="128" spans="1:9" ht="15" customHeight="1" x14ac:dyDescent="0.25">
      <c r="A128">
        <v>826000697</v>
      </c>
      <c r="B128" t="s">
        <v>2588</v>
      </c>
      <c r="C128" t="s">
        <v>2589</v>
      </c>
      <c r="D128">
        <v>6087850266</v>
      </c>
      <c r="E128" t="s">
        <v>2590</v>
      </c>
      <c r="F128" t="s">
        <v>733</v>
      </c>
      <c r="G128">
        <v>212</v>
      </c>
      <c r="H128">
        <v>100004</v>
      </c>
    </row>
    <row r="129" spans="1:8" ht="15" customHeight="1" x14ac:dyDescent="0.25">
      <c r="A129">
        <v>826003430</v>
      </c>
      <c r="B129" t="s">
        <v>2591</v>
      </c>
      <c r="C129" t="s">
        <v>2592</v>
      </c>
      <c r="D129">
        <v>3124342597</v>
      </c>
      <c r="E129" t="s">
        <v>2593</v>
      </c>
      <c r="F129" t="s">
        <v>729</v>
      </c>
      <c r="G129">
        <v>211</v>
      </c>
      <c r="H129">
        <v>48000</v>
      </c>
    </row>
    <row r="130" spans="1:8" ht="15" customHeight="1" x14ac:dyDescent="0.25">
      <c r="A130">
        <v>830017822</v>
      </c>
      <c r="B130" t="s">
        <v>2594</v>
      </c>
      <c r="C130" t="s">
        <v>2595</v>
      </c>
      <c r="D130">
        <v>6017049070</v>
      </c>
      <c r="E130" t="s">
        <v>2596</v>
      </c>
      <c r="F130" t="s">
        <v>418</v>
      </c>
      <c r="G130">
        <v>212</v>
      </c>
      <c r="H130">
        <v>160019</v>
      </c>
    </row>
    <row r="131" spans="1:8" ht="15" customHeight="1" x14ac:dyDescent="0.25">
      <c r="A131">
        <v>830041702</v>
      </c>
      <c r="B131" t="s">
        <v>2597</v>
      </c>
      <c r="C131" t="s">
        <v>2598</v>
      </c>
      <c r="D131">
        <v>3158940379</v>
      </c>
      <c r="E131" t="s">
        <v>2599</v>
      </c>
      <c r="F131" t="s">
        <v>418</v>
      </c>
      <c r="G131">
        <v>219</v>
      </c>
      <c r="H131">
        <v>1183000</v>
      </c>
    </row>
    <row r="132" spans="1:8" ht="15" customHeight="1" x14ac:dyDescent="0.25">
      <c r="A132">
        <v>830051066</v>
      </c>
      <c r="B132" t="s">
        <v>2600</v>
      </c>
      <c r="C132" t="s">
        <v>2601</v>
      </c>
      <c r="D132">
        <v>6012604888</v>
      </c>
      <c r="E132" t="s">
        <v>2602</v>
      </c>
      <c r="F132" t="s">
        <v>418</v>
      </c>
      <c r="G132">
        <v>219</v>
      </c>
      <c r="H132">
        <v>207000</v>
      </c>
    </row>
    <row r="133" spans="1:8" ht="15" customHeight="1" x14ac:dyDescent="0.25">
      <c r="A133">
        <v>830054539</v>
      </c>
      <c r="B133" t="s">
        <v>2603</v>
      </c>
      <c r="D133">
        <v>3125194023</v>
      </c>
      <c r="E133" t="s">
        <v>2604</v>
      </c>
      <c r="F133" t="s">
        <v>351</v>
      </c>
      <c r="G133">
        <v>334</v>
      </c>
      <c r="H133">
        <v>104600</v>
      </c>
    </row>
    <row r="134" spans="1:8" ht="15" customHeight="1" x14ac:dyDescent="0.25">
      <c r="A134">
        <v>830095213</v>
      </c>
      <c r="B134" t="s">
        <v>2605</v>
      </c>
      <c r="C134" t="s">
        <v>2606</v>
      </c>
      <c r="D134">
        <v>6013602772</v>
      </c>
      <c r="E134" t="s">
        <v>2607</v>
      </c>
      <c r="F134" t="s">
        <v>418</v>
      </c>
      <c r="G134">
        <v>212</v>
      </c>
      <c r="H134">
        <v>610007</v>
      </c>
    </row>
    <row r="135" spans="1:8" ht="15" customHeight="1" x14ac:dyDescent="0.25">
      <c r="A135">
        <v>860000615</v>
      </c>
      <c r="B135" t="s">
        <v>2608</v>
      </c>
      <c r="C135" t="s">
        <v>2609</v>
      </c>
      <c r="D135">
        <v>3232540422</v>
      </c>
      <c r="E135" t="s">
        <v>2610</v>
      </c>
      <c r="F135" t="s">
        <v>418</v>
      </c>
      <c r="G135">
        <v>219</v>
      </c>
      <c r="H135">
        <v>64917</v>
      </c>
    </row>
    <row r="136" spans="1:8" ht="15" customHeight="1" x14ac:dyDescent="0.25">
      <c r="A136">
        <v>860002180</v>
      </c>
      <c r="B136" t="s">
        <v>2611</v>
      </c>
      <c r="C136" t="s">
        <v>2612</v>
      </c>
      <c r="D136">
        <v>6013410077</v>
      </c>
      <c r="E136" t="s">
        <v>2613</v>
      </c>
      <c r="F136" t="s">
        <v>418</v>
      </c>
      <c r="G136">
        <v>334</v>
      </c>
      <c r="H136">
        <v>2564100</v>
      </c>
    </row>
    <row r="137" spans="1:8" ht="15" customHeight="1" x14ac:dyDescent="0.25">
      <c r="A137">
        <v>860002400</v>
      </c>
      <c r="B137" t="s">
        <v>2614</v>
      </c>
      <c r="C137" t="s">
        <v>2615</v>
      </c>
      <c r="D137">
        <v>6013485757</v>
      </c>
      <c r="E137" t="s">
        <v>2616</v>
      </c>
      <c r="F137" t="s">
        <v>418</v>
      </c>
      <c r="G137">
        <v>334</v>
      </c>
      <c r="H137">
        <v>884700</v>
      </c>
    </row>
    <row r="138" spans="1:8" ht="15" customHeight="1" x14ac:dyDescent="0.25">
      <c r="A138">
        <v>860002464</v>
      </c>
      <c r="B138" t="s">
        <v>2617</v>
      </c>
      <c r="C138" t="s">
        <v>2618</v>
      </c>
      <c r="D138">
        <v>6013810000</v>
      </c>
      <c r="E138" t="s">
        <v>2619</v>
      </c>
      <c r="F138" t="s">
        <v>418</v>
      </c>
      <c r="G138">
        <v>334</v>
      </c>
      <c r="H138">
        <v>186000</v>
      </c>
    </row>
    <row r="139" spans="1:8" ht="15" customHeight="1" x14ac:dyDescent="0.25">
      <c r="A139">
        <v>860009578</v>
      </c>
      <c r="B139" t="s">
        <v>2620</v>
      </c>
      <c r="C139" t="s">
        <v>2621</v>
      </c>
      <c r="D139">
        <v>6013078288</v>
      </c>
      <c r="E139" t="s">
        <v>2622</v>
      </c>
      <c r="F139" t="s">
        <v>418</v>
      </c>
      <c r="G139">
        <v>334</v>
      </c>
      <c r="H139">
        <v>170282</v>
      </c>
    </row>
    <row r="140" spans="1:8" ht="15" customHeight="1" x14ac:dyDescent="0.25">
      <c r="A140">
        <v>860035992</v>
      </c>
      <c r="B140" t="s">
        <v>2623</v>
      </c>
      <c r="C140" t="s">
        <v>2624</v>
      </c>
      <c r="D140">
        <v>6016672727</v>
      </c>
      <c r="E140" t="s">
        <v>2625</v>
      </c>
      <c r="F140" t="s">
        <v>418</v>
      </c>
      <c r="G140">
        <v>334</v>
      </c>
      <c r="H140">
        <v>4700</v>
      </c>
    </row>
    <row r="141" spans="1:8" ht="15" customHeight="1" x14ac:dyDescent="0.25">
      <c r="A141">
        <v>860039988</v>
      </c>
      <c r="B141" t="s">
        <v>2626</v>
      </c>
      <c r="C141" t="s">
        <v>2627</v>
      </c>
      <c r="D141">
        <v>6013103300</v>
      </c>
      <c r="E141" t="s">
        <v>2628</v>
      </c>
      <c r="F141" t="s">
        <v>418</v>
      </c>
      <c r="G141">
        <v>334</v>
      </c>
      <c r="H141">
        <v>1116800</v>
      </c>
    </row>
    <row r="142" spans="1:8" ht="15" customHeight="1" x14ac:dyDescent="0.25">
      <c r="A142">
        <v>860062440</v>
      </c>
      <c r="B142" t="s">
        <v>2629</v>
      </c>
      <c r="D142">
        <v>6014101300</v>
      </c>
      <c r="E142" t="s">
        <v>2630</v>
      </c>
      <c r="F142" t="s">
        <v>418</v>
      </c>
      <c r="G142">
        <v>301</v>
      </c>
      <c r="H142">
        <v>27000</v>
      </c>
    </row>
    <row r="143" spans="1:8" ht="15" customHeight="1" x14ac:dyDescent="0.25">
      <c r="A143">
        <v>860503159</v>
      </c>
      <c r="B143" t="s">
        <v>2631</v>
      </c>
      <c r="C143" t="s">
        <v>2632</v>
      </c>
      <c r="D143">
        <v>6012905466</v>
      </c>
      <c r="E143" t="s">
        <v>2633</v>
      </c>
      <c r="F143" t="s">
        <v>418</v>
      </c>
      <c r="G143">
        <v>334</v>
      </c>
      <c r="H143">
        <v>2185689</v>
      </c>
    </row>
    <row r="144" spans="1:8" ht="15" customHeight="1" x14ac:dyDescent="0.25">
      <c r="A144">
        <v>860508369</v>
      </c>
      <c r="B144" t="s">
        <v>2634</v>
      </c>
      <c r="D144">
        <v>6016451594</v>
      </c>
      <c r="E144" t="s">
        <v>2635</v>
      </c>
      <c r="F144" t="s">
        <v>418</v>
      </c>
      <c r="G144">
        <v>219</v>
      </c>
      <c r="H144">
        <v>197644</v>
      </c>
    </row>
    <row r="145" spans="1:8" ht="15" customHeight="1" x14ac:dyDescent="0.25">
      <c r="A145">
        <v>860524126</v>
      </c>
      <c r="B145" t="s">
        <v>2636</v>
      </c>
      <c r="C145" t="s">
        <v>2637</v>
      </c>
      <c r="D145">
        <v>3133308959</v>
      </c>
      <c r="E145" t="s">
        <v>2638</v>
      </c>
      <c r="F145" t="s">
        <v>418</v>
      </c>
      <c r="G145">
        <v>219</v>
      </c>
      <c r="H145">
        <v>1626639</v>
      </c>
    </row>
    <row r="146" spans="1:8" ht="15" customHeight="1" x14ac:dyDescent="0.25">
      <c r="A146">
        <v>890208788</v>
      </c>
      <c r="B146" t="s">
        <v>2639</v>
      </c>
      <c r="C146" t="s">
        <v>2640</v>
      </c>
      <c r="D146">
        <v>6076330304</v>
      </c>
      <c r="E146" t="s">
        <v>2641</v>
      </c>
      <c r="F146" t="s">
        <v>1952</v>
      </c>
      <c r="G146">
        <v>203</v>
      </c>
      <c r="H146">
        <v>25400</v>
      </c>
    </row>
    <row r="147" spans="1:8" ht="15" customHeight="1" x14ac:dyDescent="0.25">
      <c r="A147">
        <v>890921157</v>
      </c>
      <c r="B147" t="s">
        <v>2642</v>
      </c>
      <c r="C147" t="s">
        <v>2643</v>
      </c>
      <c r="D147">
        <v>6044487970</v>
      </c>
      <c r="E147" t="s">
        <v>2644</v>
      </c>
      <c r="F147" t="s">
        <v>351</v>
      </c>
      <c r="G147">
        <v>219</v>
      </c>
      <c r="H147">
        <v>94622</v>
      </c>
    </row>
    <row r="148" spans="1:8" ht="15" customHeight="1" x14ac:dyDescent="0.25">
      <c r="A148">
        <v>891408584</v>
      </c>
      <c r="B148" t="s">
        <v>2645</v>
      </c>
      <c r="C148" t="s">
        <v>2646</v>
      </c>
      <c r="D148">
        <v>6063301300</v>
      </c>
      <c r="E148" t="s">
        <v>2647</v>
      </c>
      <c r="F148" t="s">
        <v>1825</v>
      </c>
      <c r="G148">
        <v>219</v>
      </c>
      <c r="H148">
        <v>29600</v>
      </c>
    </row>
    <row r="149" spans="1:8" ht="15" customHeight="1" x14ac:dyDescent="0.25">
      <c r="A149">
        <v>891800045</v>
      </c>
      <c r="B149" t="s">
        <v>2648</v>
      </c>
      <c r="C149" t="s">
        <v>2649</v>
      </c>
      <c r="D149">
        <v>6087701425</v>
      </c>
      <c r="E149" t="s">
        <v>2650</v>
      </c>
      <c r="F149" t="s">
        <v>713</v>
      </c>
      <c r="G149">
        <v>301</v>
      </c>
      <c r="H149">
        <v>61000</v>
      </c>
    </row>
    <row r="150" spans="1:8" ht="15" customHeight="1" x14ac:dyDescent="0.25">
      <c r="A150">
        <v>891855025</v>
      </c>
      <c r="B150" t="s">
        <v>2651</v>
      </c>
      <c r="C150" t="s">
        <v>2652</v>
      </c>
      <c r="D150">
        <v>6087602596</v>
      </c>
      <c r="E150" t="s">
        <v>2653</v>
      </c>
      <c r="F150" t="s">
        <v>729</v>
      </c>
      <c r="G150">
        <v>334</v>
      </c>
      <c r="H150">
        <v>2599500</v>
      </c>
    </row>
    <row r="151" spans="1:8" ht="15" customHeight="1" x14ac:dyDescent="0.25">
      <c r="A151">
        <v>891855991</v>
      </c>
      <c r="B151" t="s">
        <v>2654</v>
      </c>
      <c r="C151" t="s">
        <v>2655</v>
      </c>
      <c r="D151">
        <v>3133958812</v>
      </c>
      <c r="E151" t="s">
        <v>2656</v>
      </c>
      <c r="F151" t="s">
        <v>729</v>
      </c>
      <c r="G151">
        <v>212</v>
      </c>
      <c r="H151">
        <v>4050957</v>
      </c>
    </row>
    <row r="152" spans="1:8" ht="15" customHeight="1" x14ac:dyDescent="0.25">
      <c r="A152">
        <v>900007091</v>
      </c>
      <c r="B152" t="s">
        <v>2657</v>
      </c>
      <c r="D152">
        <v>3197928428</v>
      </c>
      <c r="E152" t="s">
        <v>2658</v>
      </c>
      <c r="F152" t="s">
        <v>536</v>
      </c>
      <c r="G152">
        <v>212</v>
      </c>
      <c r="H152">
        <v>5791259</v>
      </c>
    </row>
    <row r="153" spans="1:8" ht="15" customHeight="1" x14ac:dyDescent="0.25">
      <c r="A153">
        <v>900028095</v>
      </c>
      <c r="B153" t="s">
        <v>2659</v>
      </c>
      <c r="D153">
        <v>6017612486</v>
      </c>
      <c r="E153" t="s">
        <v>2660</v>
      </c>
      <c r="F153" t="s">
        <v>418</v>
      </c>
      <c r="G153">
        <v>212</v>
      </c>
      <c r="H153">
        <v>188005</v>
      </c>
    </row>
    <row r="154" spans="1:8" ht="15" customHeight="1" x14ac:dyDescent="0.25">
      <c r="A154">
        <v>900059238</v>
      </c>
      <c r="B154" t="s">
        <v>2661</v>
      </c>
      <c r="C154" t="s">
        <v>2662</v>
      </c>
      <c r="D154">
        <v>6017420010</v>
      </c>
      <c r="E154" t="s">
        <v>2663</v>
      </c>
      <c r="F154" t="s">
        <v>418</v>
      </c>
      <c r="G154">
        <v>219</v>
      </c>
      <c r="H154">
        <v>2749929</v>
      </c>
    </row>
    <row r="155" spans="1:8" ht="15" customHeight="1" x14ac:dyDescent="0.25">
      <c r="A155">
        <v>900072047</v>
      </c>
      <c r="B155" t="s">
        <v>2664</v>
      </c>
      <c r="C155" t="s">
        <v>2665</v>
      </c>
      <c r="D155">
        <v>3143454082</v>
      </c>
      <c r="E155" t="s">
        <v>2666</v>
      </c>
      <c r="F155" t="s">
        <v>418</v>
      </c>
      <c r="G155">
        <v>219</v>
      </c>
      <c r="H155">
        <v>2126050</v>
      </c>
    </row>
    <row r="156" spans="1:8" ht="15" customHeight="1" x14ac:dyDescent="0.25">
      <c r="A156">
        <v>900097575</v>
      </c>
      <c r="B156" t="s">
        <v>2667</v>
      </c>
      <c r="C156" t="s">
        <v>2668</v>
      </c>
      <c r="D156">
        <v>6014322322</v>
      </c>
      <c r="E156" t="s">
        <v>2669</v>
      </c>
      <c r="F156" t="s">
        <v>418</v>
      </c>
      <c r="G156">
        <v>219</v>
      </c>
      <c r="H156">
        <v>1809180</v>
      </c>
    </row>
    <row r="157" spans="1:8" ht="15" customHeight="1" x14ac:dyDescent="0.25">
      <c r="A157">
        <v>900102821</v>
      </c>
      <c r="B157" t="s">
        <v>2670</v>
      </c>
      <c r="C157" t="s">
        <v>2671</v>
      </c>
      <c r="D157">
        <v>6087651545</v>
      </c>
      <c r="E157" t="s">
        <v>2672</v>
      </c>
      <c r="F157" t="s">
        <v>729</v>
      </c>
      <c r="G157">
        <v>211</v>
      </c>
      <c r="H157">
        <v>983193</v>
      </c>
    </row>
    <row r="158" spans="1:8" ht="15" customHeight="1" x14ac:dyDescent="0.25">
      <c r="A158">
        <v>900155107</v>
      </c>
      <c r="B158" t="s">
        <v>2673</v>
      </c>
      <c r="C158" t="s">
        <v>2674</v>
      </c>
      <c r="D158">
        <v>6016579797</v>
      </c>
      <c r="E158" t="s">
        <v>2675</v>
      </c>
      <c r="F158" t="s">
        <v>418</v>
      </c>
      <c r="G158">
        <v>219</v>
      </c>
      <c r="H158">
        <v>495971</v>
      </c>
    </row>
    <row r="159" spans="1:8" ht="15" customHeight="1" x14ac:dyDescent="0.25">
      <c r="A159">
        <v>900293978</v>
      </c>
      <c r="B159" t="s">
        <v>2676</v>
      </c>
      <c r="D159">
        <v>3204120390</v>
      </c>
      <c r="E159" t="s">
        <v>2677</v>
      </c>
      <c r="F159" t="s">
        <v>1123</v>
      </c>
      <c r="G159">
        <v>212</v>
      </c>
      <c r="H159">
        <v>1398614</v>
      </c>
    </row>
    <row r="160" spans="1:8" ht="15" customHeight="1" x14ac:dyDescent="0.25">
      <c r="A160">
        <v>900318522</v>
      </c>
      <c r="B160" t="s">
        <v>2678</v>
      </c>
      <c r="C160" t="s">
        <v>2679</v>
      </c>
      <c r="D160">
        <v>6018713595</v>
      </c>
      <c r="E160" t="s">
        <v>2680</v>
      </c>
      <c r="F160" t="s">
        <v>1254</v>
      </c>
      <c r="G160">
        <v>212</v>
      </c>
      <c r="H160">
        <v>174076</v>
      </c>
    </row>
    <row r="161" spans="1:10" ht="15" customHeight="1" x14ac:dyDescent="0.25">
      <c r="A161">
        <v>900398733</v>
      </c>
      <c r="B161" t="s">
        <v>2681</v>
      </c>
      <c r="C161" t="s">
        <v>2682</v>
      </c>
      <c r="D161">
        <v>3125888759</v>
      </c>
      <c r="E161" t="s">
        <v>2683</v>
      </c>
      <c r="F161" t="s">
        <v>729</v>
      </c>
      <c r="G161">
        <v>219</v>
      </c>
      <c r="H161">
        <v>754622</v>
      </c>
    </row>
    <row r="162" spans="1:10" ht="15" customHeight="1" x14ac:dyDescent="0.25">
      <c r="A162">
        <v>900405505</v>
      </c>
      <c r="B162" t="s">
        <v>2684</v>
      </c>
      <c r="C162" t="s">
        <v>2685</v>
      </c>
      <c r="D162">
        <v>3173704372</v>
      </c>
      <c r="E162" t="s">
        <v>2686</v>
      </c>
      <c r="F162" t="s">
        <v>418</v>
      </c>
      <c r="G162">
        <v>312</v>
      </c>
      <c r="H162">
        <v>4700</v>
      </c>
    </row>
    <row r="163" spans="1:10" ht="15" customHeight="1" x14ac:dyDescent="0.25">
      <c r="A163">
        <v>900407819</v>
      </c>
      <c r="B163" t="s">
        <v>2687</v>
      </c>
      <c r="C163" t="s">
        <v>2688</v>
      </c>
      <c r="D163">
        <v>3104808318</v>
      </c>
      <c r="E163" t="s">
        <v>2689</v>
      </c>
      <c r="F163" t="s">
        <v>729</v>
      </c>
      <c r="G163">
        <v>219</v>
      </c>
      <c r="H163">
        <v>305879</v>
      </c>
    </row>
    <row r="164" spans="1:10" ht="15" customHeight="1" x14ac:dyDescent="0.25">
      <c r="A164">
        <v>900421335</v>
      </c>
      <c r="B164" t="s">
        <v>2690</v>
      </c>
      <c r="D164">
        <v>6012615548</v>
      </c>
      <c r="E164" t="s">
        <v>2691</v>
      </c>
      <c r="F164" t="s">
        <v>418</v>
      </c>
      <c r="G164">
        <v>114</v>
      </c>
      <c r="H164">
        <v>1320354</v>
      </c>
    </row>
    <row r="165" spans="1:10" ht="15" customHeight="1" x14ac:dyDescent="0.25">
      <c r="A165">
        <v>900446897</v>
      </c>
      <c r="B165" t="s">
        <v>2692</v>
      </c>
      <c r="C165" t="s">
        <v>2693</v>
      </c>
      <c r="D165">
        <v>3014206777</v>
      </c>
      <c r="E165" t="s">
        <v>2694</v>
      </c>
      <c r="F165" t="s">
        <v>349</v>
      </c>
      <c r="G165">
        <v>219</v>
      </c>
      <c r="H165">
        <f>6806738+6276310</f>
        <v>13083048</v>
      </c>
      <c r="J165">
        <v>6276310</v>
      </c>
    </row>
    <row r="166" spans="1:10" ht="15" customHeight="1" x14ac:dyDescent="0.25">
      <c r="A166">
        <v>900474103</v>
      </c>
      <c r="B166" t="s">
        <v>2695</v>
      </c>
      <c r="C166" t="s">
        <v>2696</v>
      </c>
      <c r="D166">
        <v>3124348667</v>
      </c>
      <c r="E166" t="s">
        <v>2697</v>
      </c>
      <c r="F166" t="s">
        <v>418</v>
      </c>
      <c r="G166">
        <v>206</v>
      </c>
      <c r="H166">
        <v>430000</v>
      </c>
    </row>
    <row r="167" spans="1:10" ht="15" customHeight="1" x14ac:dyDescent="0.25">
      <c r="A167">
        <v>900487029</v>
      </c>
      <c r="B167" t="s">
        <v>2698</v>
      </c>
      <c r="C167" t="s">
        <v>2699</v>
      </c>
      <c r="D167">
        <v>3182480938</v>
      </c>
      <c r="E167" t="s">
        <v>2700</v>
      </c>
      <c r="F167" t="s">
        <v>418</v>
      </c>
      <c r="G167">
        <v>206</v>
      </c>
      <c r="H167">
        <v>50000</v>
      </c>
    </row>
    <row r="168" spans="1:10" ht="15" customHeight="1" x14ac:dyDescent="0.25">
      <c r="A168">
        <v>900491889</v>
      </c>
      <c r="B168" t="s">
        <v>2701</v>
      </c>
      <c r="C168" t="s">
        <v>2702</v>
      </c>
      <c r="D168">
        <v>3202757602</v>
      </c>
      <c r="E168" t="s">
        <v>2703</v>
      </c>
      <c r="F168" t="s">
        <v>373</v>
      </c>
      <c r="G168">
        <v>212</v>
      </c>
      <c r="H168">
        <v>365199</v>
      </c>
    </row>
    <row r="169" spans="1:10" ht="15" customHeight="1" x14ac:dyDescent="0.25">
      <c r="A169">
        <v>900513538</v>
      </c>
      <c r="B169" t="s">
        <v>2704</v>
      </c>
      <c r="D169">
        <v>3102970314</v>
      </c>
      <c r="E169" t="s">
        <v>2705</v>
      </c>
      <c r="F169" t="s">
        <v>418</v>
      </c>
      <c r="G169">
        <v>212</v>
      </c>
      <c r="H169">
        <v>346429</v>
      </c>
    </row>
    <row r="170" spans="1:10" ht="15" customHeight="1" x14ac:dyDescent="0.25">
      <c r="A170">
        <v>900525906</v>
      </c>
      <c r="B170" t="s">
        <v>2706</v>
      </c>
      <c r="C170" t="s">
        <v>2707</v>
      </c>
      <c r="D170">
        <v>6013810000</v>
      </c>
      <c r="E170" t="s">
        <v>2619</v>
      </c>
      <c r="F170" t="s">
        <v>418</v>
      </c>
      <c r="G170">
        <v>334</v>
      </c>
      <c r="H170">
        <v>25210</v>
      </c>
    </row>
    <row r="171" spans="1:10" ht="15" customHeight="1" x14ac:dyDescent="0.25">
      <c r="A171">
        <v>900611961</v>
      </c>
      <c r="B171" t="s">
        <v>2708</v>
      </c>
      <c r="D171">
        <v>6017052000</v>
      </c>
      <c r="E171" t="s">
        <v>2709</v>
      </c>
      <c r="F171" t="s">
        <v>418</v>
      </c>
      <c r="G171">
        <v>312</v>
      </c>
      <c r="H171">
        <v>28000</v>
      </c>
    </row>
    <row r="172" spans="1:10" ht="15" customHeight="1" x14ac:dyDescent="0.25">
      <c r="A172">
        <v>900614823</v>
      </c>
      <c r="B172" t="s">
        <v>2710</v>
      </c>
      <c r="C172" t="s">
        <v>2711</v>
      </c>
      <c r="D172">
        <v>3125023037</v>
      </c>
      <c r="E172" t="s">
        <v>2712</v>
      </c>
      <c r="F172" t="s">
        <v>418</v>
      </c>
      <c r="G172">
        <v>219</v>
      </c>
      <c r="H172">
        <v>133403</v>
      </c>
    </row>
    <row r="173" spans="1:10" ht="15" customHeight="1" x14ac:dyDescent="0.25">
      <c r="A173">
        <v>900624919</v>
      </c>
      <c r="B173" t="s">
        <v>2713</v>
      </c>
      <c r="D173">
        <v>6087853730</v>
      </c>
      <c r="E173" t="s">
        <v>2714</v>
      </c>
      <c r="F173" t="s">
        <v>733</v>
      </c>
      <c r="G173">
        <v>219</v>
      </c>
      <c r="H173">
        <v>345126</v>
      </c>
    </row>
    <row r="174" spans="1:10" ht="15" customHeight="1" x14ac:dyDescent="0.25">
      <c r="A174">
        <v>900666450</v>
      </c>
      <c r="B174" t="s">
        <v>2715</v>
      </c>
      <c r="C174" t="s">
        <v>2716</v>
      </c>
      <c r="D174">
        <v>6016432631</v>
      </c>
      <c r="E174" t="s">
        <v>2717</v>
      </c>
      <c r="F174" t="s">
        <v>418</v>
      </c>
      <c r="G174">
        <v>212</v>
      </c>
      <c r="H174">
        <v>130027</v>
      </c>
    </row>
    <row r="175" spans="1:10" ht="15" customHeight="1" x14ac:dyDescent="0.25">
      <c r="A175">
        <v>900721918</v>
      </c>
      <c r="B175" t="s">
        <v>2718</v>
      </c>
      <c r="C175" t="s">
        <v>2719</v>
      </c>
      <c r="D175">
        <v>3167439399</v>
      </c>
      <c r="E175" t="s">
        <v>2720</v>
      </c>
      <c r="F175" t="s">
        <v>418</v>
      </c>
      <c r="G175">
        <v>219</v>
      </c>
      <c r="H175">
        <v>40420</v>
      </c>
    </row>
    <row r="176" spans="1:10" ht="15" customHeight="1" x14ac:dyDescent="0.25">
      <c r="A176">
        <v>900727531</v>
      </c>
      <c r="B176" t="s">
        <v>2721</v>
      </c>
      <c r="C176" t="s">
        <v>2722</v>
      </c>
      <c r="D176">
        <v>6012610447</v>
      </c>
      <c r="E176" t="s">
        <v>2723</v>
      </c>
      <c r="F176" t="s">
        <v>418</v>
      </c>
      <c r="G176">
        <v>212</v>
      </c>
      <c r="H176">
        <v>150000</v>
      </c>
    </row>
    <row r="177" spans="1:10" ht="15" customHeight="1" x14ac:dyDescent="0.25">
      <c r="A177">
        <v>900787967</v>
      </c>
      <c r="B177" t="s">
        <v>2724</v>
      </c>
      <c r="C177" t="s">
        <v>2725</v>
      </c>
      <c r="D177">
        <v>6017462156</v>
      </c>
      <c r="E177" t="s">
        <v>2726</v>
      </c>
      <c r="F177" t="s">
        <v>418</v>
      </c>
      <c r="G177">
        <v>219</v>
      </c>
      <c r="H177">
        <v>294770</v>
      </c>
    </row>
    <row r="178" spans="1:10" ht="15" customHeight="1" x14ac:dyDescent="0.25">
      <c r="A178">
        <v>900903515</v>
      </c>
      <c r="B178" t="s">
        <v>2727</v>
      </c>
      <c r="C178" t="s">
        <v>2728</v>
      </c>
      <c r="D178">
        <v>3023243652</v>
      </c>
      <c r="E178" t="s">
        <v>2729</v>
      </c>
      <c r="F178" t="s">
        <v>1270</v>
      </c>
      <c r="G178">
        <v>219</v>
      </c>
      <c r="H178">
        <v>471850</v>
      </c>
    </row>
    <row r="179" spans="1:10" ht="15" customHeight="1" x14ac:dyDescent="0.25">
      <c r="A179">
        <v>900959034</v>
      </c>
      <c r="B179" t="s">
        <v>2730</v>
      </c>
      <c r="D179">
        <v>6013086863</v>
      </c>
      <c r="E179" t="s">
        <v>2731</v>
      </c>
      <c r="F179" t="s">
        <v>418</v>
      </c>
      <c r="G179">
        <v>212</v>
      </c>
      <c r="H179">
        <v>320003</v>
      </c>
    </row>
    <row r="180" spans="1:10" ht="15" customHeight="1" x14ac:dyDescent="0.25">
      <c r="A180">
        <v>900979559</v>
      </c>
      <c r="B180" t="s">
        <v>2732</v>
      </c>
      <c r="C180" t="s">
        <v>2733</v>
      </c>
      <c r="D180">
        <v>3185173463</v>
      </c>
      <c r="E180" t="s">
        <v>2734</v>
      </c>
      <c r="F180" t="s">
        <v>418</v>
      </c>
      <c r="G180">
        <v>212</v>
      </c>
      <c r="H180">
        <v>160007</v>
      </c>
    </row>
    <row r="181" spans="1:10" ht="15" customHeight="1" x14ac:dyDescent="0.25">
      <c r="A181">
        <v>900986067</v>
      </c>
      <c r="B181" t="s">
        <v>2735</v>
      </c>
      <c r="C181" t="s">
        <v>2736</v>
      </c>
      <c r="D181">
        <v>6019260508</v>
      </c>
      <c r="E181" t="s">
        <v>2737</v>
      </c>
      <c r="F181" t="s">
        <v>418</v>
      </c>
      <c r="G181">
        <v>212</v>
      </c>
      <c r="H181">
        <v>1944733</v>
      </c>
    </row>
    <row r="182" spans="1:10" ht="15" customHeight="1" x14ac:dyDescent="0.25">
      <c r="A182">
        <v>901039225</v>
      </c>
      <c r="B182" t="s">
        <v>2738</v>
      </c>
      <c r="C182" t="s">
        <v>2739</v>
      </c>
      <c r="D182">
        <v>6016760652</v>
      </c>
      <c r="E182" t="s">
        <v>2740</v>
      </c>
      <c r="F182" t="s">
        <v>1246</v>
      </c>
      <c r="G182">
        <v>334</v>
      </c>
      <c r="H182">
        <v>1332400</v>
      </c>
    </row>
    <row r="183" spans="1:10" ht="15" customHeight="1" x14ac:dyDescent="0.25">
      <c r="A183">
        <v>901054348</v>
      </c>
      <c r="B183" t="s">
        <v>2741</v>
      </c>
      <c r="C183" t="s">
        <v>2742</v>
      </c>
      <c r="D183">
        <v>3204760575</v>
      </c>
      <c r="E183" t="s">
        <v>2743</v>
      </c>
      <c r="F183" t="s">
        <v>713</v>
      </c>
      <c r="G183">
        <v>219</v>
      </c>
      <c r="H183">
        <f>10051024+62500</f>
        <v>10113524</v>
      </c>
      <c r="J183">
        <v>62500</v>
      </c>
    </row>
    <row r="184" spans="1:10" ht="15" customHeight="1" x14ac:dyDescent="0.25">
      <c r="A184">
        <v>901105261</v>
      </c>
      <c r="B184" t="s">
        <v>2744</v>
      </c>
      <c r="C184" t="s">
        <v>2745</v>
      </c>
      <c r="D184">
        <v>3143430779</v>
      </c>
      <c r="E184" t="s">
        <v>2746</v>
      </c>
      <c r="F184" t="s">
        <v>733</v>
      </c>
      <c r="G184">
        <v>201</v>
      </c>
      <c r="H184">
        <f>1109460000+2238000</f>
        <v>1111698000</v>
      </c>
      <c r="I184">
        <v>1785403</v>
      </c>
      <c r="J184">
        <v>2238000</v>
      </c>
    </row>
    <row r="185" spans="1:10" ht="15" customHeight="1" x14ac:dyDescent="0.25">
      <c r="A185">
        <v>901124746</v>
      </c>
      <c r="B185" t="s">
        <v>2747</v>
      </c>
      <c r="C185" t="s">
        <v>2748</v>
      </c>
      <c r="D185">
        <v>6012605516</v>
      </c>
      <c r="E185" t="s">
        <v>2749</v>
      </c>
      <c r="F185" t="s">
        <v>418</v>
      </c>
      <c r="G185">
        <v>212</v>
      </c>
      <c r="H185">
        <v>140000</v>
      </c>
    </row>
    <row r="186" spans="1:10" ht="15" customHeight="1" x14ac:dyDescent="0.25">
      <c r="A186">
        <v>901146482</v>
      </c>
      <c r="B186" t="s">
        <v>2750</v>
      </c>
      <c r="C186" t="s">
        <v>2751</v>
      </c>
      <c r="D186">
        <v>6019291687</v>
      </c>
      <c r="E186" t="s">
        <v>2752</v>
      </c>
      <c r="F186" t="s">
        <v>418</v>
      </c>
      <c r="G186">
        <v>212</v>
      </c>
      <c r="H186">
        <v>673949</v>
      </c>
    </row>
    <row r="187" spans="1:10" ht="15" customHeight="1" x14ac:dyDescent="0.25">
      <c r="A187">
        <v>901209021</v>
      </c>
      <c r="B187" t="s">
        <v>2753</v>
      </c>
      <c r="C187" t="s">
        <v>2754</v>
      </c>
      <c r="D187">
        <v>3232284600</v>
      </c>
      <c r="E187" t="s">
        <v>2755</v>
      </c>
      <c r="F187" t="s">
        <v>418</v>
      </c>
      <c r="G187">
        <v>334</v>
      </c>
      <c r="H187">
        <v>84000</v>
      </c>
    </row>
    <row r="188" spans="1:10" ht="15" customHeight="1" x14ac:dyDescent="0.25">
      <c r="A188">
        <v>901216308</v>
      </c>
      <c r="B188" t="s">
        <v>2756</v>
      </c>
      <c r="C188" t="s">
        <v>2757</v>
      </c>
      <c r="D188">
        <v>3164708234</v>
      </c>
      <c r="E188" t="s">
        <v>2758</v>
      </c>
      <c r="F188" t="s">
        <v>418</v>
      </c>
      <c r="G188">
        <v>209</v>
      </c>
      <c r="H188">
        <v>115000</v>
      </c>
    </row>
    <row r="189" spans="1:10" ht="15" customHeight="1" x14ac:dyDescent="0.25">
      <c r="A189">
        <v>901314598</v>
      </c>
      <c r="B189" t="s">
        <v>2759</v>
      </c>
      <c r="C189" t="s">
        <v>2760</v>
      </c>
      <c r="D189">
        <v>3225965959</v>
      </c>
      <c r="E189" t="s">
        <v>2761</v>
      </c>
      <c r="F189" t="s">
        <v>713</v>
      </c>
      <c r="G189">
        <v>219</v>
      </c>
      <c r="H189">
        <v>123050</v>
      </c>
    </row>
    <row r="190" spans="1:10" ht="15" customHeight="1" x14ac:dyDescent="0.25">
      <c r="A190">
        <v>901331844</v>
      </c>
      <c r="B190" t="s">
        <v>2762</v>
      </c>
      <c r="C190" t="s">
        <v>2763</v>
      </c>
      <c r="D190">
        <v>6017420404</v>
      </c>
      <c r="E190" t="s">
        <v>2764</v>
      </c>
      <c r="F190" t="s">
        <v>418</v>
      </c>
      <c r="G190">
        <v>219</v>
      </c>
      <c r="H190">
        <v>540746</v>
      </c>
    </row>
    <row r="191" spans="1:10" ht="15" customHeight="1" x14ac:dyDescent="0.25">
      <c r="A191">
        <v>901358726</v>
      </c>
      <c r="B191" t="s">
        <v>2765</v>
      </c>
      <c r="C191" t="s">
        <v>2766</v>
      </c>
      <c r="D191">
        <v>3153458097</v>
      </c>
      <c r="E191" t="s">
        <v>2767</v>
      </c>
      <c r="F191" t="s">
        <v>729</v>
      </c>
      <c r="G191">
        <v>219</v>
      </c>
      <c r="H191">
        <v>351186</v>
      </c>
    </row>
    <row r="192" spans="1:10" ht="15" customHeight="1" x14ac:dyDescent="0.25">
      <c r="A192">
        <v>901371452</v>
      </c>
      <c r="B192" t="s">
        <v>2768</v>
      </c>
      <c r="C192" t="s">
        <v>2769</v>
      </c>
      <c r="D192">
        <v>3174341030</v>
      </c>
      <c r="E192" t="s">
        <v>2770</v>
      </c>
      <c r="F192" t="s">
        <v>1246</v>
      </c>
      <c r="G192">
        <v>334</v>
      </c>
      <c r="H192">
        <v>9931800</v>
      </c>
    </row>
    <row r="193" spans="1:8" ht="15" customHeight="1" x14ac:dyDescent="0.25">
      <c r="A193">
        <v>901395372</v>
      </c>
      <c r="B193" t="s">
        <v>2771</v>
      </c>
      <c r="D193">
        <v>3204875111</v>
      </c>
      <c r="E193" t="s">
        <v>2772</v>
      </c>
      <c r="F193" t="s">
        <v>733</v>
      </c>
      <c r="G193">
        <v>219</v>
      </c>
      <c r="H193">
        <v>5042</v>
      </c>
    </row>
    <row r="194" spans="1:8" ht="15" customHeight="1" x14ac:dyDescent="0.25">
      <c r="A194">
        <v>901493966</v>
      </c>
      <c r="B194" t="s">
        <v>2773</v>
      </c>
      <c r="C194" t="s">
        <v>2774</v>
      </c>
      <c r="D194">
        <v>3058754932</v>
      </c>
      <c r="E194" t="s">
        <v>2775</v>
      </c>
      <c r="F194" t="s">
        <v>418</v>
      </c>
      <c r="G194">
        <v>212</v>
      </c>
      <c r="H194">
        <v>160015</v>
      </c>
    </row>
    <row r="195" spans="1:8" ht="15" customHeight="1" x14ac:dyDescent="0.25">
      <c r="A195">
        <v>901560303</v>
      </c>
      <c r="B195" t="s">
        <v>2776</v>
      </c>
      <c r="C195" t="s">
        <v>2777</v>
      </c>
      <c r="D195">
        <v>6086170173</v>
      </c>
      <c r="E195" t="s">
        <v>2778</v>
      </c>
      <c r="F195" t="s">
        <v>713</v>
      </c>
      <c r="G195">
        <v>212</v>
      </c>
      <c r="H195">
        <v>190053</v>
      </c>
    </row>
    <row r="196" spans="1:8" ht="15" customHeight="1" x14ac:dyDescent="0.25">
      <c r="A196">
        <v>901575022</v>
      </c>
      <c r="B196" t="s">
        <v>2779</v>
      </c>
      <c r="C196" t="s">
        <v>2780</v>
      </c>
      <c r="D196">
        <v>3203847763</v>
      </c>
      <c r="E196" t="s">
        <v>2781</v>
      </c>
      <c r="F196" t="s">
        <v>418</v>
      </c>
      <c r="G196">
        <v>318</v>
      </c>
      <c r="H196">
        <v>495798</v>
      </c>
    </row>
    <row r="197" spans="1:8" ht="15" customHeight="1" x14ac:dyDescent="0.25">
      <c r="A197">
        <v>901776446</v>
      </c>
      <c r="B197" t="s">
        <v>2782</v>
      </c>
      <c r="C197" t="s">
        <v>2783</v>
      </c>
      <c r="D197">
        <v>3152546984</v>
      </c>
      <c r="E197" t="s">
        <v>2784</v>
      </c>
      <c r="F197" t="s">
        <v>418</v>
      </c>
      <c r="G197">
        <v>212</v>
      </c>
      <c r="H197">
        <v>660065</v>
      </c>
    </row>
    <row r="198" spans="1:8" ht="15" customHeight="1" x14ac:dyDescent="0.25">
      <c r="A198">
        <v>901777612</v>
      </c>
      <c r="B198" t="s">
        <v>2785</v>
      </c>
      <c r="C198" t="s">
        <v>2786</v>
      </c>
      <c r="D198">
        <v>3185776766</v>
      </c>
      <c r="E198" t="s">
        <v>2787</v>
      </c>
      <c r="F198" t="s">
        <v>1264</v>
      </c>
      <c r="G198">
        <v>212</v>
      </c>
      <c r="H198">
        <v>600016</v>
      </c>
    </row>
    <row r="199" spans="1:8" ht="15" customHeight="1" x14ac:dyDescent="0.25">
      <c r="A199">
        <v>901815358</v>
      </c>
      <c r="B199" t="s">
        <v>2788</v>
      </c>
      <c r="D199">
        <v>3219176434</v>
      </c>
      <c r="E199" t="s">
        <v>2789</v>
      </c>
      <c r="F199" t="s">
        <v>534</v>
      </c>
      <c r="G199">
        <v>219</v>
      </c>
      <c r="H199">
        <v>15546</v>
      </c>
    </row>
    <row r="200" spans="1:8" ht="15" customHeight="1" x14ac:dyDescent="0.25">
      <c r="A200">
        <v>901884088</v>
      </c>
      <c r="B200" t="s">
        <v>2790</v>
      </c>
      <c r="C200" t="s">
        <v>2791</v>
      </c>
      <c r="D200">
        <v>3186794111</v>
      </c>
      <c r="E200" t="s">
        <v>2792</v>
      </c>
      <c r="F200" t="s">
        <v>729</v>
      </c>
      <c r="G200">
        <v>219</v>
      </c>
      <c r="H200">
        <v>112632</v>
      </c>
    </row>
    <row r="201" spans="1:8" ht="15" customHeight="1" x14ac:dyDescent="0.25">
      <c r="A201">
        <v>901897440</v>
      </c>
      <c r="B201" t="s">
        <v>2793</v>
      </c>
      <c r="C201" t="s">
        <v>2794</v>
      </c>
      <c r="D201">
        <v>6014813732</v>
      </c>
      <c r="E201" t="s">
        <v>2795</v>
      </c>
      <c r="F201" t="s">
        <v>418</v>
      </c>
      <c r="G201">
        <v>334</v>
      </c>
      <c r="H201">
        <v>4170000</v>
      </c>
    </row>
    <row r="202" spans="1:8" ht="15" customHeight="1" x14ac:dyDescent="0.25">
      <c r="A202">
        <v>9524528</v>
      </c>
      <c r="B202" t="s">
        <v>2796</v>
      </c>
      <c r="C202" t="s">
        <v>2797</v>
      </c>
      <c r="D202">
        <v>3208412466</v>
      </c>
      <c r="E202" t="s">
        <v>2798</v>
      </c>
      <c r="F202" t="s">
        <v>733</v>
      </c>
      <c r="G202">
        <v>310</v>
      </c>
      <c r="H202">
        <v>52400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19" workbookViewId="0">
      <selection activeCell="B30" sqref="B30"/>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fanny esperanza cardenas puerto</cp:lastModifiedBy>
  <cp:lastPrinted>2026-03-30T17:32:14Z</cp:lastPrinted>
  <dcterms:created xsi:type="dcterms:W3CDTF">2015-06-05T18:19:34Z</dcterms:created>
  <dcterms:modified xsi:type="dcterms:W3CDTF">2026-06-30T19:59:53Z</dcterms:modified>
</cp:coreProperties>
</file>